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alcChain.xml" ContentType="application/vnd.openxmlformats-officedocument.spreadsheetml.calcChain+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showInkAnnotation="0" defaultThemeVersion="124226"/>
  <mc:AlternateContent xmlns:mc="http://schemas.openxmlformats.org/markup-compatibility/2006">
    <mc:Choice Requires="x15">
      <x15ac:absPath xmlns:x15ac="http://schemas.microsoft.com/office/spreadsheetml/2010/11/ac" url="D:\working\waccache\FR1PEPF0000437C\EXCELCNV\137c05b2-0464-4b6b-9a65-b523c4566ff3\"/>
    </mc:Choice>
  </mc:AlternateContent>
  <xr:revisionPtr revIDLastSave="0" documentId="8_{674AA1CC-DE32-4D02-9F8E-26BDC7FFB418}" xr6:coauthVersionLast="47" xr6:coauthVersionMax="47" xr10:uidLastSave="{00000000-0000-0000-0000-000000000000}"/>
  <bookViews>
    <workbookView xWindow="-60" yWindow="-60" windowWidth="15480" windowHeight="11640" tabRatio="928" firstSheet="8" activeTab="11" xr2:uid="{D508C644-F9EE-43E6-BB2A-C134E919A8E9}"/>
  </bookViews>
  <sheets>
    <sheet name="Deckblatt" sheetId="1" r:id="rId1"/>
    <sheet name="Selbstverständnis" sheetId="34" state="hidden" r:id="rId2"/>
    <sheet name="Richtig Planen" sheetId="36" state="hidden" r:id="rId3"/>
    <sheet name="Vorblatt Auftragsakquise " sheetId="37" state="hidden" r:id="rId4"/>
    <sheet name="Fachbegriffe" sheetId="28" r:id="rId5"/>
    <sheet name="AnalyseFragen" sheetId="27" state="hidden" r:id="rId6"/>
    <sheet name="Abfolge der Einzelblätter" sheetId="40" state="hidden" r:id="rId7"/>
    <sheet name="ZusammenführErgebn" sheetId="2" r:id="rId8"/>
    <sheet name="Privatentnahmen" sheetId="3" r:id="rId9"/>
    <sheet name="Ertragsv. 2025" sheetId="4" r:id="rId10"/>
    <sheet name="Ertragsv. 2026" sheetId="5" r:id="rId11"/>
    <sheet name="Ertragsv. 2027" sheetId="6" r:id="rId12"/>
    <sheet name="UmstzPlan 1.-3.Jahr" sheetId="14" r:id="rId13"/>
    <sheet name="LiquiRech.1-3Jahr" sheetId="15" r:id="rId14"/>
    <sheet name="Finanz_AfA_Investitionen" sheetId="8" r:id="rId15"/>
    <sheet name="Mikrostarter Geschäftsplan" sheetId="32" state="hidden" r:id="rId16"/>
    <sheet name="ArbStd_MA" sheetId="9" r:id="rId17"/>
    <sheet name="ArbSt_MA II" sheetId="21" state="hidden" r:id="rId18"/>
    <sheet name="Einzelkalk Gastro" sheetId="20" state="hidden" r:id="rId19"/>
    <sheet name="Einzelkalk_Handwerk" sheetId="10" state="hidden" r:id="rId20"/>
    <sheet name="Einzelkalk_Handel" sheetId="11" state="hidden" r:id="rId21"/>
    <sheet name="Nachkalkulation Handel" sheetId="25" state="hidden" r:id="rId22"/>
    <sheet name="Einzelkalk_DL" sheetId="12" state="hidden" r:id="rId23"/>
    <sheet name="Kalkul.Einzelpreise " sheetId="17" state="hidden" r:id="rId24"/>
    <sheet name="OH Spez.Kosten (2)" sheetId="35" state="hidden" r:id="rId25"/>
    <sheet name="KapBedarf" sheetId="23" state="hidden" r:id="rId26"/>
    <sheet name="GwSt-Re" sheetId="26" state="hidden" r:id="rId27"/>
    <sheet name="Vorblatt Auftragsakquise" sheetId="29" state="hidden" r:id="rId28"/>
    <sheet name="Telef.Akquiese" sheetId="30" state="hidden" r:id="rId29"/>
    <sheet name="Verfahrenswege" sheetId="22" state="hidden" r:id="rId30"/>
    <sheet name="Telef.Akquiese " sheetId="38" state="hidden" r:id="rId31"/>
    <sheet name="Akquisitionen" sheetId="39"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Alternative_2" localSheetId="5">[1]Umsätze!#REF!</definedName>
    <definedName name="Alternative_2" localSheetId="26">[1]Umsätze!#REF!</definedName>
    <definedName name="Alternative_2" localSheetId="21">[2]Umsätze!#REF!</definedName>
    <definedName name="Alternative_2">[3]Umsätze!#REF!</definedName>
    <definedName name="Alternative_3" localSheetId="5">[1]Umsätze!#REF!</definedName>
    <definedName name="Alternative_3" localSheetId="26">[1]Umsätze!#REF!</definedName>
    <definedName name="Alternative_3" localSheetId="21">[2]Umsätze!#REF!</definedName>
    <definedName name="Alternative_3">[3]Umsätze!#REF!</definedName>
    <definedName name="Alternative_4" localSheetId="5">[1]Umsätze!#REF!</definedName>
    <definedName name="Alternative_4" localSheetId="26">[1]Umsätze!#REF!</definedName>
    <definedName name="Alternative_4" localSheetId="21">[2]Umsätze!#REF!</definedName>
    <definedName name="Alternative_4">[3]Umsätze!#REF!</definedName>
    <definedName name="_xlnm.Print_Area" localSheetId="16">ArbStd_MA!$A$1:$J$118</definedName>
    <definedName name="_xlnm.Print_Area" localSheetId="18">'Einzelkalk Gastro'!$A$1:$K$67</definedName>
    <definedName name="_xlnm.Print_Area" localSheetId="22">Einzelkalk_DL!$A$1:$J$24</definedName>
    <definedName name="_xlnm.Print_Area" localSheetId="20">Einzelkalk_Handel!$A$1:$M$55</definedName>
    <definedName name="_xlnm.Print_Area" localSheetId="19">Einzelkalk_Handwerk!$A$1:$J$57,Einzelkalk_Handwerk!$K$1:$U$13</definedName>
    <definedName name="_xlnm.Print_Area" localSheetId="9">'Ertragsv. 2025'!$A$1:$S$46</definedName>
    <definedName name="_xlnm.Print_Area" localSheetId="10">'Ertragsv. 2026'!$A$1:$S$44</definedName>
    <definedName name="_xlnm.Print_Area" localSheetId="11">'Ertragsv. 2027'!$A$1:$S$44</definedName>
    <definedName name="_xlnm.Print_Area" localSheetId="14">Finanz_AfA_Investitionen!$A$1:$K$39</definedName>
    <definedName name="_xlnm.Print_Area" localSheetId="13">'LiquiRech.1-3Jahr'!$A$1:$Q$87</definedName>
    <definedName name="_xlnm.Print_Area" localSheetId="15">'Mikrostarter Geschäftsplan'!$A$92:$I$116</definedName>
    <definedName name="_xlnm.Print_Area" localSheetId="21">'Nachkalkulation Handel'!$A$1:$M$47</definedName>
    <definedName name="_xlnm.Print_Area" localSheetId="8">Privatentnahmen!$A$1:$N$36</definedName>
    <definedName name="_xlnm.Print_Area" localSheetId="12">'UmstzPlan 1.-3.Jahr'!$A$2:$AF$76</definedName>
    <definedName name="_xlnm.Print_Area" localSheetId="7">ZusammenführErgebn!$A$1:$F$27</definedName>
    <definedName name="Kosten" localSheetId="5">'[4]2014'!$C$61</definedName>
    <definedName name="Kosten" localSheetId="26">'[5]2014'!$C$61</definedName>
    <definedName name="Kosten" localSheetId="25">'[6]2012'!$C$62</definedName>
    <definedName name="Kosten" localSheetId="21">'[7]2012'!$C$62</definedName>
    <definedName name="Kosten" localSheetId="24">'[8]2012'!$C$62</definedName>
    <definedName name="Kosten">'[9]2012'!$C$62</definedName>
    <definedName name="Materialkosten" localSheetId="21">#REF!</definedName>
    <definedName name="Materialkosten" localSheetId="24">#REF!</definedName>
    <definedName name="Materialkosten">#REF!</definedName>
    <definedName name="Materialkosten_Rechner__Jahresplanung_ohne_monatsgenaue_Verteilung" localSheetId="21">#REF!</definedName>
    <definedName name="Materialkosten_Rechner__Jahresplanung_ohne_monatsgenaue_Verteilung" localSheetId="24">#REF!</definedName>
    <definedName name="Materialkosten_Rechner__Jahresplanung_ohne_monatsgenaue_Verteilung">#REF!</definedName>
    <definedName name="MoUm" localSheetId="5">'[4]2014'!$C$60</definedName>
    <definedName name="MoUm" localSheetId="26">'[5]2014'!$C$60</definedName>
    <definedName name="MoUm" localSheetId="25">'[6]2012'!$C$61</definedName>
    <definedName name="MoUm" localSheetId="21">'[7]2012'!$C$61</definedName>
    <definedName name="MoUm" localSheetId="24">'[8]2012'!$C$61</definedName>
    <definedName name="MoUm">'[9]2012'!$C$61</definedName>
    <definedName name="UmRe" localSheetId="5">'[4]2014'!$C$59</definedName>
    <definedName name="UmRe" localSheetId="26">'[5]2014'!$C$59</definedName>
    <definedName name="UmRe" localSheetId="25">'[6]2012'!$C$60</definedName>
    <definedName name="UmRe" localSheetId="21">'[7]2012'!$C$60</definedName>
    <definedName name="UmRe" localSheetId="24">'[8]2012'!$C$60</definedName>
    <definedName name="UmRe">'[9]2012'!$C$60</definedName>
    <definedName name="Var1_Handw_DL" localSheetId="5">'[4]2013'!$I$53</definedName>
    <definedName name="Var1_Handw_DL" localSheetId="21">'[7]2011'!$I$50</definedName>
    <definedName name="Var1_Handw_DL" localSheetId="24">'[10]2013'!$I$53</definedName>
    <definedName name="Var1_Handw_DL">'[5]2013'!$I$53</definedName>
    <definedName name="Var2_Han_Gastro" localSheetId="5">'[4]2013'!$I$54</definedName>
    <definedName name="Var2_Han_Gastro" localSheetId="21">'[7]2011'!$I$51</definedName>
    <definedName name="Var2_Han_Gastro" localSheetId="24">'[10]2013'!$I$54</definedName>
    <definedName name="Var2_Han_Gastro">'[5]2013'!$I$54</definedName>
    <definedName name="WE" localSheetId="5">'[4]2014'!$C$62</definedName>
    <definedName name="WE" localSheetId="26">'[5]2014'!$C$62</definedName>
    <definedName name="WE" localSheetId="25">'[6]2012'!$C$63</definedName>
    <definedName name="WE" localSheetId="21">'[7]2012'!$C$63</definedName>
    <definedName name="WE" localSheetId="24">'[8]2012'!$C$63</definedName>
    <definedName name="WE">'[9]2012'!$C$63</definedName>
    <definedName name="WL_BP_De" localSheetId="0">Deckblatt!#REF!</definedName>
    <definedName name="WL_BP_Fm" localSheetId="0">Deckblatt!#REF!</definedName>
    <definedName name="WL_BP_Mm" localSheetId="0">Deckblatt!$B$16</definedName>
    <definedName name="WL_BP_Re" localSheetId="0">Deckblatt!#REF!</definedName>
    <definedName name="WL_BP_To" localSheetId="0">Deckblatt!#REF!</definedName>
    <definedName name="Z_947F3850_7AA3_4837_85A4_CE18993ECC8C_.wvu.PrintArea" localSheetId="0" hidden="1">Deckblatt!$B$1:$E$34</definedName>
    <definedName name="Z_A57FB75A_A9C6_4363_92C4_C633F764E6EC_.wvu.PrintArea" localSheetId="9" hidden="1">'Ertragsv. 2025'!$A$1:$T$44</definedName>
    <definedName name="Z_A57FB75A_A9C6_4363_92C4_C633F764E6EC_.wvu.PrintArea" localSheetId="10" hidden="1">'Ertragsv. 2026'!$A$1:$W$43</definedName>
    <definedName name="Z_A57FB75A_A9C6_4363_92C4_C633F764E6EC_.wvu.PrintArea" localSheetId="11" hidden="1">'Ertragsv. 2027'!$A$1:$V$43</definedName>
    <definedName name="Z_A57FB75A_A9C6_4363_92C4_C633F764E6EC_.wvu.PrintArea" localSheetId="14" hidden="1">Finanz_AfA_Investitionen!$B$1:$O$39</definedName>
    <definedName name="Z_BC156859_3458_406D_ACE0_C2ED0EEAE0D7_.wvu.Cols" localSheetId="8" hidden="1">Privatentnahmen!$J:$K</definedName>
    <definedName name="Z_BC156859_3458_406D_ACE0_C2ED0EEAE0D7_.wvu.PrintArea" localSheetId="0" hidden="1">Deckblatt!$B$1:$E$34</definedName>
    <definedName name="Z_BC156859_3458_406D_ACE0_C2ED0EEAE0D7_.wvu.PrintArea" localSheetId="8" hidden="1">Privatentnahmen!$B$1:$K$38</definedName>
    <definedName name="Z_FC62AB03_1E1B_40DD_97B7_FC10FADA3A15_.wvu.Cols" localSheetId="8" hidden="1">Privatentnahmen!$J:$K</definedName>
    <definedName name="Z_FC62AB03_1E1B_40DD_97B7_FC10FADA3A15_.wvu.PrintArea" localSheetId="0" hidden="1">Deckblatt!$B$1:$E$34</definedName>
    <definedName name="Z_FC62AB03_1E1B_40DD_97B7_FC10FADA3A15_.wvu.PrintArea" localSheetId="9" hidden="1">'Ertragsv. 2025'!$A$1:$P$22</definedName>
    <definedName name="Z_FC62AB03_1E1B_40DD_97B7_FC10FADA3A15_.wvu.PrintArea" localSheetId="10" hidden="1">'Ertragsv. 2026'!$A$1:$W$43</definedName>
    <definedName name="Z_FC62AB03_1E1B_40DD_97B7_FC10FADA3A15_.wvu.PrintArea" localSheetId="11" hidden="1">'Ertragsv. 2027'!$A$1:$V$43</definedName>
    <definedName name="Z_FC62AB03_1E1B_40DD_97B7_FC10FADA3A15_.wvu.PrintArea" localSheetId="14" hidden="1">Finanz_AfA_Investitionen!$B$1:$O$39</definedName>
    <definedName name="Z_FC62AB03_1E1B_40DD_97B7_FC10FADA3A15_.wvu.PrintArea" localSheetId="21" hidden="1">'Nachkalkulation Handel'!$A$1:$M$47</definedName>
    <definedName name="Z_FC62AB03_1E1B_40DD_97B7_FC10FADA3A15_.wvu.PrintArea" localSheetId="8" hidden="1">Privatentnahmen!$B$1:$K$38</definedName>
    <definedName name="Z_FC62AB03_1E1B_40DD_97B7_FC10FADA3A15_.wvu.Rows" localSheetId="9" hidden="1">'Ertragsv. 2025'!#REF!</definedName>
  </definedNames>
  <calcPr calcId="191028"/>
  <customWorkbookViews>
    <customWorkbookView name="Blattregisterkarten" guid="{A57FB75A-A9C6-4363-92C4-C633F764E6EC}" xWindow="-10" yWindow="12" windowWidth="1020" windowHeight="738" tabRatio="633" activeSheetId="15"/>
    <customWorkbookView name="Admin - Persönliche Ansicht" guid="{FC62AB03-1E1B-40DD-97B7-FC10FADA3A15}" mergeInterval="0" personalView="1" maximized="1" xWindow="1" yWindow="1" windowWidth="1002" windowHeight="536" tabRatio="928"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4" l="1"/>
  <c r="J47" i="14"/>
  <c r="J48" i="14"/>
  <c r="J49" i="14"/>
  <c r="J50" i="14"/>
  <c r="J51" i="14"/>
  <c r="J52" i="14"/>
  <c r="J53" i="14"/>
  <c r="J54" i="14"/>
  <c r="D33" i="38"/>
  <c r="I9" i="38"/>
  <c r="I22" i="38"/>
  <c r="I27" i="38"/>
  <c r="I33" i="38"/>
  <c r="I41" i="38"/>
  <c r="F1" i="8"/>
  <c r="D75" i="15"/>
  <c r="D1" i="34"/>
  <c r="F7" i="3"/>
  <c r="C37" i="8"/>
  <c r="B82" i="32"/>
  <c r="B81" i="32"/>
  <c r="B80" i="32"/>
  <c r="B79" i="32"/>
  <c r="B78" i="32"/>
  <c r="B77" i="32"/>
  <c r="B76" i="32"/>
  <c r="B75" i="32"/>
  <c r="B74" i="32"/>
  <c r="B73" i="32"/>
  <c r="B72" i="32"/>
  <c r="B71" i="32"/>
  <c r="B70" i="32"/>
  <c r="B69" i="32"/>
  <c r="B68" i="32"/>
  <c r="B67" i="32"/>
  <c r="B66" i="32"/>
  <c r="B65" i="32"/>
  <c r="B64" i="32"/>
  <c r="B63" i="32"/>
  <c r="B62" i="32"/>
  <c r="B61" i="32"/>
  <c r="B60" i="32"/>
  <c r="B59" i="32"/>
  <c r="B57" i="32"/>
  <c r="B56" i="32"/>
  <c r="B55" i="32"/>
  <c r="B54" i="32"/>
  <c r="B53" i="32"/>
  <c r="B52" i="32"/>
  <c r="B51" i="32"/>
  <c r="B50" i="32"/>
  <c r="B49" i="32"/>
  <c r="B48" i="32"/>
  <c r="B47" i="32"/>
  <c r="B46" i="32"/>
  <c r="E37" i="8"/>
  <c r="D37" i="8"/>
  <c r="G37" i="8"/>
  <c r="C38" i="8"/>
  <c r="C38" i="32"/>
  <c r="C37" i="32"/>
  <c r="C36" i="32"/>
  <c r="C35" i="32"/>
  <c r="C34" i="32"/>
  <c r="C33" i="32"/>
  <c r="C30" i="32"/>
  <c r="C29" i="32"/>
  <c r="C28" i="32"/>
  <c r="C26" i="32"/>
  <c r="C25" i="32"/>
  <c r="C24" i="32"/>
  <c r="C27" i="32"/>
  <c r="C22" i="32"/>
  <c r="C21" i="32"/>
  <c r="C20" i="32"/>
  <c r="C18" i="32"/>
  <c r="C17" i="32"/>
  <c r="D16" i="32"/>
  <c r="C16" i="32"/>
  <c r="C19" i="32"/>
  <c r="E14" i="32"/>
  <c r="C39" i="32"/>
  <c r="C43" i="32"/>
  <c r="F103" i="32"/>
  <c r="E103" i="32"/>
  <c r="D103" i="32"/>
  <c r="C103" i="32"/>
  <c r="G103" i="32"/>
  <c r="F102" i="32"/>
  <c r="E102" i="32"/>
  <c r="D102" i="32"/>
  <c r="C102" i="32"/>
  <c r="G102" i="32"/>
  <c r="F101" i="32"/>
  <c r="E101" i="32"/>
  <c r="D101" i="32"/>
  <c r="C101" i="32"/>
  <c r="F100" i="32"/>
  <c r="E100" i="32"/>
  <c r="D100" i="32"/>
  <c r="C100" i="32"/>
  <c r="D33" i="30"/>
  <c r="I9" i="30"/>
  <c r="I22" i="30"/>
  <c r="I27" i="30"/>
  <c r="I33" i="30"/>
  <c r="I41" i="30"/>
  <c r="H95" i="9"/>
  <c r="I95" i="9"/>
  <c r="I97" i="9"/>
  <c r="I99" i="9"/>
  <c r="H66" i="9"/>
  <c r="D63" i="9"/>
  <c r="V28" i="3"/>
  <c r="V10" i="3"/>
  <c r="V14" i="3"/>
  <c r="V19" i="3"/>
  <c r="V22" i="3"/>
  <c r="V29" i="3" s="1"/>
  <c r="X18" i="3" s="1"/>
  <c r="W23" i="3"/>
  <c r="W24" i="3"/>
  <c r="W25" i="3"/>
  <c r="W26" i="3"/>
  <c r="W27" i="3"/>
  <c r="W20" i="3"/>
  <c r="W21" i="3"/>
  <c r="W22" i="3" s="1"/>
  <c r="W15" i="3"/>
  <c r="W16" i="3"/>
  <c r="W17" i="3"/>
  <c r="W18" i="3"/>
  <c r="W11" i="3"/>
  <c r="W12" i="3"/>
  <c r="W13" i="3"/>
  <c r="W7" i="3"/>
  <c r="W8" i="3"/>
  <c r="W9" i="3"/>
  <c r="V4" i="3"/>
  <c r="Q25" i="3"/>
  <c r="O25" i="3"/>
  <c r="Q24" i="3"/>
  <c r="Q23" i="3"/>
  <c r="O23" i="3"/>
  <c r="Q22" i="3"/>
  <c r="O22" i="3"/>
  <c r="Q21" i="3"/>
  <c r="O21" i="3"/>
  <c r="Q20" i="3"/>
  <c r="O20" i="3"/>
  <c r="U19" i="14"/>
  <c r="K3" i="4"/>
  <c r="E57" i="14"/>
  <c r="C3" i="6"/>
  <c r="E63" i="15"/>
  <c r="H3" i="8"/>
  <c r="H5" i="8"/>
  <c r="H6" i="8"/>
  <c r="H7" i="8"/>
  <c r="H8" i="8"/>
  <c r="H9" i="8"/>
  <c r="H10" i="8"/>
  <c r="H11" i="8"/>
  <c r="H12" i="8"/>
  <c r="H13" i="8"/>
  <c r="H14" i="8"/>
  <c r="H15" i="8"/>
  <c r="H16" i="8"/>
  <c r="G35" i="8"/>
  <c r="G36" i="8"/>
  <c r="I36" i="8"/>
  <c r="H102" i="9"/>
  <c r="H103" i="9"/>
  <c r="H104" i="9"/>
  <c r="I104" i="9"/>
  <c r="H105" i="9"/>
  <c r="H106" i="9"/>
  <c r="H107" i="9"/>
  <c r="H108" i="9"/>
  <c r="H113" i="9"/>
  <c r="I113" i="9"/>
  <c r="I115" i="9"/>
  <c r="I117" i="9"/>
  <c r="G57" i="14"/>
  <c r="D3" i="6"/>
  <c r="I57" i="14"/>
  <c r="E3" i="6"/>
  <c r="E4" i="6"/>
  <c r="F72" i="15"/>
  <c r="K57" i="14"/>
  <c r="F3" i="6"/>
  <c r="M57" i="14"/>
  <c r="G3" i="6"/>
  <c r="O57" i="14"/>
  <c r="H3" i="6"/>
  <c r="Q57" i="14"/>
  <c r="I3" i="6"/>
  <c r="I4" i="6"/>
  <c r="J72" i="15"/>
  <c r="S57" i="14"/>
  <c r="J3" i="6"/>
  <c r="U57" i="14"/>
  <c r="K3" i="6"/>
  <c r="W57" i="14"/>
  <c r="L3" i="6"/>
  <c r="Y57" i="14"/>
  <c r="M3" i="6"/>
  <c r="AA57" i="14"/>
  <c r="N3" i="6"/>
  <c r="N4" i="6"/>
  <c r="O72" i="15"/>
  <c r="F3" i="8"/>
  <c r="F5" i="8"/>
  <c r="F6" i="8"/>
  <c r="F7" i="8"/>
  <c r="F8" i="8"/>
  <c r="F9" i="8"/>
  <c r="F10" i="8"/>
  <c r="F11" i="8"/>
  <c r="F12" i="8"/>
  <c r="F13" i="8"/>
  <c r="F14" i="8"/>
  <c r="F15" i="8"/>
  <c r="F16" i="8"/>
  <c r="I29" i="9"/>
  <c r="I33" i="9"/>
  <c r="H39" i="9"/>
  <c r="H49" i="9"/>
  <c r="E38" i="14"/>
  <c r="C3" i="5"/>
  <c r="H36" i="8"/>
  <c r="H84" i="9"/>
  <c r="H85" i="9"/>
  <c r="H86" i="9"/>
  <c r="H87" i="9"/>
  <c r="I87" i="9"/>
  <c r="H88" i="9"/>
  <c r="H89" i="9"/>
  <c r="H90" i="9"/>
  <c r="G38" i="14"/>
  <c r="D3" i="5"/>
  <c r="I38" i="14"/>
  <c r="E3" i="5"/>
  <c r="K38" i="14"/>
  <c r="F3" i="5"/>
  <c r="H34" i="15"/>
  <c r="M38" i="14"/>
  <c r="G3" i="5"/>
  <c r="O38" i="14"/>
  <c r="H3" i="5"/>
  <c r="Q38" i="14"/>
  <c r="I3" i="5"/>
  <c r="I4" i="5"/>
  <c r="J43" i="15"/>
  <c r="S38" i="14"/>
  <c r="J3" i="5"/>
  <c r="U38" i="14"/>
  <c r="K3" i="5"/>
  <c r="W38" i="14"/>
  <c r="L3" i="5"/>
  <c r="L4" i="5"/>
  <c r="M43" i="15"/>
  <c r="Y38" i="14"/>
  <c r="M3" i="5"/>
  <c r="AA38" i="14"/>
  <c r="N3" i="5"/>
  <c r="G29" i="9"/>
  <c r="G33" i="9"/>
  <c r="G39" i="9"/>
  <c r="G49" i="9"/>
  <c r="H10" i="17"/>
  <c r="H6" i="12"/>
  <c r="F6" i="12"/>
  <c r="D6" i="12"/>
  <c r="I5" i="25"/>
  <c r="F5" i="25"/>
  <c r="C5" i="25"/>
  <c r="I3" i="11"/>
  <c r="F3" i="11"/>
  <c r="C3" i="11"/>
  <c r="N5" i="10"/>
  <c r="N4" i="10"/>
  <c r="N3" i="10"/>
  <c r="S1" i="20"/>
  <c r="P1" i="20"/>
  <c r="M1" i="20"/>
  <c r="H3" i="9"/>
  <c r="H37" i="9"/>
  <c r="F3" i="9"/>
  <c r="G37" i="9"/>
  <c r="D3" i="9"/>
  <c r="F37" i="9"/>
  <c r="B61" i="15"/>
  <c r="B32" i="15"/>
  <c r="B3" i="15"/>
  <c r="C41" i="14"/>
  <c r="C22" i="14"/>
  <c r="E1" i="6"/>
  <c r="E1" i="5"/>
  <c r="E1" i="4"/>
  <c r="H4" i="3"/>
  <c r="F4" i="3"/>
  <c r="D4" i="3"/>
  <c r="O24" i="3"/>
  <c r="A1" i="27"/>
  <c r="P14" i="25"/>
  <c r="E19" i="25"/>
  <c r="P6" i="25"/>
  <c r="H28" i="25"/>
  <c r="J28" i="25"/>
  <c r="H29" i="25"/>
  <c r="I29" i="25"/>
  <c r="H30" i="25"/>
  <c r="I30" i="25"/>
  <c r="H31" i="25"/>
  <c r="H32" i="25"/>
  <c r="F34" i="25"/>
  <c r="O51" i="17"/>
  <c r="H51" i="17"/>
  <c r="C51" i="17"/>
  <c r="E29" i="9"/>
  <c r="E33" i="9"/>
  <c r="H1" i="15"/>
  <c r="H1" i="6"/>
  <c r="H1" i="5"/>
  <c r="H1" i="4"/>
  <c r="I98" i="23"/>
  <c r="I83" i="23"/>
  <c r="F98" i="23"/>
  <c r="H97" i="23"/>
  <c r="H96" i="23"/>
  <c r="H95" i="23"/>
  <c r="H94" i="23"/>
  <c r="H93" i="23"/>
  <c r="H92" i="23"/>
  <c r="H98" i="23"/>
  <c r="G98" i="23"/>
  <c r="F90" i="23"/>
  <c r="F83" i="23"/>
  <c r="H86" i="23"/>
  <c r="J78" i="23"/>
  <c r="J77" i="23"/>
  <c r="F74" i="23"/>
  <c r="J74" i="23"/>
  <c r="J73" i="23"/>
  <c r="H73" i="23"/>
  <c r="J72" i="23"/>
  <c r="H72" i="23"/>
  <c r="J71" i="23"/>
  <c r="H71" i="23"/>
  <c r="J70" i="23"/>
  <c r="H70" i="23"/>
  <c r="J69" i="23"/>
  <c r="H69" i="23"/>
  <c r="J68" i="23"/>
  <c r="H68" i="23"/>
  <c r="J67" i="23"/>
  <c r="H67" i="23"/>
  <c r="H74" i="23" s="1"/>
  <c r="J66" i="23"/>
  <c r="F65" i="23"/>
  <c r="J65" i="23"/>
  <c r="J64" i="23"/>
  <c r="H64" i="23"/>
  <c r="J63" i="23"/>
  <c r="H63" i="23"/>
  <c r="J62" i="23"/>
  <c r="H62" i="23"/>
  <c r="J61" i="23"/>
  <c r="H61" i="23"/>
  <c r="J60" i="23"/>
  <c r="H60" i="23"/>
  <c r="J59" i="23"/>
  <c r="H59" i="23"/>
  <c r="J58" i="23"/>
  <c r="H58" i="23"/>
  <c r="J57" i="23"/>
  <c r="H57" i="23"/>
  <c r="J56" i="23"/>
  <c r="F55" i="23"/>
  <c r="J54" i="23"/>
  <c r="H54" i="23"/>
  <c r="J53" i="23"/>
  <c r="H53" i="23"/>
  <c r="J52" i="23"/>
  <c r="H52" i="23"/>
  <c r="J51" i="23"/>
  <c r="H51" i="23"/>
  <c r="J50" i="23"/>
  <c r="H50" i="23"/>
  <c r="H55" i="23" s="1"/>
  <c r="J49" i="23"/>
  <c r="F48" i="23"/>
  <c r="J48" i="23"/>
  <c r="J47" i="23"/>
  <c r="H47" i="23"/>
  <c r="J46" i="23"/>
  <c r="H46" i="23"/>
  <c r="J45" i="23"/>
  <c r="H45" i="23"/>
  <c r="J44" i="23"/>
  <c r="H44" i="23"/>
  <c r="J43" i="23"/>
  <c r="H43" i="23"/>
  <c r="H41" i="23"/>
  <c r="H42" i="23"/>
  <c r="J42" i="23"/>
  <c r="J41" i="23"/>
  <c r="J40" i="23"/>
  <c r="F39" i="23"/>
  <c r="J39" i="23"/>
  <c r="J38" i="23"/>
  <c r="H38" i="23"/>
  <c r="J37" i="23"/>
  <c r="H37" i="23"/>
  <c r="J36" i="23"/>
  <c r="H36" i="23"/>
  <c r="J35" i="23"/>
  <c r="H35" i="23"/>
  <c r="H33" i="23"/>
  <c r="H34" i="23"/>
  <c r="J34" i="23"/>
  <c r="J33" i="23"/>
  <c r="J32" i="23"/>
  <c r="F31" i="23"/>
  <c r="J31" i="23"/>
  <c r="J30" i="23"/>
  <c r="H30" i="23"/>
  <c r="J29" i="23"/>
  <c r="H29" i="23"/>
  <c r="J28" i="23"/>
  <c r="H28" i="23"/>
  <c r="J27" i="23"/>
  <c r="H27" i="23"/>
  <c r="J26" i="23"/>
  <c r="H26" i="23"/>
  <c r="J25" i="23"/>
  <c r="H25" i="23"/>
  <c r="J24" i="23"/>
  <c r="H24" i="23"/>
  <c r="J23" i="23"/>
  <c r="H23" i="23"/>
  <c r="J22" i="23"/>
  <c r="H22" i="23"/>
  <c r="J21" i="23"/>
  <c r="H21" i="23"/>
  <c r="J20" i="23"/>
  <c r="H20" i="23"/>
  <c r="J19" i="23"/>
  <c r="H19" i="23"/>
  <c r="J18" i="23"/>
  <c r="H18" i="23"/>
  <c r="J17" i="23"/>
  <c r="F16" i="23"/>
  <c r="J15" i="23"/>
  <c r="H15" i="23"/>
  <c r="H13" i="23"/>
  <c r="H14" i="23"/>
  <c r="J14" i="23"/>
  <c r="J13" i="23"/>
  <c r="J12" i="23"/>
  <c r="J11" i="23"/>
  <c r="F10" i="23"/>
  <c r="J9" i="23"/>
  <c r="H9" i="23"/>
  <c r="J8" i="23"/>
  <c r="H8" i="23"/>
  <c r="J7" i="23"/>
  <c r="H7" i="23"/>
  <c r="J6" i="23"/>
  <c r="H6" i="23"/>
  <c r="J5" i="23"/>
  <c r="H5" i="23"/>
  <c r="J17" i="21"/>
  <c r="I17" i="21"/>
  <c r="H17" i="21"/>
  <c r="G17" i="21"/>
  <c r="F17" i="21"/>
  <c r="K17" i="21"/>
  <c r="F26" i="3"/>
  <c r="G26" i="3"/>
  <c r="E26" i="3"/>
  <c r="O19" i="4"/>
  <c r="E7" i="3"/>
  <c r="AB48" i="14"/>
  <c r="AB49" i="14"/>
  <c r="AB50" i="14"/>
  <c r="AB51" i="14"/>
  <c r="AB52" i="14"/>
  <c r="AB53" i="14"/>
  <c r="AB54" i="14"/>
  <c r="AB55" i="14"/>
  <c r="AB56" i="14"/>
  <c r="AB47" i="14"/>
  <c r="AB44" i="14"/>
  <c r="Z48" i="14"/>
  <c r="Z49" i="14"/>
  <c r="Z50" i="14"/>
  <c r="Z51" i="14"/>
  <c r="Z52" i="14"/>
  <c r="Z53" i="14"/>
  <c r="Z54" i="14"/>
  <c r="Z55" i="14"/>
  <c r="Z56" i="14"/>
  <c r="Z47" i="14"/>
  <c r="Z44" i="14"/>
  <c r="X48" i="14"/>
  <c r="X49" i="14"/>
  <c r="X50" i="14"/>
  <c r="X51" i="14"/>
  <c r="X52" i="14"/>
  <c r="X53" i="14"/>
  <c r="X54" i="14"/>
  <c r="X55" i="14"/>
  <c r="X56" i="14"/>
  <c r="X47" i="14"/>
  <c r="X44" i="14"/>
  <c r="V48" i="14"/>
  <c r="V49" i="14"/>
  <c r="V50" i="14"/>
  <c r="V51" i="14"/>
  <c r="V52" i="14"/>
  <c r="V53" i="14"/>
  <c r="V54" i="14"/>
  <c r="V55" i="14"/>
  <c r="V56" i="14"/>
  <c r="V47" i="14"/>
  <c r="V44" i="14" s="1"/>
  <c r="T48" i="14"/>
  <c r="T49" i="14"/>
  <c r="T50" i="14"/>
  <c r="T51" i="14"/>
  <c r="T52" i="14"/>
  <c r="T53" i="14"/>
  <c r="T54" i="14"/>
  <c r="T55" i="14"/>
  <c r="T56" i="14"/>
  <c r="T47" i="14"/>
  <c r="T44" i="14"/>
  <c r="R48" i="14"/>
  <c r="R49" i="14"/>
  <c r="R50" i="14"/>
  <c r="R51" i="14"/>
  <c r="R52" i="14"/>
  <c r="R53" i="14"/>
  <c r="R54" i="14"/>
  <c r="R55" i="14"/>
  <c r="R56" i="14"/>
  <c r="R47" i="14"/>
  <c r="R44" i="14" s="1"/>
  <c r="P48" i="14"/>
  <c r="P49" i="14"/>
  <c r="P50" i="14"/>
  <c r="P51" i="14"/>
  <c r="P52" i="14"/>
  <c r="P53" i="14"/>
  <c r="P54" i="14"/>
  <c r="P55" i="14"/>
  <c r="P56" i="14"/>
  <c r="P47" i="14"/>
  <c r="P44" i="14"/>
  <c r="N48" i="14"/>
  <c r="N49" i="14"/>
  <c r="N50" i="14"/>
  <c r="N51" i="14"/>
  <c r="N52" i="14"/>
  <c r="N53" i="14"/>
  <c r="N54" i="14"/>
  <c r="N55" i="14"/>
  <c r="N56" i="14"/>
  <c r="N47" i="14"/>
  <c r="N44" i="14"/>
  <c r="L48" i="14"/>
  <c r="L49" i="14"/>
  <c r="L50" i="14"/>
  <c r="L51" i="14"/>
  <c r="L52" i="14"/>
  <c r="L53" i="14"/>
  <c r="L54" i="14"/>
  <c r="L55" i="14"/>
  <c r="L56" i="14"/>
  <c r="L47" i="14"/>
  <c r="L44" i="14" s="1"/>
  <c r="J55" i="14"/>
  <c r="J56" i="14"/>
  <c r="H48" i="14"/>
  <c r="H49" i="14"/>
  <c r="H50" i="14"/>
  <c r="H51" i="14"/>
  <c r="H52" i="14"/>
  <c r="H53" i="14"/>
  <c r="H54" i="14"/>
  <c r="H55" i="14"/>
  <c r="H56" i="14"/>
  <c r="H47" i="14"/>
  <c r="H44" i="14"/>
  <c r="F48" i="14"/>
  <c r="F49" i="14"/>
  <c r="F50" i="14"/>
  <c r="F51" i="14"/>
  <c r="F52" i="14"/>
  <c r="F53" i="14"/>
  <c r="F54" i="14"/>
  <c r="F47" i="14"/>
  <c r="F55" i="14"/>
  <c r="F56" i="14"/>
  <c r="AB29" i="14"/>
  <c r="AB30" i="14"/>
  <c r="AB31" i="14"/>
  <c r="AB32" i="14"/>
  <c r="AB33" i="14"/>
  <c r="AB34" i="14"/>
  <c r="AB35" i="14"/>
  <c r="AB36" i="14"/>
  <c r="AB37" i="14"/>
  <c r="AB28" i="14"/>
  <c r="AB25" i="14" s="1"/>
  <c r="Z29" i="14"/>
  <c r="Z30" i="14"/>
  <c r="Z31" i="14"/>
  <c r="Z32" i="14"/>
  <c r="Z33" i="14"/>
  <c r="Z34" i="14"/>
  <c r="Z35" i="14"/>
  <c r="Z36" i="14"/>
  <c r="Z37" i="14"/>
  <c r="Z28" i="14"/>
  <c r="Z25" i="14" s="1"/>
  <c r="X29" i="14"/>
  <c r="X30" i="14"/>
  <c r="X31" i="14"/>
  <c r="X32" i="14"/>
  <c r="X33" i="14"/>
  <c r="X34" i="14"/>
  <c r="X35" i="14"/>
  <c r="X36" i="14"/>
  <c r="X37" i="14"/>
  <c r="X28" i="14"/>
  <c r="X25" i="14" s="1"/>
  <c r="V29" i="14"/>
  <c r="V30" i="14"/>
  <c r="V31" i="14"/>
  <c r="V32" i="14"/>
  <c r="V33" i="14"/>
  <c r="V34" i="14"/>
  <c r="V35" i="14"/>
  <c r="V36" i="14"/>
  <c r="V37" i="14"/>
  <c r="V28" i="14"/>
  <c r="V25" i="14"/>
  <c r="T29" i="14"/>
  <c r="T30" i="14"/>
  <c r="T31" i="14"/>
  <c r="T32" i="14"/>
  <c r="T33" i="14"/>
  <c r="T34" i="14"/>
  <c r="T35" i="14"/>
  <c r="T36" i="14"/>
  <c r="T37" i="14"/>
  <c r="T28" i="14"/>
  <c r="T25" i="14"/>
  <c r="R29" i="14"/>
  <c r="R30" i="14"/>
  <c r="R31" i="14"/>
  <c r="R32" i="14"/>
  <c r="R33" i="14"/>
  <c r="R34" i="14"/>
  <c r="R35" i="14"/>
  <c r="R36" i="14"/>
  <c r="R37" i="14"/>
  <c r="R28" i="14"/>
  <c r="R25" i="14"/>
  <c r="P29" i="14"/>
  <c r="P30" i="14"/>
  <c r="P31" i="14"/>
  <c r="P32" i="14"/>
  <c r="P33" i="14"/>
  <c r="P34" i="14"/>
  <c r="P35" i="14"/>
  <c r="P36" i="14"/>
  <c r="P37" i="14"/>
  <c r="P28" i="14"/>
  <c r="P25" i="14"/>
  <c r="N29" i="14"/>
  <c r="N28" i="14"/>
  <c r="N30" i="14"/>
  <c r="N31" i="14"/>
  <c r="N32" i="14"/>
  <c r="N33" i="14"/>
  <c r="N34" i="14"/>
  <c r="N35" i="14"/>
  <c r="N36" i="14"/>
  <c r="N37" i="14"/>
  <c r="L29" i="14"/>
  <c r="L30" i="14"/>
  <c r="L31" i="14"/>
  <c r="L32" i="14"/>
  <c r="L33" i="14"/>
  <c r="L34" i="14"/>
  <c r="L35" i="14"/>
  <c r="L36" i="14"/>
  <c r="L37" i="14"/>
  <c r="L28" i="14"/>
  <c r="L25" i="14" s="1"/>
  <c r="J29" i="14"/>
  <c r="J30" i="14"/>
  <c r="J31" i="14"/>
  <c r="J32" i="14"/>
  <c r="J33" i="14"/>
  <c r="J34" i="14"/>
  <c r="J35" i="14"/>
  <c r="J36" i="14"/>
  <c r="J37" i="14"/>
  <c r="J28" i="14"/>
  <c r="J25" i="14"/>
  <c r="H29" i="14"/>
  <c r="H28" i="14"/>
  <c r="H30" i="14"/>
  <c r="H31" i="14"/>
  <c r="H32" i="14"/>
  <c r="H33" i="14"/>
  <c r="H34" i="14"/>
  <c r="H35" i="14"/>
  <c r="H36" i="14"/>
  <c r="H37" i="14"/>
  <c r="F28" i="14"/>
  <c r="F29" i="14"/>
  <c r="F30" i="14"/>
  <c r="F31" i="14"/>
  <c r="F32" i="14"/>
  <c r="F33" i="14"/>
  <c r="F34" i="14"/>
  <c r="F35" i="14"/>
  <c r="F36" i="14"/>
  <c r="F37" i="14"/>
  <c r="AB10" i="14"/>
  <c r="AB11" i="14"/>
  <c r="AB12" i="14"/>
  <c r="AB13" i="14"/>
  <c r="AB14" i="14"/>
  <c r="AB15" i="14"/>
  <c r="AB16" i="14"/>
  <c r="AB9" i="14"/>
  <c r="AB17" i="14"/>
  <c r="AB18" i="14"/>
  <c r="Z10" i="14"/>
  <c r="Z9" i="14"/>
  <c r="Z11" i="14"/>
  <c r="Z12" i="14"/>
  <c r="Z13" i="14"/>
  <c r="Z14" i="14"/>
  <c r="Z15" i="14"/>
  <c r="Z16" i="14"/>
  <c r="Z17" i="14"/>
  <c r="Z18" i="14"/>
  <c r="X10" i="14"/>
  <c r="X11" i="14"/>
  <c r="X12" i="14"/>
  <c r="X13" i="14"/>
  <c r="X14" i="14"/>
  <c r="X15" i="14"/>
  <c r="X16" i="14"/>
  <c r="X17" i="14"/>
  <c r="X18" i="14"/>
  <c r="X9" i="14"/>
  <c r="X6" i="14"/>
  <c r="V10" i="14"/>
  <c r="V11" i="14"/>
  <c r="V12" i="14"/>
  <c r="V13" i="14"/>
  <c r="V14" i="14"/>
  <c r="V15" i="14"/>
  <c r="V16" i="14"/>
  <c r="V17" i="14"/>
  <c r="V18" i="14"/>
  <c r="V9" i="14"/>
  <c r="V6" i="14"/>
  <c r="T10" i="14"/>
  <c r="T9" i="14"/>
  <c r="T11" i="14"/>
  <c r="T12" i="14"/>
  <c r="T13" i="14"/>
  <c r="T14" i="14"/>
  <c r="T15" i="14"/>
  <c r="T16" i="14"/>
  <c r="T17" i="14"/>
  <c r="T18" i="14"/>
  <c r="R18" i="14"/>
  <c r="R10" i="14"/>
  <c r="R11" i="14"/>
  <c r="R12" i="14"/>
  <c r="R13" i="14"/>
  <c r="R14" i="14"/>
  <c r="R15" i="14"/>
  <c r="R16" i="14"/>
  <c r="R17" i="14"/>
  <c r="R9" i="14"/>
  <c r="P10" i="14"/>
  <c r="P11" i="14"/>
  <c r="P12" i="14"/>
  <c r="P13" i="14"/>
  <c r="P14" i="14"/>
  <c r="P15" i="14"/>
  <c r="P16" i="14"/>
  <c r="P17" i="14"/>
  <c r="P18" i="14"/>
  <c r="P9" i="14"/>
  <c r="P6" i="14" s="1"/>
  <c r="N10" i="14"/>
  <c r="N11" i="14"/>
  <c r="N12" i="14"/>
  <c r="N13" i="14"/>
  <c r="N14" i="14"/>
  <c r="N15" i="14"/>
  <c r="N16" i="14"/>
  <c r="N17" i="14"/>
  <c r="N18" i="14"/>
  <c r="N9" i="14"/>
  <c r="N6" i="14"/>
  <c r="L10" i="14"/>
  <c r="L11" i="14"/>
  <c r="L12" i="14"/>
  <c r="L13" i="14"/>
  <c r="L14" i="14"/>
  <c r="L15" i="14"/>
  <c r="L16" i="14"/>
  <c r="L17" i="14"/>
  <c r="L18" i="14"/>
  <c r="L9" i="14"/>
  <c r="L6" i="14" s="1"/>
  <c r="J10" i="14"/>
  <c r="J11" i="14"/>
  <c r="J12" i="14"/>
  <c r="J13" i="14"/>
  <c r="J14" i="14"/>
  <c r="J15" i="14"/>
  <c r="J16" i="14"/>
  <c r="J17" i="14"/>
  <c r="J18" i="14"/>
  <c r="J9" i="14"/>
  <c r="J6" i="14"/>
  <c r="H10" i="14"/>
  <c r="H11" i="14"/>
  <c r="H12" i="14"/>
  <c r="H13" i="14"/>
  <c r="H14" i="14"/>
  <c r="H15" i="14"/>
  <c r="H16" i="14"/>
  <c r="H17" i="14"/>
  <c r="H18" i="14"/>
  <c r="H9" i="14"/>
  <c r="H6" i="14" s="1"/>
  <c r="F10" i="14"/>
  <c r="F11" i="14"/>
  <c r="F12" i="14"/>
  <c r="F13" i="14"/>
  <c r="F14" i="14"/>
  <c r="F15" i="14"/>
  <c r="F16" i="14"/>
  <c r="F17" i="14"/>
  <c r="F18" i="14"/>
  <c r="F9" i="14"/>
  <c r="F6" i="14"/>
  <c r="N2" i="4"/>
  <c r="O3" i="15"/>
  <c r="O32" i="15"/>
  <c r="O61" i="15"/>
  <c r="M2" i="4"/>
  <c r="L2" i="4"/>
  <c r="K2" i="4"/>
  <c r="L3" i="15"/>
  <c r="L32" i="15"/>
  <c r="L61" i="15"/>
  <c r="J2" i="4"/>
  <c r="J2" i="6"/>
  <c r="I2" i="4"/>
  <c r="H2" i="4"/>
  <c r="G2" i="4"/>
  <c r="G2" i="6"/>
  <c r="F2" i="4"/>
  <c r="G3" i="15"/>
  <c r="G32" i="15"/>
  <c r="G61" i="15"/>
  <c r="E2" i="4"/>
  <c r="D2" i="4"/>
  <c r="C2" i="4"/>
  <c r="C2" i="5"/>
  <c r="D6" i="15"/>
  <c r="P6" i="15"/>
  <c r="D33" i="9"/>
  <c r="F11" i="3"/>
  <c r="J40" i="11"/>
  <c r="G40" i="11"/>
  <c r="D40" i="11"/>
  <c r="J16" i="11"/>
  <c r="G16" i="11"/>
  <c r="D16" i="11"/>
  <c r="D47" i="17"/>
  <c r="K9" i="11"/>
  <c r="H9" i="11"/>
  <c r="I14" i="17"/>
  <c r="I47" i="17"/>
  <c r="N11" i="10"/>
  <c r="E26" i="10"/>
  <c r="I29" i="10"/>
  <c r="E32" i="20"/>
  <c r="I50" i="10"/>
  <c r="J56" i="20"/>
  <c r="H18" i="20"/>
  <c r="J18" i="20"/>
  <c r="H17" i="20"/>
  <c r="J17" i="20"/>
  <c r="H16" i="20"/>
  <c r="J16" i="20"/>
  <c r="H15" i="20"/>
  <c r="J15" i="20"/>
  <c r="H14" i="20"/>
  <c r="J14" i="20"/>
  <c r="H13" i="20"/>
  <c r="J13" i="20"/>
  <c r="H12" i="20"/>
  <c r="J12" i="20"/>
  <c r="H11" i="20"/>
  <c r="J11" i="20"/>
  <c r="H10" i="20"/>
  <c r="J10" i="20"/>
  <c r="H9" i="20"/>
  <c r="H8" i="20"/>
  <c r="H7" i="20"/>
  <c r="J8" i="20"/>
  <c r="H33" i="9"/>
  <c r="F33" i="9"/>
  <c r="E9" i="8"/>
  <c r="E7" i="8"/>
  <c r="E9" i="11"/>
  <c r="O47" i="17"/>
  <c r="P44" i="17"/>
  <c r="P43" i="17"/>
  <c r="P42" i="17"/>
  <c r="P41" i="17"/>
  <c r="P40" i="17"/>
  <c r="P39" i="17"/>
  <c r="P38" i="17"/>
  <c r="P37" i="17"/>
  <c r="P36" i="17"/>
  <c r="P34" i="17"/>
  <c r="P33" i="17"/>
  <c r="P32" i="17"/>
  <c r="P31" i="17"/>
  <c r="P30" i="17"/>
  <c r="P29" i="17"/>
  <c r="P28" i="17"/>
  <c r="P27" i="17"/>
  <c r="P26" i="17"/>
  <c r="E33" i="6"/>
  <c r="I33" i="6"/>
  <c r="E32" i="6"/>
  <c r="I32" i="6"/>
  <c r="E33" i="5"/>
  <c r="I33" i="5"/>
  <c r="E32" i="5"/>
  <c r="I32" i="5"/>
  <c r="I31" i="5"/>
  <c r="E33" i="4"/>
  <c r="I33" i="4"/>
  <c r="E32" i="4"/>
  <c r="E8" i="9"/>
  <c r="D8" i="9"/>
  <c r="H54" i="10"/>
  <c r="D5" i="15"/>
  <c r="F41" i="4"/>
  <c r="F43" i="4"/>
  <c r="I10" i="10"/>
  <c r="G14" i="10"/>
  <c r="D10" i="9"/>
  <c r="H67" i="9"/>
  <c r="I67" i="9"/>
  <c r="H68" i="9"/>
  <c r="H69" i="9"/>
  <c r="H70" i="9"/>
  <c r="I70" i="9"/>
  <c r="H71" i="9"/>
  <c r="H72" i="9"/>
  <c r="H77" i="9"/>
  <c r="I77" i="9"/>
  <c r="I79" i="9"/>
  <c r="I81" i="9"/>
  <c r="D21" i="9"/>
  <c r="E7" i="9"/>
  <c r="E12" i="9"/>
  <c r="D9" i="9"/>
  <c r="D11" i="9"/>
  <c r="F39" i="9"/>
  <c r="F49" i="9"/>
  <c r="AD9" i="14"/>
  <c r="AC9" i="14"/>
  <c r="AH9" i="14"/>
  <c r="O7" i="4"/>
  <c r="F38" i="4"/>
  <c r="F44" i="4"/>
  <c r="F37" i="5"/>
  <c r="F40" i="5"/>
  <c r="F37" i="6"/>
  <c r="F40" i="6"/>
  <c r="D26" i="15"/>
  <c r="E26" i="15"/>
  <c r="F26" i="15"/>
  <c r="G26" i="15"/>
  <c r="H26" i="15"/>
  <c r="I26" i="15"/>
  <c r="J26" i="15"/>
  <c r="K26" i="15"/>
  <c r="L26" i="15"/>
  <c r="M26" i="15"/>
  <c r="N26" i="15"/>
  <c r="O26" i="15"/>
  <c r="D55" i="15"/>
  <c r="E55" i="15"/>
  <c r="F55" i="15"/>
  <c r="G55" i="15"/>
  <c r="H55" i="15"/>
  <c r="I55" i="15"/>
  <c r="J55" i="15"/>
  <c r="K55" i="15"/>
  <c r="L55" i="15"/>
  <c r="M55" i="15"/>
  <c r="N55" i="15"/>
  <c r="O55" i="15"/>
  <c r="D84" i="15"/>
  <c r="E84" i="15"/>
  <c r="F84" i="15"/>
  <c r="G84" i="15"/>
  <c r="H84" i="15"/>
  <c r="I84" i="15"/>
  <c r="J84" i="15"/>
  <c r="K84" i="15"/>
  <c r="L84" i="15"/>
  <c r="M84" i="15"/>
  <c r="N84" i="15"/>
  <c r="O84" i="15"/>
  <c r="O10" i="4"/>
  <c r="P2" i="15"/>
  <c r="E67" i="15" s="1"/>
  <c r="AA19" i="14"/>
  <c r="N3" i="4"/>
  <c r="D34" i="15"/>
  <c r="D38" i="15"/>
  <c r="Y19" i="14"/>
  <c r="M3" i="4"/>
  <c r="I68" i="9"/>
  <c r="F34" i="8"/>
  <c r="F35" i="8"/>
  <c r="F36" i="8"/>
  <c r="W19" i="14"/>
  <c r="L3" i="4"/>
  <c r="S19" i="14"/>
  <c r="J3" i="4"/>
  <c r="Q19" i="14"/>
  <c r="I3" i="4"/>
  <c r="O19" i="14"/>
  <c r="H3" i="4"/>
  <c r="H4" i="4"/>
  <c r="I14" i="15"/>
  <c r="M19" i="14"/>
  <c r="G3" i="4"/>
  <c r="K19" i="14"/>
  <c r="F3" i="4"/>
  <c r="I19" i="14"/>
  <c r="E3" i="4"/>
  <c r="G19" i="14"/>
  <c r="D3" i="4"/>
  <c r="E19" i="14"/>
  <c r="C3" i="4"/>
  <c r="C4" i="4"/>
  <c r="AD47" i="14"/>
  <c r="C28" i="8"/>
  <c r="G28" i="8"/>
  <c r="C54" i="8"/>
  <c r="F30" i="11"/>
  <c r="H33" i="11"/>
  <c r="I30" i="11"/>
  <c r="K33" i="11"/>
  <c r="C30" i="11"/>
  <c r="E33" i="11"/>
  <c r="K29" i="11"/>
  <c r="K28" i="11"/>
  <c r="K27" i="11"/>
  <c r="K26" i="11"/>
  <c r="K25" i="11"/>
  <c r="K30" i="11"/>
  <c r="J30" i="11"/>
  <c r="H29" i="11"/>
  <c r="H28" i="11"/>
  <c r="H27" i="11"/>
  <c r="H26" i="11"/>
  <c r="H25" i="11"/>
  <c r="H30" i="11"/>
  <c r="G30" i="11"/>
  <c r="I16" i="12"/>
  <c r="I17" i="12"/>
  <c r="G16" i="12"/>
  <c r="G17" i="12"/>
  <c r="E16" i="12"/>
  <c r="E17" i="12"/>
  <c r="E29" i="11"/>
  <c r="E25" i="11"/>
  <c r="E26" i="11"/>
  <c r="E27" i="11"/>
  <c r="E28" i="11"/>
  <c r="I8" i="10"/>
  <c r="I9" i="10"/>
  <c r="I11" i="10"/>
  <c r="I12" i="10"/>
  <c r="F6" i="9"/>
  <c r="H6" i="9"/>
  <c r="G7" i="9"/>
  <c r="G8" i="9"/>
  <c r="F8" i="9"/>
  <c r="F9" i="9"/>
  <c r="F10" i="9"/>
  <c r="F11" i="9"/>
  <c r="AD49" i="14"/>
  <c r="AD48" i="14"/>
  <c r="AD50" i="14"/>
  <c r="AD51" i="14"/>
  <c r="AD52" i="14"/>
  <c r="AD53" i="14"/>
  <c r="AD54" i="14"/>
  <c r="AD55" i="14"/>
  <c r="AD56" i="14"/>
  <c r="AC47" i="14"/>
  <c r="AC48" i="14"/>
  <c r="AC49" i="14"/>
  <c r="AC50" i="14"/>
  <c r="AC51" i="14"/>
  <c r="AC52" i="14"/>
  <c r="AC53" i="14"/>
  <c r="AC54" i="14"/>
  <c r="AC55" i="14"/>
  <c r="AC56" i="14"/>
  <c r="AD28" i="14"/>
  <c r="AD29" i="14"/>
  <c r="AD30" i="14"/>
  <c r="AD31" i="14"/>
  <c r="AD32" i="14"/>
  <c r="AD33" i="14"/>
  <c r="AD34" i="14"/>
  <c r="AD35" i="14"/>
  <c r="AD36" i="14"/>
  <c r="AD37" i="14"/>
  <c r="AD18" i="14"/>
  <c r="AD10" i="14"/>
  <c r="AD11" i="14"/>
  <c r="AD12" i="14"/>
  <c r="AD13" i="14"/>
  <c r="AD14" i="14"/>
  <c r="AD15" i="14"/>
  <c r="AD16" i="14"/>
  <c r="AD17" i="14"/>
  <c r="P66" i="15"/>
  <c r="P65" i="15"/>
  <c r="P37" i="15"/>
  <c r="P36" i="15"/>
  <c r="P50" i="15"/>
  <c r="P46" i="15"/>
  <c r="P41" i="15"/>
  <c r="P35" i="15"/>
  <c r="P21" i="15"/>
  <c r="P17" i="15"/>
  <c r="P7" i="15"/>
  <c r="P8" i="15"/>
  <c r="O7" i="6"/>
  <c r="O8" i="6"/>
  <c r="O10" i="6"/>
  <c r="I103" i="32"/>
  <c r="O11" i="6"/>
  <c r="O12" i="6"/>
  <c r="O13" i="6"/>
  <c r="O14" i="6"/>
  <c r="O15" i="6"/>
  <c r="O16" i="6"/>
  <c r="O6" i="6"/>
  <c r="I100" i="32"/>
  <c r="O7" i="5"/>
  <c r="O8" i="5"/>
  <c r="O10" i="5"/>
  <c r="O11" i="5"/>
  <c r="O12" i="5"/>
  <c r="O13" i="5"/>
  <c r="O14" i="5"/>
  <c r="H102" i="32"/>
  <c r="O15" i="5"/>
  <c r="O16" i="5"/>
  <c r="O6" i="5"/>
  <c r="H100" i="32"/>
  <c r="O8" i="4"/>
  <c r="O11" i="4"/>
  <c r="O12" i="4"/>
  <c r="O13" i="4"/>
  <c r="O14" i="4"/>
  <c r="O15" i="4"/>
  <c r="O16" i="4"/>
  <c r="O6" i="4"/>
  <c r="P75" i="15"/>
  <c r="P79" i="15"/>
  <c r="P70" i="15"/>
  <c r="G7" i="3"/>
  <c r="D54" i="11"/>
  <c r="E54" i="11"/>
  <c r="D53" i="11"/>
  <c r="E53" i="11"/>
  <c r="D52" i="11"/>
  <c r="E52" i="11"/>
  <c r="D51" i="11"/>
  <c r="E51" i="11"/>
  <c r="D50" i="11"/>
  <c r="E50" i="11"/>
  <c r="D49" i="11"/>
  <c r="E49" i="11"/>
  <c r="E11" i="8"/>
  <c r="E5" i="8"/>
  <c r="E8" i="8"/>
  <c r="E13" i="8"/>
  <c r="E12" i="8"/>
  <c r="E16" i="8"/>
  <c r="E15" i="8"/>
  <c r="E14" i="8"/>
  <c r="E6" i="8"/>
  <c r="E3" i="8"/>
  <c r="E10" i="8"/>
  <c r="P12" i="15"/>
  <c r="P64" i="15"/>
  <c r="AC10" i="14"/>
  <c r="AC11" i="14"/>
  <c r="AH11" i="14"/>
  <c r="AC12" i="14"/>
  <c r="AH12" i="14"/>
  <c r="AC13" i="14"/>
  <c r="AH13" i="14"/>
  <c r="AC14" i="14"/>
  <c r="AH14" i="14"/>
  <c r="AC15" i="14"/>
  <c r="AH15" i="14"/>
  <c r="AC16" i="14"/>
  <c r="AH16" i="14"/>
  <c r="AC17" i="14"/>
  <c r="AH17" i="14"/>
  <c r="AC18" i="14"/>
  <c r="AH18" i="14"/>
  <c r="AC28" i="14"/>
  <c r="AC29" i="14"/>
  <c r="AC30" i="14"/>
  <c r="AC31" i="14"/>
  <c r="AC32" i="14"/>
  <c r="AC33" i="14"/>
  <c r="AC34" i="14"/>
  <c r="AC35" i="14"/>
  <c r="AC36" i="14"/>
  <c r="AC37" i="14"/>
  <c r="E16" i="9"/>
  <c r="E6" i="9"/>
  <c r="I7" i="9"/>
  <c r="I8" i="9"/>
  <c r="H8" i="9"/>
  <c r="H9" i="9"/>
  <c r="H10" i="9"/>
  <c r="H11" i="9"/>
  <c r="G16" i="9"/>
  <c r="I16" i="9"/>
  <c r="G17" i="9"/>
  <c r="G18" i="9"/>
  <c r="G19" i="9"/>
  <c r="G20" i="9"/>
  <c r="I17" i="9"/>
  <c r="I18" i="9"/>
  <c r="I19" i="9"/>
  <c r="E20" i="9"/>
  <c r="I20" i="9"/>
  <c r="D47" i="9"/>
  <c r="E8" i="3"/>
  <c r="F8" i="3"/>
  <c r="E9" i="3"/>
  <c r="F9" i="3"/>
  <c r="F10" i="3" s="1"/>
  <c r="D10" i="3"/>
  <c r="D28" i="3"/>
  <c r="D22" i="3"/>
  <c r="D19" i="3"/>
  <c r="D14" i="3"/>
  <c r="D29" i="3"/>
  <c r="D33" i="3"/>
  <c r="E11" i="3"/>
  <c r="G11" i="3"/>
  <c r="E12" i="3"/>
  <c r="F12" i="3"/>
  <c r="G12" i="3"/>
  <c r="H12" i="3"/>
  <c r="J12" i="3"/>
  <c r="K12" i="3"/>
  <c r="F13" i="3"/>
  <c r="G13" i="3"/>
  <c r="F14" i="3"/>
  <c r="E13" i="3"/>
  <c r="E15" i="3"/>
  <c r="F15" i="3"/>
  <c r="E16" i="3"/>
  <c r="F16" i="3"/>
  <c r="H16" i="3"/>
  <c r="G16" i="3"/>
  <c r="E17" i="3"/>
  <c r="F17" i="3"/>
  <c r="G17" i="3"/>
  <c r="E18" i="3"/>
  <c r="E19" i="3"/>
  <c r="F18" i="3"/>
  <c r="E20" i="3"/>
  <c r="F20" i="3"/>
  <c r="F21" i="3"/>
  <c r="G21" i="3"/>
  <c r="E21" i="3"/>
  <c r="E22" i="3" s="1"/>
  <c r="E23" i="3"/>
  <c r="F23" i="3"/>
  <c r="H23" i="3"/>
  <c r="E24" i="3"/>
  <c r="E25" i="3"/>
  <c r="E27" i="3"/>
  <c r="F24" i="3"/>
  <c r="H24" i="3"/>
  <c r="I24" i="3"/>
  <c r="F25" i="3"/>
  <c r="G25" i="3"/>
  <c r="H25" i="3"/>
  <c r="J25" i="3"/>
  <c r="K25" i="3"/>
  <c r="F27" i="3"/>
  <c r="H27" i="3"/>
  <c r="E30" i="3"/>
  <c r="F30" i="3"/>
  <c r="E31" i="3"/>
  <c r="F31" i="3"/>
  <c r="H31" i="3"/>
  <c r="J31" i="3"/>
  <c r="E32" i="3"/>
  <c r="F32" i="3"/>
  <c r="J34" i="3"/>
  <c r="K34" i="3"/>
  <c r="C6" i="1"/>
  <c r="E19" i="9"/>
  <c r="E17" i="9"/>
  <c r="E18" i="9"/>
  <c r="C21" i="12"/>
  <c r="H11" i="3"/>
  <c r="I11" i="3"/>
  <c r="H7" i="3"/>
  <c r="I7" i="3"/>
  <c r="P35" i="17"/>
  <c r="P45" i="17"/>
  <c r="I31" i="6"/>
  <c r="H17" i="3"/>
  <c r="I17" i="3"/>
  <c r="H97" i="9"/>
  <c r="J7" i="20"/>
  <c r="K2" i="6"/>
  <c r="U3" i="14"/>
  <c r="U22" i="14"/>
  <c r="U41" i="14"/>
  <c r="H26" i="3"/>
  <c r="I26" i="3"/>
  <c r="K2" i="5"/>
  <c r="I2" i="5"/>
  <c r="M3" i="14"/>
  <c r="M22" i="14"/>
  <c r="M41" i="14"/>
  <c r="J10" i="23"/>
  <c r="W3" i="14"/>
  <c r="W22" i="14"/>
  <c r="W41" i="14"/>
  <c r="F2" i="5"/>
  <c r="G2" i="5"/>
  <c r="F2" i="6"/>
  <c r="E2" i="5"/>
  <c r="J29" i="25"/>
  <c r="K30" i="25"/>
  <c r="J30" i="25"/>
  <c r="J11" i="3"/>
  <c r="K11" i="3"/>
  <c r="I16" i="3"/>
  <c r="AA3" i="14"/>
  <c r="AA22" i="14"/>
  <c r="AA41" i="14"/>
  <c r="N2" i="6"/>
  <c r="H3" i="15"/>
  <c r="H32" i="15"/>
  <c r="H61" i="15"/>
  <c r="N2" i="5"/>
  <c r="P46" i="17"/>
  <c r="J17" i="3"/>
  <c r="K17" i="3"/>
  <c r="G18" i="3"/>
  <c r="H18" i="3"/>
  <c r="J18" i="3"/>
  <c r="K18" i="3"/>
  <c r="I18" i="3"/>
  <c r="G24" i="3"/>
  <c r="S3" i="14"/>
  <c r="S22" i="14"/>
  <c r="S41" i="14"/>
  <c r="F33" i="3"/>
  <c r="G23" i="3"/>
  <c r="K3" i="14"/>
  <c r="K22" i="14"/>
  <c r="K41" i="14"/>
  <c r="K29" i="25"/>
  <c r="I25" i="3"/>
  <c r="C40" i="32"/>
  <c r="C41" i="32"/>
  <c r="C42" i="32"/>
  <c r="H13" i="3"/>
  <c r="J13" i="3"/>
  <c r="K13" i="3"/>
  <c r="K14" i="3" s="1"/>
  <c r="J23" i="3"/>
  <c r="K23" i="3"/>
  <c r="I23" i="3"/>
  <c r="G9" i="3"/>
  <c r="H9" i="3"/>
  <c r="I9" i="3"/>
  <c r="C2" i="6"/>
  <c r="D3" i="15"/>
  <c r="D32" i="15"/>
  <c r="D61" i="15"/>
  <c r="E3" i="14"/>
  <c r="E22" i="14"/>
  <c r="E41" i="14"/>
  <c r="M2" i="6"/>
  <c r="M2" i="5"/>
  <c r="I101" i="32"/>
  <c r="O3" i="14"/>
  <c r="O22" i="14"/>
  <c r="O41" i="14"/>
  <c r="D9" i="15"/>
  <c r="I31" i="3"/>
  <c r="G31" i="3"/>
  <c r="D7" i="9"/>
  <c r="D12" i="9"/>
  <c r="D14" i="9"/>
  <c r="H115" i="9"/>
  <c r="H21" i="3"/>
  <c r="J21" i="3"/>
  <c r="K21" i="3"/>
  <c r="I35" i="8"/>
  <c r="H35" i="8"/>
  <c r="G6" i="9"/>
  <c r="F21" i="9"/>
  <c r="K28" i="25"/>
  <c r="K3" i="15"/>
  <c r="K32" i="15"/>
  <c r="K61" i="15"/>
  <c r="J2" i="5"/>
  <c r="W28" i="3"/>
  <c r="H48" i="23"/>
  <c r="X12" i="3"/>
  <c r="X11" i="3"/>
  <c r="X14" i="3"/>
  <c r="H83" i="23"/>
  <c r="I21" i="3"/>
  <c r="E16" i="32"/>
  <c r="F16" i="32"/>
  <c r="D17" i="32"/>
  <c r="E17" i="32"/>
  <c r="I32" i="25"/>
  <c r="K32" i="25"/>
  <c r="J32" i="25"/>
  <c r="E14" i="9"/>
  <c r="J31" i="25"/>
  <c r="I31" i="25"/>
  <c r="K31" i="25"/>
  <c r="K34" i="25"/>
  <c r="K35" i="25"/>
  <c r="H34" i="25"/>
  <c r="G35" i="25"/>
  <c r="I102" i="32"/>
  <c r="H32" i="3"/>
  <c r="J32" i="3"/>
  <c r="G32" i="3"/>
  <c r="H65" i="23"/>
  <c r="J9" i="3"/>
  <c r="K9" i="3"/>
  <c r="G27" i="3"/>
  <c r="H20" i="20"/>
  <c r="N8" i="20"/>
  <c r="J9" i="20"/>
  <c r="J20" i="20"/>
  <c r="D2" i="5"/>
  <c r="E3" i="15"/>
  <c r="E32" i="15"/>
  <c r="E61" i="15"/>
  <c r="D2" i="6"/>
  <c r="G3" i="14"/>
  <c r="G22" i="14"/>
  <c r="G41" i="14"/>
  <c r="I2" i="6"/>
  <c r="Q3" i="14"/>
  <c r="Q22" i="14"/>
  <c r="Q41" i="14"/>
  <c r="J3" i="15"/>
  <c r="J32" i="15"/>
  <c r="J61" i="15"/>
  <c r="F75" i="23"/>
  <c r="J16" i="23"/>
  <c r="I106" i="9"/>
  <c r="X29" i="3"/>
  <c r="X7" i="3"/>
  <c r="X17" i="3"/>
  <c r="X8" i="3"/>
  <c r="X13" i="3"/>
  <c r="X20" i="3"/>
  <c r="X28" i="3"/>
  <c r="X24" i="3"/>
  <c r="X26" i="3"/>
  <c r="X27" i="3"/>
  <c r="X19" i="3"/>
  <c r="X16" i="3"/>
  <c r="X22" i="3"/>
  <c r="X9" i="3"/>
  <c r="X10" i="3"/>
  <c r="X15" i="3"/>
  <c r="X23" i="3"/>
  <c r="F22" i="3"/>
  <c r="H20" i="3"/>
  <c r="H22" i="3"/>
  <c r="G20" i="3"/>
  <c r="G22" i="3"/>
  <c r="G15" i="3"/>
  <c r="F19" i="3"/>
  <c r="H15" i="3"/>
  <c r="I15" i="3"/>
  <c r="J15" i="3"/>
  <c r="H7" i="9"/>
  <c r="H12" i="9"/>
  <c r="H14" i="9"/>
  <c r="I12" i="9"/>
  <c r="G12" i="9"/>
  <c r="F7" i="9"/>
  <c r="F12" i="9"/>
  <c r="F14" i="9"/>
  <c r="E30" i="11"/>
  <c r="D30" i="11"/>
  <c r="E2" i="6"/>
  <c r="I3" i="14"/>
  <c r="I22" i="14"/>
  <c r="I41" i="14"/>
  <c r="F3" i="15"/>
  <c r="F32" i="15"/>
  <c r="F61" i="15"/>
  <c r="R6" i="14"/>
  <c r="H101" i="32"/>
  <c r="H31" i="23"/>
  <c r="H39" i="23"/>
  <c r="J55" i="23"/>
  <c r="F76" i="23"/>
  <c r="J76" i="23"/>
  <c r="I32" i="4"/>
  <c r="I31" i="4"/>
  <c r="H2" i="6"/>
  <c r="I3" i="15"/>
  <c r="I32" i="15"/>
  <c r="I61" i="15"/>
  <c r="H2" i="5"/>
  <c r="H10" i="23"/>
  <c r="J24" i="3"/>
  <c r="K24" i="3"/>
  <c r="H30" i="3"/>
  <c r="J30" i="3"/>
  <c r="J33" i="3"/>
  <c r="G30" i="3"/>
  <c r="N3" i="15"/>
  <c r="N32" i="15"/>
  <c r="N61" i="15"/>
  <c r="Y3" i="14"/>
  <c r="Y22" i="14"/>
  <c r="Y41" i="14"/>
  <c r="I14" i="10"/>
  <c r="I32" i="10"/>
  <c r="L2" i="5"/>
  <c r="L2" i="6"/>
  <c r="M3" i="15"/>
  <c r="M32" i="15"/>
  <c r="M61" i="15"/>
  <c r="C23" i="32"/>
  <c r="I6" i="9"/>
  <c r="H21" i="9"/>
  <c r="I19" i="21"/>
  <c r="I25" i="21"/>
  <c r="I13" i="3"/>
  <c r="I28" i="25"/>
  <c r="C31" i="32"/>
  <c r="C32" i="32" s="1"/>
  <c r="I20" i="20"/>
  <c r="I34" i="25"/>
  <c r="I35" i="25"/>
  <c r="J34" i="25"/>
  <c r="J35" i="25"/>
  <c r="I32" i="3"/>
  <c r="K32" i="3"/>
  <c r="G33" i="3"/>
  <c r="I34" i="10"/>
  <c r="I33" i="10"/>
  <c r="H14" i="10"/>
  <c r="I20" i="3"/>
  <c r="I22" i="3"/>
  <c r="J20" i="3"/>
  <c r="K20" i="3"/>
  <c r="K22" i="3"/>
  <c r="J75" i="23"/>
  <c r="I30" i="3"/>
  <c r="I33" i="3"/>
  <c r="K30" i="3"/>
  <c r="H92" i="9"/>
  <c r="I21" i="9"/>
  <c r="G38" i="8"/>
  <c r="E16" i="15"/>
  <c r="J45" i="15"/>
  <c r="F17" i="32"/>
  <c r="G63" i="15"/>
  <c r="G67" i="15"/>
  <c r="F4" i="5"/>
  <c r="G43" i="15"/>
  <c r="C4" i="5"/>
  <c r="H103" i="32"/>
  <c r="G101" i="32"/>
  <c r="G100" i="32"/>
  <c r="J7" i="3"/>
  <c r="K7" i="3"/>
  <c r="K31" i="3"/>
  <c r="K33" i="3"/>
  <c r="D35" i="3"/>
  <c r="C40" i="4"/>
  <c r="H33" i="3"/>
  <c r="J27" i="3"/>
  <c r="K27" i="3"/>
  <c r="K28" i="3"/>
  <c r="I27" i="3"/>
  <c r="E28" i="3"/>
  <c r="F28" i="3"/>
  <c r="H28" i="3"/>
  <c r="G28" i="3"/>
  <c r="J22" i="3"/>
  <c r="G19" i="3"/>
  <c r="J16" i="3"/>
  <c r="K16" i="3"/>
  <c r="I19" i="3"/>
  <c r="K15" i="3"/>
  <c r="K19" i="3"/>
  <c r="H19" i="3"/>
  <c r="G14" i="3"/>
  <c r="I12" i="3"/>
  <c r="I14" i="3"/>
  <c r="H14" i="3"/>
  <c r="J14" i="3"/>
  <c r="E10" i="3"/>
  <c r="F29" i="3"/>
  <c r="F35" i="3"/>
  <c r="C37" i="5"/>
  <c r="C40" i="5"/>
  <c r="C42" i="5"/>
  <c r="G8" i="3"/>
  <c r="G10" i="3"/>
  <c r="H8" i="3"/>
  <c r="H10" i="3"/>
  <c r="C44" i="4"/>
  <c r="D18" i="32"/>
  <c r="F18" i="32"/>
  <c r="F20" i="32"/>
  <c r="J28" i="3"/>
  <c r="H29" i="3"/>
  <c r="H35" i="3"/>
  <c r="C43" i="5"/>
  <c r="C39" i="5"/>
  <c r="G39" i="5"/>
  <c r="J8" i="3"/>
  <c r="K8" i="3"/>
  <c r="K10" i="3" s="1"/>
  <c r="I8" i="3"/>
  <c r="I10" i="3"/>
  <c r="G40" i="4"/>
  <c r="E18" i="32"/>
  <c r="D19" i="32"/>
  <c r="J10" i="3"/>
  <c r="F21" i="32"/>
  <c r="F22" i="32"/>
  <c r="D21" i="32"/>
  <c r="E21" i="32"/>
  <c r="I86" i="9"/>
  <c r="I108" i="9"/>
  <c r="I103" i="9"/>
  <c r="I88" i="9"/>
  <c r="I85" i="9"/>
  <c r="I107" i="9"/>
  <c r="I102" i="9"/>
  <c r="I84" i="9"/>
  <c r="I90" i="9"/>
  <c r="O6" i="25"/>
  <c r="O7" i="25"/>
  <c r="O12" i="25"/>
  <c r="O14" i="25"/>
  <c r="O18" i="25"/>
  <c r="O8" i="25"/>
  <c r="O9" i="25"/>
  <c r="O10" i="25"/>
  <c r="O11" i="25"/>
  <c r="O13" i="25"/>
  <c r="O15" i="25"/>
  <c r="F23" i="9"/>
  <c r="F24" i="14"/>
  <c r="F21" i="21"/>
  <c r="D23" i="9"/>
  <c r="J5" i="14"/>
  <c r="H21" i="21"/>
  <c r="H19" i="21"/>
  <c r="G21" i="21"/>
  <c r="J21" i="21"/>
  <c r="J25" i="21"/>
  <c r="F19" i="21"/>
  <c r="F25" i="21"/>
  <c r="G25" i="21"/>
  <c r="G19" i="21"/>
  <c r="V5" i="14"/>
  <c r="P5" i="14"/>
  <c r="T5" i="14"/>
  <c r="N5" i="14"/>
  <c r="I45" i="15"/>
  <c r="F42" i="6"/>
  <c r="F43" i="6"/>
  <c r="F43" i="5"/>
  <c r="F42" i="5"/>
  <c r="E28" i="2"/>
  <c r="J16" i="15"/>
  <c r="F45" i="15"/>
  <c r="K45" i="15"/>
  <c r="N16" i="15"/>
  <c r="C114" i="32"/>
  <c r="D114" i="32"/>
  <c r="E45" i="15"/>
  <c r="K16" i="15"/>
  <c r="H45" i="15"/>
  <c r="H114" i="32"/>
  <c r="D45" i="15"/>
  <c r="L45" i="15"/>
  <c r="M16" i="15"/>
  <c r="I114" i="32"/>
  <c r="G16" i="15"/>
  <c r="L16" i="15"/>
  <c r="I16" i="15"/>
  <c r="C28" i="2"/>
  <c r="G45" i="15"/>
  <c r="F114" i="32"/>
  <c r="E114" i="32"/>
  <c r="D28" i="2"/>
  <c r="O16" i="15"/>
  <c r="F16" i="15"/>
  <c r="H16" i="15"/>
  <c r="M45" i="15"/>
  <c r="N45" i="15"/>
  <c r="D16" i="15"/>
  <c r="P16" i="15"/>
  <c r="G114" i="32"/>
  <c r="I105" i="9"/>
  <c r="I71" i="9"/>
  <c r="I72" i="9"/>
  <c r="H23" i="9"/>
  <c r="Z24" i="14"/>
  <c r="N24" i="14"/>
  <c r="L24" i="14"/>
  <c r="AB24" i="14"/>
  <c r="V24" i="14"/>
  <c r="R24" i="14"/>
  <c r="P24" i="14"/>
  <c r="H24" i="14"/>
  <c r="K21" i="21"/>
  <c r="P43" i="14"/>
  <c r="H43" i="14"/>
  <c r="N43" i="14"/>
  <c r="X43" i="14"/>
  <c r="T43" i="14"/>
  <c r="AB43" i="14"/>
  <c r="L43" i="14"/>
  <c r="R43" i="14"/>
  <c r="J43" i="14"/>
  <c r="F43" i="14"/>
  <c r="V43" i="14"/>
  <c r="Z43" i="14"/>
  <c r="I69" i="9"/>
  <c r="I89" i="9"/>
  <c r="O20" i="25"/>
  <c r="Q15" i="25"/>
  <c r="X24" i="14"/>
  <c r="R5" i="14"/>
  <c r="F5" i="14"/>
  <c r="L5" i="14"/>
  <c r="J19" i="21"/>
  <c r="C37" i="6"/>
  <c r="C39" i="6"/>
  <c r="C43" i="6"/>
  <c r="C40" i="6"/>
  <c r="K29" i="3"/>
  <c r="K35" i="3"/>
  <c r="J79" i="23"/>
  <c r="J80" i="23"/>
  <c r="X5" i="14"/>
  <c r="H25" i="21"/>
  <c r="K25" i="21"/>
  <c r="T24" i="14"/>
  <c r="J24" i="14"/>
  <c r="H5" i="14"/>
  <c r="Z5" i="14"/>
  <c r="AB5" i="14"/>
  <c r="D24" i="32"/>
  <c r="F24" i="32"/>
  <c r="D22" i="32"/>
  <c r="E22" i="32"/>
  <c r="D20" i="32"/>
  <c r="C41" i="4"/>
  <c r="I36" i="10"/>
  <c r="F79" i="23"/>
  <c r="N10" i="10"/>
  <c r="N12" i="10"/>
  <c r="C38" i="4"/>
  <c r="I28" i="3"/>
  <c r="I29" i="3"/>
  <c r="I35" i="3"/>
  <c r="G14" i="9"/>
  <c r="J19" i="3"/>
  <c r="J29" i="3"/>
  <c r="J35" i="3"/>
  <c r="E19" i="32"/>
  <c r="I14" i="9"/>
  <c r="I23" i="9"/>
  <c r="AH10" i="14"/>
  <c r="E21" i="9"/>
  <c r="E23" i="9" s="1"/>
  <c r="E25" i="9" s="1"/>
  <c r="G21" i="9"/>
  <c r="G23" i="9" s="1"/>
  <c r="G25" i="9" s="1"/>
  <c r="X21" i="3"/>
  <c r="X25" i="3"/>
  <c r="H79" i="9"/>
  <c r="I25" i="9"/>
  <c r="C43" i="4"/>
  <c r="E24" i="32"/>
  <c r="G39" i="6"/>
  <c r="I38" i="10"/>
  <c r="I52" i="10"/>
  <c r="I35" i="10"/>
  <c r="C113" i="32"/>
  <c r="E20" i="32"/>
  <c r="E23" i="32"/>
  <c r="D113" i="32"/>
  <c r="D23" i="32"/>
  <c r="C42" i="6"/>
  <c r="F25" i="32"/>
  <c r="D25" i="32"/>
  <c r="E25" i="32"/>
  <c r="I54" i="10"/>
  <c r="I56" i="10"/>
  <c r="F26" i="32"/>
  <c r="D26" i="32"/>
  <c r="E26" i="32"/>
  <c r="E27" i="32"/>
  <c r="D27" i="32"/>
  <c r="F28" i="32"/>
  <c r="D28" i="32"/>
  <c r="D29" i="32"/>
  <c r="E29" i="32"/>
  <c r="F29" i="32"/>
  <c r="E28" i="32"/>
  <c r="E113" i="32"/>
  <c r="F30" i="32"/>
  <c r="D30" i="32"/>
  <c r="E30" i="32"/>
  <c r="D31" i="32"/>
  <c r="D33" i="32"/>
  <c r="F33" i="32"/>
  <c r="E33" i="32"/>
  <c r="F34" i="32"/>
  <c r="D34" i="32"/>
  <c r="E34" i="32"/>
  <c r="E31" i="32"/>
  <c r="D32" i="32"/>
  <c r="F37" i="8"/>
  <c r="F38" i="8"/>
  <c r="F113" i="32"/>
  <c r="G113" i="32"/>
  <c r="E32" i="32"/>
  <c r="F35" i="32"/>
  <c r="D35" i="32"/>
  <c r="J17" i="4"/>
  <c r="C17" i="4"/>
  <c r="K17" i="4"/>
  <c r="L17" i="4"/>
  <c r="H17" i="4"/>
  <c r="F17" i="4"/>
  <c r="D17" i="4"/>
  <c r="E17" i="4"/>
  <c r="N17" i="4"/>
  <c r="G17" i="4"/>
  <c r="M17" i="4"/>
  <c r="I17" i="4"/>
  <c r="F105" i="32"/>
  <c r="D36" i="32"/>
  <c r="E36" i="32"/>
  <c r="F36" i="32"/>
  <c r="E35" i="32"/>
  <c r="D105" i="32"/>
  <c r="C105" i="32"/>
  <c r="O17" i="4"/>
  <c r="E105" i="32"/>
  <c r="F37" i="32"/>
  <c r="D37" i="32"/>
  <c r="G105" i="32"/>
  <c r="E37" i="32"/>
  <c r="F38" i="32"/>
  <c r="D38" i="32"/>
  <c r="E38" i="32"/>
  <c r="F39" i="32"/>
  <c r="D39" i="32"/>
  <c r="E39" i="32"/>
  <c r="F40" i="32"/>
  <c r="D40" i="32"/>
  <c r="E40" i="32"/>
  <c r="F41" i="32"/>
  <c r="D41" i="32"/>
  <c r="E41" i="32"/>
  <c r="F42" i="32"/>
  <c r="D42" i="32"/>
  <c r="E42" i="32"/>
  <c r="F43" i="32"/>
  <c r="D43" i="32"/>
  <c r="E43" i="32"/>
  <c r="C44" i="32"/>
  <c r="F44" i="32"/>
  <c r="D44" i="32"/>
  <c r="D45" i="32"/>
  <c r="H37" i="8"/>
  <c r="H38" i="8"/>
  <c r="E17" i="5"/>
  <c r="K17" i="5"/>
  <c r="C17" i="5"/>
  <c r="G17" i="5"/>
  <c r="N17" i="5"/>
  <c r="J17" i="5"/>
  <c r="D17" i="5"/>
  <c r="M17" i="5"/>
  <c r="L17" i="5"/>
  <c r="I17" i="5"/>
  <c r="H17" i="5"/>
  <c r="F17" i="5"/>
  <c r="C46" i="32"/>
  <c r="E46" i="32"/>
  <c r="F46" i="32"/>
  <c r="D46" i="32"/>
  <c r="C45" i="32"/>
  <c r="E44" i="32"/>
  <c r="E45" i="32"/>
  <c r="H113" i="32"/>
  <c r="O45" i="15"/>
  <c r="P45" i="15"/>
  <c r="D74" i="15"/>
  <c r="D47" i="32"/>
  <c r="C47" i="32"/>
  <c r="E74" i="15"/>
  <c r="F47" i="32"/>
  <c r="E47" i="32"/>
  <c r="O17" i="5"/>
  <c r="H105" i="32"/>
  <c r="C48" i="32"/>
  <c r="F74" i="15"/>
  <c r="E48" i="32"/>
  <c r="F48" i="32"/>
  <c r="D48" i="32"/>
  <c r="C49" i="32"/>
  <c r="G74" i="15"/>
  <c r="F49" i="32"/>
  <c r="E49" i="32"/>
  <c r="D49" i="32"/>
  <c r="D50" i="32"/>
  <c r="I37" i="8"/>
  <c r="I38" i="8"/>
  <c r="F50" i="32"/>
  <c r="C50" i="32"/>
  <c r="E50" i="32"/>
  <c r="D17" i="6"/>
  <c r="G17" i="6"/>
  <c r="C17" i="6"/>
  <c r="E17" i="6"/>
  <c r="F17" i="6"/>
  <c r="H74" i="15"/>
  <c r="C51" i="32"/>
  <c r="I74" i="15"/>
  <c r="D51" i="32"/>
  <c r="H17" i="6"/>
  <c r="E51" i="32"/>
  <c r="F51" i="32"/>
  <c r="E52" i="32"/>
  <c r="F52" i="32"/>
  <c r="D52" i="32"/>
  <c r="I17" i="6"/>
  <c r="C52" i="32"/>
  <c r="J74" i="15"/>
  <c r="C53" i="32"/>
  <c r="K74" i="15"/>
  <c r="E53" i="32"/>
  <c r="D53" i="32"/>
  <c r="J17" i="6"/>
  <c r="F53" i="32"/>
  <c r="C54" i="32"/>
  <c r="L74" i="15"/>
  <c r="F54" i="32"/>
  <c r="E54" i="32"/>
  <c r="D54" i="32"/>
  <c r="K17" i="6"/>
  <c r="C55" i="32"/>
  <c r="M74" i="15"/>
  <c r="F55" i="32"/>
  <c r="D55" i="32"/>
  <c r="L17" i="6"/>
  <c r="E55" i="32"/>
  <c r="D56" i="32"/>
  <c r="M17" i="6"/>
  <c r="C56" i="32"/>
  <c r="N74" i="15"/>
  <c r="F56" i="32"/>
  <c r="E56" i="32"/>
  <c r="F57" i="32"/>
  <c r="D57" i="32"/>
  <c r="C57" i="32"/>
  <c r="E57" i="32"/>
  <c r="E58" i="32"/>
  <c r="C59" i="32"/>
  <c r="E59" i="32"/>
  <c r="F59" i="32"/>
  <c r="D59" i="32"/>
  <c r="D58" i="32"/>
  <c r="N17" i="6"/>
  <c r="I113" i="32"/>
  <c r="O74" i="15"/>
  <c r="P74" i="15"/>
  <c r="C58" i="32"/>
  <c r="C60" i="32"/>
  <c r="E60" i="32"/>
  <c r="F60" i="32"/>
  <c r="D60" i="32"/>
  <c r="O17" i="6"/>
  <c r="E61" i="32"/>
  <c r="D61" i="32"/>
  <c r="C61" i="32"/>
  <c r="F61" i="32"/>
  <c r="I105" i="32"/>
  <c r="E62" i="32"/>
  <c r="D62" i="32"/>
  <c r="C62" i="32"/>
  <c r="F62" i="32"/>
  <c r="E63" i="32"/>
  <c r="F63" i="32"/>
  <c r="D63" i="32"/>
  <c r="C63" i="32"/>
  <c r="D64" i="32"/>
  <c r="C64" i="32"/>
  <c r="E64" i="32"/>
  <c r="F64" i="32"/>
  <c r="E65" i="32"/>
  <c r="F65" i="32"/>
  <c r="C65" i="32"/>
  <c r="D65" i="32"/>
  <c r="F66" i="32"/>
  <c r="E66" i="32"/>
  <c r="D66" i="32"/>
  <c r="C66" i="32"/>
  <c r="D67" i="32"/>
  <c r="E67" i="32"/>
  <c r="F67" i="32"/>
  <c r="C67" i="32"/>
  <c r="E68" i="32"/>
  <c r="F68" i="32"/>
  <c r="D68" i="32"/>
  <c r="C68" i="32"/>
  <c r="C69" i="32"/>
  <c r="F69" i="32"/>
  <c r="E69" i="32"/>
  <c r="D69" i="32"/>
  <c r="E70" i="32"/>
  <c r="F70" i="32"/>
  <c r="D70" i="32"/>
  <c r="C70" i="32"/>
  <c r="D71" i="32"/>
  <c r="E71" i="32"/>
  <c r="F71" i="32"/>
  <c r="C71" i="32"/>
  <c r="E72" i="32"/>
  <c r="F72" i="32"/>
  <c r="C72" i="32"/>
  <c r="D72" i="32"/>
  <c r="F73" i="32"/>
  <c r="E73" i="32"/>
  <c r="C73" i="32"/>
  <c r="D73" i="32"/>
  <c r="D74" i="32"/>
  <c r="E74" i="32"/>
  <c r="F74" i="32"/>
  <c r="C74" i="32"/>
  <c r="C75" i="32"/>
  <c r="E75" i="32"/>
  <c r="F75" i="32"/>
  <c r="D75" i="32"/>
  <c r="E76" i="32"/>
  <c r="F76" i="32"/>
  <c r="C76" i="32"/>
  <c r="D76" i="32"/>
  <c r="D77" i="32"/>
  <c r="E77" i="32"/>
  <c r="F77" i="32"/>
  <c r="C77" i="32"/>
  <c r="E78" i="32"/>
  <c r="D78" i="32"/>
  <c r="C78" i="32"/>
  <c r="F78" i="32"/>
  <c r="E79" i="32"/>
  <c r="F79" i="32"/>
  <c r="D79" i="32"/>
  <c r="C79" i="32"/>
  <c r="E80" i="32"/>
  <c r="D80" i="32"/>
  <c r="C80" i="32"/>
  <c r="F80" i="32"/>
  <c r="E81" i="32"/>
  <c r="C81" i="32"/>
  <c r="F81" i="32"/>
  <c r="D81" i="32"/>
  <c r="F82" i="32"/>
  <c r="D82" i="32"/>
  <c r="D83" i="32"/>
  <c r="C82" i="32"/>
  <c r="C83" i="32"/>
  <c r="E82" i="32"/>
  <c r="E83" i="32"/>
  <c r="L39" i="6"/>
  <c r="L40" i="6"/>
  <c r="I36" i="9"/>
  <c r="L38" i="6"/>
  <c r="L40" i="5"/>
  <c r="G36" i="9"/>
  <c r="L38" i="5"/>
  <c r="L39" i="5"/>
  <c r="L41" i="4"/>
  <c r="L39" i="4"/>
  <c r="L40" i="4"/>
  <c r="E36" i="9"/>
  <c r="C4" i="6"/>
  <c r="D72" i="15"/>
  <c r="K63" i="15"/>
  <c r="F63" i="15"/>
  <c r="F67" i="15"/>
  <c r="F68" i="15"/>
  <c r="D4" i="6"/>
  <c r="E72" i="15"/>
  <c r="E68" i="15"/>
  <c r="H63" i="15"/>
  <c r="H67" i="15"/>
  <c r="F4" i="6"/>
  <c r="G72" i="15"/>
  <c r="G68" i="15"/>
  <c r="G4" i="6"/>
  <c r="H72" i="15"/>
  <c r="I63" i="15"/>
  <c r="H4" i="6"/>
  <c r="I72" i="15"/>
  <c r="J63" i="15"/>
  <c r="L63" i="15"/>
  <c r="L67" i="15"/>
  <c r="L68" i="15"/>
  <c r="J4" i="6"/>
  <c r="K72" i="15"/>
  <c r="M63" i="15"/>
  <c r="M67" i="15"/>
  <c r="M68" i="15"/>
  <c r="K4" i="6"/>
  <c r="L72" i="15"/>
  <c r="AC57" i="14"/>
  <c r="L4" i="6"/>
  <c r="M72" i="15"/>
  <c r="N63" i="15"/>
  <c r="N67" i="15"/>
  <c r="N68" i="15"/>
  <c r="O63" i="15"/>
  <c r="M4" i="6"/>
  <c r="O3" i="6"/>
  <c r="AD57" i="14"/>
  <c r="D63" i="15"/>
  <c r="N4" i="5"/>
  <c r="O43" i="15"/>
  <c r="N4" i="4"/>
  <c r="O14" i="15"/>
  <c r="M4" i="5"/>
  <c r="N43" i="15"/>
  <c r="O34" i="15"/>
  <c r="O38" i="15"/>
  <c r="O39" i="15"/>
  <c r="N34" i="15"/>
  <c r="N38" i="15"/>
  <c r="M34" i="15"/>
  <c r="K4" i="5"/>
  <c r="L43" i="15"/>
  <c r="J4" i="5"/>
  <c r="K43" i="15"/>
  <c r="L34" i="15"/>
  <c r="K34" i="15"/>
  <c r="K38" i="15"/>
  <c r="K39" i="15"/>
  <c r="J34" i="15"/>
  <c r="H4" i="5"/>
  <c r="I43" i="15"/>
  <c r="G4" i="5"/>
  <c r="H43" i="15"/>
  <c r="I34" i="15"/>
  <c r="I38" i="15"/>
  <c r="I39" i="15"/>
  <c r="H38" i="15"/>
  <c r="H39" i="15"/>
  <c r="G34" i="15"/>
  <c r="E4" i="5"/>
  <c r="F43" i="15"/>
  <c r="AC38" i="14"/>
  <c r="D4" i="5"/>
  <c r="E43" i="15"/>
  <c r="F34" i="15"/>
  <c r="F38" i="15"/>
  <c r="F39" i="15"/>
  <c r="O3" i="5"/>
  <c r="H37" i="5"/>
  <c r="D43" i="15"/>
  <c r="AD38" i="14"/>
  <c r="E34" i="15"/>
  <c r="M4" i="4"/>
  <c r="N14" i="15"/>
  <c r="O5" i="15"/>
  <c r="O9" i="15"/>
  <c r="O10" i="15"/>
  <c r="D39" i="15"/>
  <c r="F94" i="32"/>
  <c r="L4" i="4"/>
  <c r="N5" i="15"/>
  <c r="K4" i="4"/>
  <c r="L14" i="15"/>
  <c r="M5" i="15"/>
  <c r="J4" i="4"/>
  <c r="K14" i="15"/>
  <c r="L5" i="15"/>
  <c r="L9" i="15"/>
  <c r="K5" i="15"/>
  <c r="E94" i="32"/>
  <c r="I4" i="4"/>
  <c r="L10" i="15"/>
  <c r="K9" i="15"/>
  <c r="K10" i="15"/>
  <c r="J5" i="15"/>
  <c r="J9" i="15"/>
  <c r="J10" i="15"/>
  <c r="I5" i="15"/>
  <c r="G4" i="4"/>
  <c r="H14" i="15"/>
  <c r="H5" i="15"/>
  <c r="H9" i="15"/>
  <c r="F4" i="4"/>
  <c r="D94" i="32"/>
  <c r="E4" i="4"/>
  <c r="F14" i="15"/>
  <c r="G5" i="15"/>
  <c r="G9" i="15"/>
  <c r="F5" i="15"/>
  <c r="F9" i="15"/>
  <c r="F10" i="15"/>
  <c r="D4" i="4"/>
  <c r="E14" i="15"/>
  <c r="O3" i="4"/>
  <c r="E41" i="4"/>
  <c r="E43" i="4"/>
  <c r="AD19" i="14"/>
  <c r="AE12" i="14"/>
  <c r="D14" i="15"/>
  <c r="AH19" i="14"/>
  <c r="AC19" i="14"/>
  <c r="D10" i="15"/>
  <c r="E5" i="15"/>
  <c r="C94" i="32"/>
  <c r="I92" i="9"/>
  <c r="I94" i="9"/>
  <c r="H74" i="9"/>
  <c r="I66" i="9"/>
  <c r="I74" i="9"/>
  <c r="I76" i="9"/>
  <c r="C18" i="4"/>
  <c r="D18" i="4"/>
  <c r="L18" i="4"/>
  <c r="I18" i="4"/>
  <c r="F18" i="4"/>
  <c r="G18" i="4"/>
  <c r="E18" i="4"/>
  <c r="H18" i="4"/>
  <c r="N18" i="4"/>
  <c r="K67" i="15"/>
  <c r="K68" i="15"/>
  <c r="H68" i="15"/>
  <c r="I67" i="15"/>
  <c r="I68" i="15"/>
  <c r="J67" i="15"/>
  <c r="J68" i="15"/>
  <c r="O4" i="6"/>
  <c r="N72" i="15"/>
  <c r="P72" i="15"/>
  <c r="AE51" i="14"/>
  <c r="AE55" i="14"/>
  <c r="AE56" i="14"/>
  <c r="AE53" i="14"/>
  <c r="AE50" i="14"/>
  <c r="AE49" i="14"/>
  <c r="AE47" i="14"/>
  <c r="AE57" i="14"/>
  <c r="AE52" i="14"/>
  <c r="AE48" i="14"/>
  <c r="O67" i="15"/>
  <c r="O68" i="15"/>
  <c r="AE54" i="14"/>
  <c r="P8" i="6"/>
  <c r="I37" i="6"/>
  <c r="I40" i="6"/>
  <c r="I42" i="6"/>
  <c r="P19" i="6"/>
  <c r="E5" i="2"/>
  <c r="P24" i="6"/>
  <c r="P14" i="6"/>
  <c r="P16" i="6"/>
  <c r="P11" i="6"/>
  <c r="P17" i="6"/>
  <c r="E40" i="6"/>
  <c r="H40" i="6"/>
  <c r="H42" i="6"/>
  <c r="P12" i="6"/>
  <c r="P6" i="6"/>
  <c r="P10" i="6"/>
  <c r="P13" i="6"/>
  <c r="H37" i="6"/>
  <c r="P15" i="6"/>
  <c r="I94" i="32"/>
  <c r="P7" i="6"/>
  <c r="E37" i="6"/>
  <c r="D67" i="15"/>
  <c r="P63" i="15"/>
  <c r="P34" i="15"/>
  <c r="N39" i="15"/>
  <c r="M38" i="15"/>
  <c r="M39" i="15"/>
  <c r="L38" i="15"/>
  <c r="L39" i="15"/>
  <c r="P24" i="5"/>
  <c r="P16" i="5"/>
  <c r="E40" i="5"/>
  <c r="E43" i="5"/>
  <c r="M43" i="5"/>
  <c r="P17" i="5"/>
  <c r="E37" i="5"/>
  <c r="P10" i="5"/>
  <c r="D5" i="2"/>
  <c r="P11" i="5"/>
  <c r="I37" i="5"/>
  <c r="I40" i="5"/>
  <c r="I42" i="5"/>
  <c r="P14" i="5"/>
  <c r="H94" i="32"/>
  <c r="J38" i="15"/>
  <c r="J39" i="15"/>
  <c r="P15" i="5"/>
  <c r="P19" i="5"/>
  <c r="P13" i="5"/>
  <c r="P43" i="15"/>
  <c r="G38" i="15"/>
  <c r="G39" i="15"/>
  <c r="O4" i="5"/>
  <c r="P8" i="5"/>
  <c r="P12" i="5"/>
  <c r="P6" i="5"/>
  <c r="H40" i="5"/>
  <c r="H42" i="5"/>
  <c r="P7" i="5"/>
  <c r="AE33" i="14"/>
  <c r="AE34" i="14"/>
  <c r="AE28" i="14"/>
  <c r="AE38" i="14"/>
  <c r="AE30" i="14"/>
  <c r="AE32" i="14"/>
  <c r="AE35" i="14"/>
  <c r="AE37" i="14"/>
  <c r="AE31" i="14"/>
  <c r="AE36" i="14"/>
  <c r="AE29" i="14"/>
  <c r="E38" i="15"/>
  <c r="N9" i="15"/>
  <c r="N10" i="15"/>
  <c r="M14" i="15"/>
  <c r="F95" i="32"/>
  <c r="F96" i="32"/>
  <c r="M9" i="15"/>
  <c r="M10" i="15"/>
  <c r="E95" i="32"/>
  <c r="E96" i="32"/>
  <c r="J14" i="15"/>
  <c r="AE11" i="14"/>
  <c r="P13" i="4"/>
  <c r="E38" i="4"/>
  <c r="P19" i="4"/>
  <c r="I9" i="15"/>
  <c r="I10" i="15"/>
  <c r="P11" i="4"/>
  <c r="P8" i="4"/>
  <c r="H10" i="15"/>
  <c r="P14" i="4"/>
  <c r="D95" i="32"/>
  <c r="D96" i="32"/>
  <c r="G14" i="15"/>
  <c r="AE18" i="14"/>
  <c r="AE10" i="14"/>
  <c r="P14" i="15"/>
  <c r="AE9" i="14"/>
  <c r="AE19" i="14"/>
  <c r="AE16" i="14"/>
  <c r="AE14" i="14"/>
  <c r="P12" i="4"/>
  <c r="C5" i="2"/>
  <c r="AI19" i="14"/>
  <c r="AE13" i="14"/>
  <c r="G10" i="15"/>
  <c r="E44" i="4"/>
  <c r="M44" i="4"/>
  <c r="L27" i="4"/>
  <c r="O4" i="4"/>
  <c r="P4" i="4"/>
  <c r="P15" i="4"/>
  <c r="I38" i="4"/>
  <c r="P6" i="4"/>
  <c r="C95" i="32"/>
  <c r="AE15" i="14"/>
  <c r="AE17" i="14"/>
  <c r="H38" i="4"/>
  <c r="P16" i="4"/>
  <c r="H41" i="4"/>
  <c r="H43" i="4"/>
  <c r="I41" i="4"/>
  <c r="I43" i="4"/>
  <c r="P17" i="4"/>
  <c r="P7" i="4"/>
  <c r="P10" i="4"/>
  <c r="P24" i="4"/>
  <c r="K38" i="4"/>
  <c r="K43" i="4"/>
  <c r="G94" i="32"/>
  <c r="E9" i="15"/>
  <c r="P5" i="15"/>
  <c r="M18" i="4"/>
  <c r="K18" i="4"/>
  <c r="G18" i="5"/>
  <c r="E18" i="5"/>
  <c r="N18" i="5"/>
  <c r="K18" i="5"/>
  <c r="M18" i="5"/>
  <c r="J18" i="5"/>
  <c r="C18" i="5"/>
  <c r="F18" i="5"/>
  <c r="H18" i="5"/>
  <c r="L18" i="5"/>
  <c r="I18" i="5"/>
  <c r="D18" i="5"/>
  <c r="J18" i="4"/>
  <c r="D98" i="32"/>
  <c r="C98" i="32"/>
  <c r="E42" i="6"/>
  <c r="E43" i="6"/>
  <c r="M43" i="6"/>
  <c r="I95" i="32"/>
  <c r="I96" i="32"/>
  <c r="O29" i="6"/>
  <c r="P4" i="6"/>
  <c r="K37" i="6"/>
  <c r="K42" i="6"/>
  <c r="M42" i="6"/>
  <c r="T4" i="20"/>
  <c r="P67" i="15"/>
  <c r="D68" i="15"/>
  <c r="P68" i="15"/>
  <c r="E42" i="5"/>
  <c r="P38" i="15"/>
  <c r="H95" i="32"/>
  <c r="H96" i="32"/>
  <c r="M42" i="5"/>
  <c r="Q4" i="20"/>
  <c r="R4" i="20"/>
  <c r="O29" i="5"/>
  <c r="K37" i="5"/>
  <c r="K42" i="5"/>
  <c r="P4" i="5"/>
  <c r="E39" i="15"/>
  <c r="P39" i="15"/>
  <c r="E27" i="5"/>
  <c r="F49" i="15"/>
  <c r="N27" i="5"/>
  <c r="O49" i="15"/>
  <c r="H27" i="5"/>
  <c r="I49" i="15"/>
  <c r="D27" i="5"/>
  <c r="E49" i="15"/>
  <c r="F27" i="5"/>
  <c r="G49" i="15"/>
  <c r="M27" i="5"/>
  <c r="N49" i="15"/>
  <c r="G27" i="5"/>
  <c r="H49" i="15"/>
  <c r="K27" i="5"/>
  <c r="L49" i="15"/>
  <c r="J27" i="5"/>
  <c r="K49" i="15"/>
  <c r="L27" i="5"/>
  <c r="M49" i="15"/>
  <c r="C27" i="5"/>
  <c r="I27" i="5"/>
  <c r="J49" i="15"/>
  <c r="G95" i="32"/>
  <c r="G96" i="32"/>
  <c r="P9" i="15"/>
  <c r="M27" i="4"/>
  <c r="N20" i="15"/>
  <c r="N27" i="4"/>
  <c r="O20" i="15"/>
  <c r="K27" i="4"/>
  <c r="L20" i="15"/>
  <c r="C27" i="4"/>
  <c r="D20" i="15"/>
  <c r="H27" i="4"/>
  <c r="I20" i="15"/>
  <c r="I27" i="4"/>
  <c r="J20" i="15"/>
  <c r="G27" i="4"/>
  <c r="H20" i="15"/>
  <c r="J27" i="4"/>
  <c r="K20" i="15"/>
  <c r="E27" i="4"/>
  <c r="F20" i="15"/>
  <c r="C96" i="32"/>
  <c r="O29" i="4"/>
  <c r="P29" i="4"/>
  <c r="M43" i="4"/>
  <c r="N4" i="20"/>
  <c r="O4" i="20"/>
  <c r="E10" i="15"/>
  <c r="P10" i="15"/>
  <c r="D27" i="4"/>
  <c r="E20" i="15"/>
  <c r="F27" i="4"/>
  <c r="G20" i="15"/>
  <c r="C7" i="2"/>
  <c r="D6" i="11"/>
  <c r="D5" i="11"/>
  <c r="M20" i="15"/>
  <c r="O18" i="4"/>
  <c r="P18" i="4"/>
  <c r="F98" i="32"/>
  <c r="E98" i="32"/>
  <c r="O18" i="5"/>
  <c r="P29" i="6"/>
  <c r="J37" i="6"/>
  <c r="J42" i="6"/>
  <c r="U4" i="20"/>
  <c r="X4" i="20"/>
  <c r="F27" i="6"/>
  <c r="G78" i="15"/>
  <c r="G27" i="6"/>
  <c r="H78" i="15"/>
  <c r="D27" i="6"/>
  <c r="E78" i="15"/>
  <c r="M27" i="6"/>
  <c r="N78" i="15"/>
  <c r="I27" i="6"/>
  <c r="J78" i="15"/>
  <c r="K27" i="6"/>
  <c r="L78" i="15"/>
  <c r="J27" i="6"/>
  <c r="K78" i="15"/>
  <c r="C27" i="6"/>
  <c r="E27" i="6"/>
  <c r="F78" i="15"/>
  <c r="N27" i="6"/>
  <c r="O78" i="15"/>
  <c r="H27" i="6"/>
  <c r="I78" i="15"/>
  <c r="L27" i="6"/>
  <c r="M78" i="15"/>
  <c r="J5" i="11"/>
  <c r="E7" i="2"/>
  <c r="J6" i="11"/>
  <c r="P29" i="5"/>
  <c r="J37" i="5"/>
  <c r="J42" i="5"/>
  <c r="G6" i="11"/>
  <c r="D7" i="2"/>
  <c r="G5" i="11"/>
  <c r="O27" i="5"/>
  <c r="D49" i="15"/>
  <c r="P49" i="15"/>
  <c r="F115" i="32"/>
  <c r="E115" i="32"/>
  <c r="J38" i="4"/>
  <c r="J43" i="4"/>
  <c r="D115" i="32"/>
  <c r="O27" i="4"/>
  <c r="P27" i="4"/>
  <c r="C115" i="32"/>
  <c r="D6" i="25"/>
  <c r="E6" i="25"/>
  <c r="E5" i="11"/>
  <c r="C15" i="2"/>
  <c r="P20" i="15"/>
  <c r="C16" i="2"/>
  <c r="D10" i="11"/>
  <c r="E10" i="11"/>
  <c r="E11" i="11"/>
  <c r="E13" i="11"/>
  <c r="E6" i="11"/>
  <c r="D22" i="11"/>
  <c r="D34" i="11"/>
  <c r="E34" i="11"/>
  <c r="E35" i="11"/>
  <c r="E37" i="11"/>
  <c r="D8" i="25"/>
  <c r="G98" i="32"/>
  <c r="H98" i="32"/>
  <c r="P18" i="5"/>
  <c r="J6" i="25"/>
  <c r="K6" i="25"/>
  <c r="E15" i="2"/>
  <c r="K5" i="11"/>
  <c r="O27" i="6"/>
  <c r="D78" i="15"/>
  <c r="P78" i="15"/>
  <c r="J10" i="11"/>
  <c r="K10" i="11"/>
  <c r="K11" i="11"/>
  <c r="K13" i="11"/>
  <c r="J22" i="11"/>
  <c r="J34" i="11"/>
  <c r="K34" i="11"/>
  <c r="K35" i="11"/>
  <c r="K37" i="11"/>
  <c r="E16" i="2"/>
  <c r="J8" i="25"/>
  <c r="K8" i="25"/>
  <c r="K6" i="11"/>
  <c r="G10" i="11"/>
  <c r="H10" i="11"/>
  <c r="H11" i="11"/>
  <c r="H13" i="11"/>
  <c r="D16" i="2"/>
  <c r="G22" i="11"/>
  <c r="G34" i="11"/>
  <c r="H34" i="11"/>
  <c r="H35" i="11"/>
  <c r="H37" i="11"/>
  <c r="H6" i="11"/>
  <c r="G8" i="25"/>
  <c r="H8" i="25"/>
  <c r="D15" i="2"/>
  <c r="H5" i="11"/>
  <c r="G6" i="25"/>
  <c r="H6" i="25"/>
  <c r="H115" i="32"/>
  <c r="D22" i="2"/>
  <c r="P27" i="5"/>
  <c r="G115" i="32"/>
  <c r="C22" i="2"/>
  <c r="E8" i="25"/>
  <c r="E13" i="25"/>
  <c r="E36" i="11"/>
  <c r="E39" i="11"/>
  <c r="E12" i="11"/>
  <c r="E15" i="11"/>
  <c r="K36" i="11"/>
  <c r="K39" i="11"/>
  <c r="K15" i="11"/>
  <c r="K12" i="11"/>
  <c r="I115" i="32"/>
  <c r="E22" i="2"/>
  <c r="P27" i="6"/>
  <c r="H12" i="11"/>
  <c r="H15" i="11"/>
  <c r="H39" i="11"/>
  <c r="H36" i="11"/>
  <c r="E16" i="11"/>
  <c r="E17" i="11"/>
  <c r="E14" i="11"/>
  <c r="E40" i="11"/>
  <c r="E38" i="11"/>
  <c r="E41" i="11"/>
  <c r="G25" i="25"/>
  <c r="F13" i="25"/>
  <c r="F14" i="25"/>
  <c r="F16" i="25"/>
  <c r="K17" i="11"/>
  <c r="K16" i="11"/>
  <c r="K14" i="11"/>
  <c r="K41" i="11"/>
  <c r="K38" i="11"/>
  <c r="K40" i="11"/>
  <c r="H40" i="11"/>
  <c r="H41" i="11"/>
  <c r="H38" i="11"/>
  <c r="H16" i="11"/>
  <c r="H14" i="11"/>
  <c r="H17" i="11"/>
  <c r="F18" i="25"/>
  <c r="F15" i="25"/>
  <c r="F17" i="25"/>
  <c r="F19" i="25"/>
  <c r="F20" i="25"/>
  <c r="E21" i="25"/>
  <c r="I110" i="9" l="1"/>
  <c r="I112" i="9" s="1"/>
  <c r="G29" i="3"/>
  <c r="G35" i="3" s="1"/>
  <c r="E33" i="3"/>
  <c r="E14" i="3"/>
  <c r="E29" i="3" s="1"/>
  <c r="E35" i="3" s="1"/>
  <c r="T6" i="14"/>
  <c r="Z6" i="14"/>
  <c r="AB6" i="14"/>
  <c r="F25" i="14"/>
  <c r="H25" i="14"/>
  <c r="N25" i="14"/>
  <c r="F44" i="14"/>
  <c r="J44" i="14"/>
  <c r="H16" i="23"/>
  <c r="H75" i="23" s="1"/>
  <c r="H76" i="23"/>
  <c r="F28" i="8"/>
  <c r="H110" i="9"/>
  <c r="H28" i="8"/>
  <c r="W10" i="3"/>
  <c r="W14" i="3"/>
  <c r="W19" i="3"/>
  <c r="W29" i="3" s="1"/>
  <c r="I9" i="5" l="1"/>
  <c r="I20" i="5" s="1"/>
  <c r="H9" i="5"/>
  <c r="H20" i="5" s="1"/>
  <c r="E9" i="6"/>
  <c r="K9" i="6"/>
  <c r="K9" i="4"/>
  <c r="K20" i="4" s="1"/>
  <c r="L9" i="6"/>
  <c r="C9" i="6"/>
  <c r="N9" i="5"/>
  <c r="N20" i="5" s="1"/>
  <c r="H9" i="4"/>
  <c r="H20" i="4" s="1"/>
  <c r="I9" i="4"/>
  <c r="C9" i="5"/>
  <c r="J9" i="5"/>
  <c r="J20" i="5" s="1"/>
  <c r="G9" i="4"/>
  <c r="G20" i="4" s="1"/>
  <c r="N9" i="4"/>
  <c r="N20" i="4" s="1"/>
  <c r="G9" i="6"/>
  <c r="C9" i="4"/>
  <c r="G9" i="5"/>
  <c r="G20" i="5" s="1"/>
  <c r="I9" i="6"/>
  <c r="J9" i="6"/>
  <c r="M9" i="6"/>
  <c r="F9" i="6"/>
  <c r="F9" i="4"/>
  <c r="E9" i="4"/>
  <c r="E20" i="4" s="1"/>
  <c r="D9" i="4"/>
  <c r="D20" i="4" s="1"/>
  <c r="D9" i="6"/>
  <c r="F9" i="5"/>
  <c r="F20" i="5" s="1"/>
  <c r="M9" i="5"/>
  <c r="M20" i="5" s="1"/>
  <c r="L9" i="4"/>
  <c r="K9" i="5"/>
  <c r="K20" i="5" s="1"/>
  <c r="D9" i="5"/>
  <c r="D20" i="5" s="1"/>
  <c r="N9" i="6"/>
  <c r="J9" i="4"/>
  <c r="J20" i="4" s="1"/>
  <c r="H9" i="6"/>
  <c r="L9" i="5"/>
  <c r="L20" i="5" s="1"/>
  <c r="E9" i="5"/>
  <c r="E20" i="5" s="1"/>
  <c r="M9" i="4"/>
  <c r="M20" i="4" s="1"/>
  <c r="J22" i="4"/>
  <c r="D22" i="4"/>
  <c r="N22" i="6"/>
  <c r="L22" i="4"/>
  <c r="D22" i="6"/>
  <c r="E22" i="6"/>
  <c r="J22" i="6"/>
  <c r="I22" i="4"/>
  <c r="K22" i="6"/>
  <c r="M22" i="6"/>
  <c r="G22" i="5"/>
  <c r="E22" i="4"/>
  <c r="L22" i="6"/>
  <c r="I22" i="6"/>
  <c r="F22" i="4"/>
  <c r="F22" i="6"/>
  <c r="L22" i="5"/>
  <c r="K22" i="5"/>
  <c r="N22" i="4"/>
  <c r="J22" i="5"/>
  <c r="H22" i="4"/>
  <c r="F22" i="5"/>
  <c r="N22" i="5"/>
  <c r="K22" i="4"/>
  <c r="H22" i="5"/>
  <c r="E22" i="5"/>
  <c r="G22" i="6"/>
  <c r="G22" i="4"/>
  <c r="I22" i="5"/>
  <c r="C22" i="5"/>
  <c r="D22" i="5"/>
  <c r="M22" i="4"/>
  <c r="C22" i="6"/>
  <c r="M22" i="5"/>
  <c r="H22" i="6"/>
  <c r="C22" i="4"/>
  <c r="AC44" i="14"/>
  <c r="AC25" i="14"/>
  <c r="AC6" i="14"/>
  <c r="D18" i="6"/>
  <c r="N18" i="6"/>
  <c r="H18" i="6"/>
  <c r="G18" i="6"/>
  <c r="L18" i="6"/>
  <c r="M18" i="6"/>
  <c r="J18" i="6"/>
  <c r="I18" i="6"/>
  <c r="C18" i="6"/>
  <c r="F18" i="6"/>
  <c r="E18" i="6"/>
  <c r="K18" i="6"/>
  <c r="O18" i="6" l="1"/>
  <c r="C99" i="32"/>
  <c r="O22" i="4"/>
  <c r="P22" i="4" s="1"/>
  <c r="O22" i="6"/>
  <c r="O22" i="5"/>
  <c r="D99" i="32"/>
  <c r="E99" i="32"/>
  <c r="F99" i="32"/>
  <c r="N15" i="15"/>
  <c r="N13" i="15" s="1"/>
  <c r="M21" i="4"/>
  <c r="M23" i="4" s="1"/>
  <c r="F44" i="15"/>
  <c r="F42" i="15" s="1"/>
  <c r="E21" i="5"/>
  <c r="E23" i="5" s="1"/>
  <c r="L21" i="5"/>
  <c r="L23" i="5" s="1"/>
  <c r="M44" i="15"/>
  <c r="M42" i="15" s="1"/>
  <c r="H20" i="6"/>
  <c r="K15" i="15"/>
  <c r="K13" i="15" s="1"/>
  <c r="J21" i="4"/>
  <c r="J23" i="4" s="1"/>
  <c r="N20" i="6"/>
  <c r="E44" i="15"/>
  <c r="E42" i="15" s="1"/>
  <c r="D21" i="5"/>
  <c r="D23" i="5" s="1"/>
  <c r="L44" i="15"/>
  <c r="L42" i="15" s="1"/>
  <c r="K21" i="5"/>
  <c r="K23" i="5" s="1"/>
  <c r="F104" i="32"/>
  <c r="L20" i="4"/>
  <c r="N44" i="15"/>
  <c r="N42" i="15" s="1"/>
  <c r="M21" i="5"/>
  <c r="M23" i="5" s="1"/>
  <c r="G44" i="15"/>
  <c r="G42" i="15" s="1"/>
  <c r="F21" i="5"/>
  <c r="F23" i="5" s="1"/>
  <c r="D20" i="6"/>
  <c r="D21" i="4"/>
  <c r="D23" i="4" s="1"/>
  <c r="E15" i="15"/>
  <c r="E13" i="15" s="1"/>
  <c r="F15" i="15"/>
  <c r="F13" i="15" s="1"/>
  <c r="E21" i="4"/>
  <c r="E23" i="4" s="1"/>
  <c r="D104" i="32"/>
  <c r="F20" i="4"/>
  <c r="F20" i="6"/>
  <c r="M20" i="6"/>
  <c r="J20" i="6"/>
  <c r="I20" i="6"/>
  <c r="G21" i="5"/>
  <c r="G23" i="5" s="1"/>
  <c r="H44" i="15"/>
  <c r="H42" i="15" s="1"/>
  <c r="O9" i="4"/>
  <c r="P9" i="4" s="1"/>
  <c r="C104" i="32"/>
  <c r="C20" i="4"/>
  <c r="G20" i="6"/>
  <c r="N21" i="4"/>
  <c r="N23" i="4" s="1"/>
  <c r="O15" i="15"/>
  <c r="O13" i="15" s="1"/>
  <c r="H15" i="15"/>
  <c r="H13" i="15" s="1"/>
  <c r="G21" i="4"/>
  <c r="G23" i="4" s="1"/>
  <c r="K44" i="15"/>
  <c r="K42" i="15" s="1"/>
  <c r="J21" i="5"/>
  <c r="J23" i="5" s="1"/>
  <c r="O9" i="5"/>
  <c r="C20" i="5"/>
  <c r="E104" i="32"/>
  <c r="I20" i="4"/>
  <c r="I15" i="15"/>
  <c r="I13" i="15" s="1"/>
  <c r="H21" i="4"/>
  <c r="H23" i="4" s="1"/>
  <c r="O44" i="15"/>
  <c r="O42" i="15" s="1"/>
  <c r="N21" i="5"/>
  <c r="N23" i="5" s="1"/>
  <c r="O9" i="6"/>
  <c r="C20" i="6"/>
  <c r="L20" i="6"/>
  <c r="K21" i="4"/>
  <c r="K23" i="4" s="1"/>
  <c r="L15" i="15"/>
  <c r="L13" i="15" s="1"/>
  <c r="K20" i="6"/>
  <c r="E20" i="6"/>
  <c r="I44" i="15"/>
  <c r="I42" i="15" s="1"/>
  <c r="H21" i="5"/>
  <c r="H23" i="5" s="1"/>
  <c r="J44" i="15"/>
  <c r="J42" i="15" s="1"/>
  <c r="I21" i="5"/>
  <c r="I23" i="5" s="1"/>
  <c r="I25" i="5" l="1"/>
  <c r="J48" i="15" s="1"/>
  <c r="I26" i="5"/>
  <c r="K47" i="15"/>
  <c r="H25" i="5"/>
  <c r="I48" i="15" s="1"/>
  <c r="H26" i="5"/>
  <c r="J47" i="15"/>
  <c r="J51" i="15" s="1"/>
  <c r="J52" i="15" s="1"/>
  <c r="E21" i="6"/>
  <c r="E23" i="6" s="1"/>
  <c r="F73" i="15"/>
  <c r="F71" i="15" s="1"/>
  <c r="K21" i="6"/>
  <c r="K23" i="6" s="1"/>
  <c r="L73" i="15"/>
  <c r="L71" i="15" s="1"/>
  <c r="M18" i="15"/>
  <c r="K25" i="4"/>
  <c r="L19" i="15" s="1"/>
  <c r="K26" i="4"/>
  <c r="L21" i="6"/>
  <c r="L23" i="6" s="1"/>
  <c r="M73" i="15"/>
  <c r="M71" i="15" s="1"/>
  <c r="D73" i="15"/>
  <c r="O20" i="6"/>
  <c r="C21" i="6"/>
  <c r="I104" i="32"/>
  <c r="P9" i="6"/>
  <c r="N25" i="5"/>
  <c r="O48" i="15" s="1"/>
  <c r="N26" i="5"/>
  <c r="D76" i="15"/>
  <c r="H25" i="4"/>
  <c r="I19" i="15" s="1"/>
  <c r="H26" i="4"/>
  <c r="J18" i="15"/>
  <c r="I21" i="4"/>
  <c r="I23" i="4" s="1"/>
  <c r="J15" i="15"/>
  <c r="J13" i="15" s="1"/>
  <c r="C21" i="5"/>
  <c r="O20" i="5"/>
  <c r="D44" i="15"/>
  <c r="H104" i="32"/>
  <c r="P9" i="5"/>
  <c r="J25" i="5"/>
  <c r="K48" i="15" s="1"/>
  <c r="J26" i="5"/>
  <c r="L47" i="15"/>
  <c r="K51" i="15"/>
  <c r="K52" i="15" s="1"/>
  <c r="G25" i="4"/>
  <c r="H19" i="15" s="1"/>
  <c r="G26" i="4"/>
  <c r="I18" i="15"/>
  <c r="I22" i="15" s="1"/>
  <c r="I23" i="15" s="1"/>
  <c r="D47" i="15"/>
  <c r="N25" i="4"/>
  <c r="O19" i="15" s="1"/>
  <c r="N26" i="4"/>
  <c r="G21" i="6"/>
  <c r="G23" i="6" s="1"/>
  <c r="H73" i="15"/>
  <c r="H71" i="15" s="1"/>
  <c r="D15" i="15"/>
  <c r="C21" i="4"/>
  <c r="O20" i="4"/>
  <c r="G104" i="32"/>
  <c r="I47" i="15"/>
  <c r="I51" i="15" s="1"/>
  <c r="I52" i="15" s="1"/>
  <c r="G25" i="5"/>
  <c r="H48" i="15" s="1"/>
  <c r="G26" i="5"/>
  <c r="I21" i="6"/>
  <c r="I23" i="6" s="1"/>
  <c r="J73" i="15"/>
  <c r="J71" i="15" s="1"/>
  <c r="K73" i="15"/>
  <c r="K71" i="15" s="1"/>
  <c r="J21" i="6"/>
  <c r="J23" i="6" s="1"/>
  <c r="N73" i="15"/>
  <c r="N71" i="15" s="1"/>
  <c r="M21" i="6"/>
  <c r="M23" i="6" s="1"/>
  <c r="F21" i="6"/>
  <c r="F23" i="6" s="1"/>
  <c r="G73" i="15"/>
  <c r="G71" i="15" s="1"/>
  <c r="F21" i="4"/>
  <c r="F23" i="4" s="1"/>
  <c r="G15" i="15"/>
  <c r="G13" i="15" s="1"/>
  <c r="E25" i="4"/>
  <c r="F19" i="15" s="1"/>
  <c r="E26" i="4"/>
  <c r="G18" i="15"/>
  <c r="F18" i="15"/>
  <c r="F22" i="15" s="1"/>
  <c r="F23" i="15" s="1"/>
  <c r="D25" i="4"/>
  <c r="E19" i="15" s="1"/>
  <c r="D26" i="4"/>
  <c r="D21" i="6"/>
  <c r="D23" i="6" s="1"/>
  <c r="E73" i="15"/>
  <c r="E71" i="15" s="1"/>
  <c r="F25" i="5"/>
  <c r="G48" i="15" s="1"/>
  <c r="F26" i="5"/>
  <c r="H47" i="15"/>
  <c r="H51" i="15" s="1"/>
  <c r="H52" i="15" s="1"/>
  <c r="M25" i="5"/>
  <c r="N48" i="15" s="1"/>
  <c r="M26" i="5"/>
  <c r="O47" i="15"/>
  <c r="O51" i="15" s="1"/>
  <c r="O52" i="15" s="1"/>
  <c r="M15" i="15"/>
  <c r="M13" i="15" s="1"/>
  <c r="L21" i="4"/>
  <c r="L23" i="4" s="1"/>
  <c r="K25" i="5"/>
  <c r="L48" i="15" s="1"/>
  <c r="K26" i="5"/>
  <c r="M47" i="15"/>
  <c r="L51" i="15"/>
  <c r="L52" i="15" s="1"/>
  <c r="D25" i="5"/>
  <c r="E48" i="15" s="1"/>
  <c r="D26" i="5"/>
  <c r="F47" i="15"/>
  <c r="O73" i="15"/>
  <c r="O71" i="15" s="1"/>
  <c r="N21" i="6"/>
  <c r="N23" i="6" s="1"/>
  <c r="J25" i="4"/>
  <c r="K19" i="15" s="1"/>
  <c r="J26" i="4"/>
  <c r="L18" i="15"/>
  <c r="L22" i="15" s="1"/>
  <c r="L23" i="15" s="1"/>
  <c r="H21" i="6"/>
  <c r="H23" i="6" s="1"/>
  <c r="I73" i="15"/>
  <c r="I71" i="15" s="1"/>
  <c r="N47" i="15"/>
  <c r="N51" i="15" s="1"/>
  <c r="N52" i="15" s="1"/>
  <c r="L25" i="5"/>
  <c r="M48" i="15" s="1"/>
  <c r="M51" i="15" s="1"/>
  <c r="M52" i="15" s="1"/>
  <c r="L26" i="5"/>
  <c r="E25" i="5"/>
  <c r="F48" i="15" s="1"/>
  <c r="E26" i="5"/>
  <c r="G47" i="15"/>
  <c r="G51" i="15" s="1"/>
  <c r="G52" i="15" s="1"/>
  <c r="F51" i="15"/>
  <c r="F52" i="15" s="1"/>
  <c r="M25" i="4"/>
  <c r="N19" i="15" s="1"/>
  <c r="M26" i="4"/>
  <c r="O18" i="15"/>
  <c r="O22" i="15" s="1"/>
  <c r="O23" i="15" s="1"/>
  <c r="F106" i="32"/>
  <c r="E106" i="32"/>
  <c r="D106" i="32"/>
  <c r="H99" i="32"/>
  <c r="H106" i="32" s="1"/>
  <c r="P22" i="5"/>
  <c r="I99" i="32"/>
  <c r="P22" i="6"/>
  <c r="G99" i="32"/>
  <c r="G106" i="32" s="1"/>
  <c r="C106" i="32"/>
  <c r="I98" i="32"/>
  <c r="I106" i="32" s="1"/>
  <c r="P18" i="6"/>
  <c r="I112" i="32" l="1"/>
  <c r="I116" i="32" s="1"/>
  <c r="C112" i="32"/>
  <c r="C116" i="32" s="1"/>
  <c r="G112" i="32"/>
  <c r="G116" i="32" s="1"/>
  <c r="H112" i="32"/>
  <c r="H116" i="32" s="1"/>
  <c r="D112" i="32"/>
  <c r="D116" i="32" s="1"/>
  <c r="E112" i="32"/>
  <c r="E116" i="32" s="1"/>
  <c r="F112" i="32"/>
  <c r="F116" i="32" s="1"/>
  <c r="J76" i="15"/>
  <c r="H25" i="6"/>
  <c r="I77" i="15" s="1"/>
  <c r="H26" i="6"/>
  <c r="N25" i="6"/>
  <c r="O77" i="15" s="1"/>
  <c r="N26" i="6"/>
  <c r="L25" i="4"/>
  <c r="L26" i="4"/>
  <c r="N18" i="15"/>
  <c r="N22" i="15" s="1"/>
  <c r="N23" i="15" s="1"/>
  <c r="F76" i="15"/>
  <c r="D25" i="6"/>
  <c r="E77" i="15" s="1"/>
  <c r="D26" i="6"/>
  <c r="H18" i="15"/>
  <c r="H22" i="15" s="1"/>
  <c r="H23" i="15" s="1"/>
  <c r="F25" i="4"/>
  <c r="F26" i="4"/>
  <c r="H76" i="15"/>
  <c r="F25" i="6"/>
  <c r="G77" i="15" s="1"/>
  <c r="F26" i="6"/>
  <c r="M25" i="6"/>
  <c r="N77" i="15" s="1"/>
  <c r="M26" i="6"/>
  <c r="O76" i="15"/>
  <c r="O80" i="15" s="1"/>
  <c r="O81" i="15" s="1"/>
  <c r="J25" i="6"/>
  <c r="K77" i="15" s="1"/>
  <c r="J26" i="6"/>
  <c r="L76" i="15"/>
  <c r="K76" i="15"/>
  <c r="K80" i="15" s="1"/>
  <c r="K81" i="15" s="1"/>
  <c r="I25" i="6"/>
  <c r="J77" i="15" s="1"/>
  <c r="J80" i="15" s="1"/>
  <c r="J81" i="15" s="1"/>
  <c r="I26" i="6"/>
  <c r="O28" i="4"/>
  <c r="P28" i="4" s="1"/>
  <c r="D38" i="4"/>
  <c r="P20" i="4"/>
  <c r="D40" i="4"/>
  <c r="C10" i="2"/>
  <c r="C23" i="4"/>
  <c r="O21" i="4"/>
  <c r="D13" i="15"/>
  <c r="P15" i="15"/>
  <c r="I76" i="15"/>
  <c r="I80" i="15" s="1"/>
  <c r="I81" i="15" s="1"/>
  <c r="G25" i="6"/>
  <c r="H77" i="15" s="1"/>
  <c r="H80" i="15" s="1"/>
  <c r="H81" i="15" s="1"/>
  <c r="G26" i="6"/>
  <c r="D42" i="15"/>
  <c r="P44" i="15"/>
  <c r="P20" i="5"/>
  <c r="D10" i="2"/>
  <c r="O28" i="5"/>
  <c r="P28" i="5" s="1"/>
  <c r="D39" i="5"/>
  <c r="D37" i="5"/>
  <c r="C23" i="5"/>
  <c r="O21" i="5"/>
  <c r="K18" i="15"/>
  <c r="K22" i="15" s="1"/>
  <c r="K23" i="15" s="1"/>
  <c r="I25" i="4"/>
  <c r="I26" i="4"/>
  <c r="C23" i="6"/>
  <c r="O21" i="6"/>
  <c r="P20" i="6"/>
  <c r="D39" i="6"/>
  <c r="D37" i="6"/>
  <c r="E10" i="2"/>
  <c r="O28" i="6"/>
  <c r="P28" i="6" s="1"/>
  <c r="D71" i="15"/>
  <c r="P73" i="15"/>
  <c r="N76" i="15"/>
  <c r="N80" i="15" s="1"/>
  <c r="N81" i="15" s="1"/>
  <c r="L25" i="6"/>
  <c r="M77" i="15" s="1"/>
  <c r="L26" i="6"/>
  <c r="M76" i="15"/>
  <c r="M80" i="15" s="1"/>
  <c r="M81" i="15" s="1"/>
  <c r="K25" i="6"/>
  <c r="L77" i="15" s="1"/>
  <c r="L80" i="15" s="1"/>
  <c r="L81" i="15" s="1"/>
  <c r="K26" i="6"/>
  <c r="G76" i="15"/>
  <c r="G80" i="15" s="1"/>
  <c r="G81" i="15" s="1"/>
  <c r="E25" i="6"/>
  <c r="F77" i="15" s="1"/>
  <c r="F80" i="15" s="1"/>
  <c r="F81" i="15" s="1"/>
  <c r="E26" i="6"/>
  <c r="E76" i="15" l="1"/>
  <c r="P71" i="15"/>
  <c r="D40" i="6"/>
  <c r="M39" i="6"/>
  <c r="O23" i="6"/>
  <c r="P21" i="6"/>
  <c r="C24" i="6"/>
  <c r="D24" i="6" s="1"/>
  <c r="E24" i="6" s="1"/>
  <c r="F24" i="6" s="1"/>
  <c r="G24" i="6" s="1"/>
  <c r="H24" i="6" s="1"/>
  <c r="I24" i="6" s="1"/>
  <c r="J24" i="6" s="1"/>
  <c r="K24" i="6" s="1"/>
  <c r="L24" i="6" s="1"/>
  <c r="M24" i="6" s="1"/>
  <c r="N24" i="6" s="1"/>
  <c r="C25" i="6"/>
  <c r="C26" i="6"/>
  <c r="O26" i="6" s="1"/>
  <c r="J19" i="15"/>
  <c r="J22" i="15" s="1"/>
  <c r="J23" i="15" s="1"/>
  <c r="E107" i="32"/>
  <c r="E110" i="32" s="1"/>
  <c r="P21" i="5"/>
  <c r="O23" i="5"/>
  <c r="C25" i="5"/>
  <c r="C26" i="5"/>
  <c r="O26" i="5" s="1"/>
  <c r="C24" i="5"/>
  <c r="D24" i="5" s="1"/>
  <c r="E24" i="5" s="1"/>
  <c r="F24" i="5" s="1"/>
  <c r="G24" i="5" s="1"/>
  <c r="H24" i="5" s="1"/>
  <c r="I24" i="5" s="1"/>
  <c r="J24" i="5" s="1"/>
  <c r="K24" i="5" s="1"/>
  <c r="L24" i="5" s="1"/>
  <c r="M24" i="5" s="1"/>
  <c r="N24" i="5" s="1"/>
  <c r="D40" i="5"/>
  <c r="M39" i="5"/>
  <c r="E47" i="15"/>
  <c r="P42" i="15"/>
  <c r="P13" i="15"/>
  <c r="E18" i="15"/>
  <c r="P21" i="4"/>
  <c r="O23" i="4"/>
  <c r="H24" i="4"/>
  <c r="E24" i="4"/>
  <c r="L24" i="4"/>
  <c r="J24" i="4"/>
  <c r="C24" i="4"/>
  <c r="M24" i="4"/>
  <c r="F24" i="4"/>
  <c r="G24" i="4"/>
  <c r="D24" i="4"/>
  <c r="C25" i="4"/>
  <c r="C26" i="4"/>
  <c r="O26" i="4" s="1"/>
  <c r="N24" i="4"/>
  <c r="K24" i="4"/>
  <c r="I24" i="4"/>
  <c r="D41" i="4"/>
  <c r="M40" i="4"/>
  <c r="G19" i="15"/>
  <c r="G22" i="15" s="1"/>
  <c r="G23" i="15" s="1"/>
  <c r="D107" i="32"/>
  <c r="D110" i="32" s="1"/>
  <c r="F107" i="32"/>
  <c r="F110" i="32" s="1"/>
  <c r="M19" i="15"/>
  <c r="M22" i="15" s="1"/>
  <c r="M23" i="15" s="1"/>
  <c r="D43" i="4" l="1"/>
  <c r="P26" i="4"/>
  <c r="C20" i="2"/>
  <c r="C24" i="2" s="1"/>
  <c r="D19" i="15"/>
  <c r="C107" i="32"/>
  <c r="O25" i="4"/>
  <c r="C26" i="2"/>
  <c r="C30" i="2" s="1"/>
  <c r="C18" i="2"/>
  <c r="P23" i="4"/>
  <c r="C9" i="2" s="1"/>
  <c r="O15" i="3"/>
  <c r="O29" i="3" s="1"/>
  <c r="O3" i="10"/>
  <c r="N3" i="20"/>
  <c r="O3" i="20" s="1"/>
  <c r="C12" i="2"/>
  <c r="P18" i="15"/>
  <c r="E22" i="15"/>
  <c r="E23" i="15" s="1"/>
  <c r="E51" i="15"/>
  <c r="E52" i="15" s="1"/>
  <c r="P47" i="15"/>
  <c r="D42" i="5"/>
  <c r="P26" i="5"/>
  <c r="D20" i="2"/>
  <c r="D24" i="2" s="1"/>
  <c r="O25" i="5"/>
  <c r="D48" i="15"/>
  <c r="P23" i="5"/>
  <c r="D9" i="2" s="1"/>
  <c r="D18" i="2"/>
  <c r="D26" i="2"/>
  <c r="D30" i="2" s="1"/>
  <c r="Q3" i="20"/>
  <c r="R3" i="20" s="1"/>
  <c r="D12" i="2"/>
  <c r="O4" i="10"/>
  <c r="P26" i="6"/>
  <c r="E20" i="2"/>
  <c r="E24" i="2" s="1"/>
  <c r="D77" i="15"/>
  <c r="O25" i="6"/>
  <c r="E26" i="2"/>
  <c r="E30" i="2" s="1"/>
  <c r="E6" i="26"/>
  <c r="E15" i="26" s="1"/>
  <c r="E17" i="26" s="1"/>
  <c r="E19" i="26" s="1"/>
  <c r="E25" i="26" s="1"/>
  <c r="E26" i="26" s="1"/>
  <c r="E18" i="2"/>
  <c r="C6" i="26"/>
  <c r="C15" i="26" s="1"/>
  <c r="C17" i="26" s="1"/>
  <c r="P23" i="6"/>
  <c r="E9" i="2" s="1"/>
  <c r="O5" i="10"/>
  <c r="E12" i="2"/>
  <c r="T3" i="20"/>
  <c r="D42" i="6"/>
  <c r="E80" i="15"/>
  <c r="E81" i="15" s="1"/>
  <c r="P76" i="15"/>
  <c r="X3" i="20" l="1"/>
  <c r="U3" i="20"/>
  <c r="C23" i="26"/>
  <c r="C19" i="26"/>
  <c r="C25" i="26" s="1"/>
  <c r="C26" i="26" s="1"/>
  <c r="G37" i="6"/>
  <c r="M37" i="6" s="1"/>
  <c r="E8" i="2" s="1"/>
  <c r="G40" i="6"/>
  <c r="I107" i="32"/>
  <c r="I110" i="32" s="1"/>
  <c r="P25" i="6"/>
  <c r="P77" i="15"/>
  <c r="P80" i="15" s="1"/>
  <c r="D80" i="15"/>
  <c r="D81" i="15" s="1"/>
  <c r="P48" i="15"/>
  <c r="D51" i="15"/>
  <c r="P25" i="5"/>
  <c r="G40" i="5"/>
  <c r="G37" i="5"/>
  <c r="M37" i="5" s="1"/>
  <c r="D8" i="2" s="1"/>
  <c r="H107" i="32"/>
  <c r="H110" i="32" s="1"/>
  <c r="G41" i="4"/>
  <c r="G38" i="4"/>
  <c r="M38" i="4" s="1"/>
  <c r="C8" i="2" s="1"/>
  <c r="P25" i="4"/>
  <c r="G107" i="32"/>
  <c r="G110" i="32" s="1"/>
  <c r="C110" i="32"/>
  <c r="P19" i="15"/>
  <c r="D22" i="15"/>
  <c r="P22" i="15" l="1"/>
  <c r="D23" i="15"/>
  <c r="G43" i="4"/>
  <c r="M41" i="4"/>
  <c r="G42" i="5"/>
  <c r="M40" i="5"/>
  <c r="P51" i="15"/>
  <c r="D52" i="15"/>
  <c r="P81" i="15"/>
  <c r="G42" i="6"/>
  <c r="M40" i="6"/>
  <c r="E13" i="2" l="1"/>
  <c r="M41" i="6"/>
  <c r="H9" i="12"/>
  <c r="R5" i="10"/>
  <c r="P52" i="15"/>
  <c r="M41" i="5"/>
  <c r="R4" i="10"/>
  <c r="F9" i="12"/>
  <c r="D13" i="2"/>
  <c r="D9" i="12"/>
  <c r="I10" i="17"/>
  <c r="R3" i="10"/>
  <c r="G32" i="20"/>
  <c r="J35" i="20" s="1"/>
  <c r="J38" i="20" s="1"/>
  <c r="J40" i="20" s="1"/>
  <c r="C13" i="2"/>
  <c r="M42" i="4"/>
  <c r="D24" i="15"/>
  <c r="P23" i="15"/>
  <c r="P24" i="15" s="1"/>
  <c r="D53" i="15" s="1"/>
  <c r="E53" i="15" l="1"/>
  <c r="D57" i="15"/>
  <c r="E24" i="15"/>
  <c r="D28" i="15"/>
  <c r="J39" i="20"/>
  <c r="J42" i="20"/>
  <c r="N12" i="17"/>
  <c r="L12" i="17"/>
  <c r="I12" i="17"/>
  <c r="P23" i="17" s="1"/>
  <c r="J12" i="17"/>
  <c r="K12" i="17"/>
  <c r="P24" i="17" s="1"/>
  <c r="O12" i="17"/>
  <c r="E13" i="12"/>
  <c r="E14" i="12"/>
  <c r="E9" i="12"/>
  <c r="E11" i="12"/>
  <c r="E15" i="12"/>
  <c r="E12" i="12"/>
  <c r="E10" i="12"/>
  <c r="G15" i="12"/>
  <c r="G14" i="12"/>
  <c r="G9" i="12"/>
  <c r="G12" i="12"/>
  <c r="G11" i="12"/>
  <c r="G10" i="12"/>
  <c r="G13" i="12"/>
  <c r="I15" i="12"/>
  <c r="I13" i="12"/>
  <c r="I11" i="12"/>
  <c r="I12" i="12"/>
  <c r="I10" i="12"/>
  <c r="I14" i="12"/>
  <c r="I9" i="12"/>
  <c r="I19" i="12" s="1"/>
  <c r="I21" i="12" l="1"/>
  <c r="I23" i="12"/>
  <c r="G19" i="12"/>
  <c r="E19" i="12"/>
  <c r="I49" i="17"/>
  <c r="I51" i="17" s="1"/>
  <c r="I48" i="17"/>
  <c r="D48" i="17"/>
  <c r="P25" i="17"/>
  <c r="P49" i="17" s="1"/>
  <c r="D49" i="17"/>
  <c r="D51" i="17" s="1"/>
  <c r="J44" i="20"/>
  <c r="J41" i="20"/>
  <c r="E28" i="15"/>
  <c r="F24" i="15"/>
  <c r="F53" i="15"/>
  <c r="E57" i="15"/>
  <c r="G53" i="15" l="1"/>
  <c r="F57" i="15"/>
  <c r="G24" i="15"/>
  <c r="F28" i="15"/>
  <c r="N9" i="20"/>
  <c r="N11" i="20" s="1"/>
  <c r="J58" i="20"/>
  <c r="P55" i="17"/>
  <c r="P51" i="17"/>
  <c r="E21" i="12"/>
  <c r="E23" i="12"/>
  <c r="G21" i="12"/>
  <c r="G23" i="12"/>
  <c r="J60" i="20" l="1"/>
  <c r="J62" i="20"/>
  <c r="J63" i="20" s="1"/>
  <c r="H24" i="15"/>
  <c r="G28" i="15"/>
  <c r="H53" i="15"/>
  <c r="G57" i="15"/>
  <c r="I53" i="15" l="1"/>
  <c r="H57" i="15"/>
  <c r="I24" i="15"/>
  <c r="H28" i="15"/>
  <c r="J24" i="15" l="1"/>
  <c r="I28" i="15"/>
  <c r="J53" i="15"/>
  <c r="I57" i="15"/>
  <c r="J57" i="15" l="1"/>
  <c r="K53" i="15"/>
  <c r="K24" i="15"/>
  <c r="J28" i="15"/>
  <c r="L24" i="15" l="1"/>
  <c r="K28" i="15"/>
  <c r="L53" i="15"/>
  <c r="K57" i="15"/>
  <c r="M53" i="15" l="1"/>
  <c r="L57" i="15"/>
  <c r="L28" i="15"/>
  <c r="M24" i="15"/>
  <c r="N24" i="15" l="1"/>
  <c r="M28" i="15"/>
  <c r="M57" i="15"/>
  <c r="N53" i="15"/>
  <c r="O53" i="15" l="1"/>
  <c r="N57" i="15"/>
  <c r="N28" i="15"/>
  <c r="O24" i="15"/>
  <c r="O28" i="15" s="1"/>
  <c r="P53" i="15" l="1"/>
  <c r="D82" i="15" s="1"/>
  <c r="O57" i="15"/>
  <c r="E82" i="15" l="1"/>
  <c r="D86" i="15"/>
  <c r="F82" i="15" l="1"/>
  <c r="E86" i="15"/>
  <c r="G82" i="15" l="1"/>
  <c r="F86" i="15"/>
  <c r="H82" i="15" l="1"/>
  <c r="G86" i="15"/>
  <c r="H86" i="15" l="1"/>
  <c r="I82" i="15"/>
  <c r="J82" i="15" l="1"/>
  <c r="I86" i="15"/>
  <c r="J86" i="15" l="1"/>
  <c r="K82" i="15"/>
  <c r="L82" i="15" l="1"/>
  <c r="K86" i="15"/>
  <c r="M82" i="15" l="1"/>
  <c r="L86" i="15"/>
  <c r="M86" i="15" l="1"/>
  <c r="N82" i="15"/>
  <c r="O82" i="15" l="1"/>
  <c r="N86" i="15"/>
  <c r="P82" i="15" l="1"/>
  <c r="O8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infinitas bei hannoverimpuls</author>
  </authors>
  <commentList>
    <comment ref="C9" authorId="0" shapeId="0" xr:uid="{2427F9A5-E13D-4056-A305-42B1591F174F}">
      <text>
        <r>
          <rPr>
            <b/>
            <sz val="8"/>
            <color indexed="81"/>
            <rFont val="Tahoma"/>
            <family val="2"/>
          </rPr>
          <t>Bitte legen Sie hier die Höhe des Umsatzsteuersatzes (0%, 7% oder 19%) fest. 
Der angegebene Satz wird automatisch an den benötigen Stellen in der Datei verwendet.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26" authorId="0" shapeId="0" xr:uid="{19517236-D21B-4B42-84E0-4DE064613ABB}">
      <text>
        <r>
          <rPr>
            <b/>
            <sz val="10"/>
            <color indexed="81"/>
            <rFont val="Verdana"/>
            <family val="2"/>
          </rPr>
          <t>Diese Ergebniszahl zeigt Ihnen welche Mittel im Geschäftsjahr im Unternehmen verbleiben und für Investitionen, Rücklagen oder als Tilgungsbeiträge zur Verfügung stehen!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Rechner</author>
    <author>Admin</author>
    <author>Adamy</author>
    <author>sabine detering</author>
  </authors>
  <commentList>
    <comment ref="C4" authorId="0" shapeId="0" xr:uid="{CF57BB4D-69E7-4562-879D-B3C055490F18}">
      <text>
        <r>
          <rPr>
            <b/>
            <sz val="10"/>
            <color indexed="81"/>
            <rFont val="Verdana"/>
            <family val="2"/>
          </rPr>
          <t>Bitte geben Sie Bruttowerte an!
Falls es sich bei dem zu gründendem Unternehmen um eine GmbH handelt, sind in dieser Tabelle keine Eintragungen vorzunehmen! Der Geschäftsführer bezieht ein Gehalt, welches in dem Tabellenblatt ArbStd_MA berücksichtigt wird.</t>
        </r>
      </text>
    </comment>
    <comment ref="M4" authorId="0" shapeId="0" xr:uid="{2BB92CB5-539E-4ED9-AEFB-35CB6A7DAA2F}">
      <text>
        <r>
          <rPr>
            <b/>
            <sz val="10"/>
            <color indexed="81"/>
            <rFont val="Verdana"/>
            <family val="2"/>
          </rPr>
          <t>Diese Erläuterungen dienen Ihnen als Gedächtnisstütze für die spätere Nachvollziehbarkeit sowie der Plausibilisierung der Angaben. Bitte tragen Sie hier ein, für welches konkreten Aufwendungen Sie die Positionen planen. Machen Sie sich während des gesamten Planungsprozesses Notizen.</t>
        </r>
      </text>
    </comment>
    <comment ref="U4" authorId="0" shapeId="0" xr:uid="{E86019ED-71D7-4AC8-9093-2D8B3AF4D5D9}">
      <text>
        <r>
          <rPr>
            <b/>
            <sz val="10"/>
            <color indexed="81"/>
            <rFont val="Verdana"/>
            <family val="2"/>
          </rPr>
          <t>Bitte geben Sie Bruttowerte an!
Falls es sich bei dem zu gründendem Unternehmen um eine GmbH handelt, sind in dieser Tabelle keine Eintragungen vorzunehmen! Der Geschäftsführer bezieht ein Gehalt, welches in dem Tabellenblatt ArbStd_MA berücksichtigt wird.</t>
        </r>
      </text>
    </comment>
    <comment ref="F5" authorId="0" shapeId="0" xr:uid="{CC10BA29-B18D-4EAC-B6F1-509F22556EC8}">
      <text>
        <r>
          <rPr>
            <b/>
            <sz val="10"/>
            <color indexed="81"/>
            <rFont val="Verdana"/>
            <family val="2"/>
          </rPr>
          <t>Z.B. 3% Inflation</t>
        </r>
      </text>
    </comment>
    <comment ref="H5" authorId="0" shapeId="0" xr:uid="{00B55156-B452-42BE-8CF9-1206B83CC641}">
      <text>
        <r>
          <rPr>
            <b/>
            <sz val="10"/>
            <color indexed="81"/>
            <rFont val="Verdana"/>
            <family val="2"/>
          </rPr>
          <t>Z.B. 3 % Inflation</t>
        </r>
      </text>
    </comment>
    <comment ref="F7" authorId="1" shapeId="0" xr:uid="{2E1A2CA1-0203-4834-9599-03AA3E76EB32}">
      <text>
        <r>
          <rPr>
            <b/>
            <sz val="9"/>
            <color indexed="81"/>
            <rFont val="Tahoma"/>
            <family val="2"/>
          </rPr>
          <t>Admin:</t>
        </r>
        <r>
          <rPr>
            <sz val="9"/>
            <color indexed="81"/>
            <rFont val="Tahoma"/>
            <family val="2"/>
          </rPr>
          <t xml:space="preserve">
Beispiel zu Kommentar unten</t>
        </r>
      </text>
    </comment>
    <comment ref="Q15" authorId="2" shapeId="0" xr:uid="{AB706FFE-7B0B-442C-A81D-C9977C344550}">
      <text>
        <r>
          <rPr>
            <b/>
            <sz val="9"/>
            <color indexed="81"/>
            <rFont val="Tahoma"/>
            <family val="2"/>
          </rPr>
          <t>Adamy:</t>
        </r>
        <r>
          <rPr>
            <sz val="9"/>
            <color indexed="81"/>
            <rFont val="Tahoma"/>
            <family val="2"/>
          </rPr>
          <t xml:space="preserve">
Jeweils als Minimum vom Ergebnis anzusetzen</t>
        </r>
      </text>
    </comment>
    <comment ref="Q17" authorId="2" shapeId="0" xr:uid="{899C2678-20AB-4952-A0F2-458D866FEC49}">
      <text>
        <r>
          <rPr>
            <b/>
            <sz val="9"/>
            <color indexed="81"/>
            <rFont val="Tahoma"/>
            <family val="2"/>
          </rPr>
          <t>Adamy:</t>
        </r>
        <r>
          <rPr>
            <sz val="9"/>
            <color indexed="81"/>
            <rFont val="Tahoma"/>
            <family val="2"/>
          </rPr>
          <t xml:space="preserve">
Als Minimum anzusetzen</t>
        </r>
      </text>
    </comment>
    <comment ref="C20" authorId="3" shapeId="0" xr:uid="{772BFF55-2E0D-4571-BA7A-278B0EB2465A}">
      <text>
        <r>
          <rPr>
            <b/>
            <sz val="10"/>
            <color indexed="81"/>
            <rFont val="Verdana"/>
            <family val="2"/>
          </rPr>
          <t>Vorhandenes Fahrzeug  in Privatkosten planen, Neuanschaffung ggf. als Betriebskosten!</t>
        </r>
      </text>
    </comment>
    <comment ref="Q20" authorId="2" shapeId="0" xr:uid="{29160AEB-AA4D-4722-8D8A-67CF1995CBDE}">
      <text>
        <r>
          <rPr>
            <b/>
            <sz val="9"/>
            <color indexed="81"/>
            <rFont val="Tahoma"/>
            <family val="2"/>
          </rPr>
          <t>Adamy:</t>
        </r>
        <r>
          <rPr>
            <sz val="9"/>
            <color indexed="81"/>
            <rFont val="Tahoma"/>
            <family val="2"/>
          </rPr>
          <t xml:space="preserve">
Alleinerziehend</t>
        </r>
      </text>
    </comment>
    <comment ref="U20" authorId="3" shapeId="0" xr:uid="{AD1846E6-FFA7-426F-A535-952BE79BD5F8}">
      <text>
        <r>
          <rPr>
            <b/>
            <sz val="10"/>
            <color indexed="81"/>
            <rFont val="Verdana"/>
            <family val="2"/>
          </rPr>
          <t>Vorhandenes Fahrzeug  in Privatkosten planen, Neuanschaffung ggf. als Betriebskosten!</t>
        </r>
      </text>
    </comment>
    <comment ref="Q21" authorId="2" shapeId="0" xr:uid="{6CA2DB71-4E2B-4348-8022-A6AED0083FB6}">
      <text>
        <r>
          <rPr>
            <b/>
            <sz val="9"/>
            <color indexed="81"/>
            <rFont val="Tahoma"/>
            <family val="2"/>
          </rPr>
          <t>Adamy:</t>
        </r>
        <r>
          <rPr>
            <sz val="9"/>
            <color indexed="81"/>
            <rFont val="Tahoma"/>
            <family val="2"/>
          </rPr>
          <t xml:space="preserve">
2 Erwachsene je Person</t>
        </r>
      </text>
    </comment>
    <comment ref="Q22" authorId="2" shapeId="0" xr:uid="{60E9064E-1CBC-4FDC-933A-D2B6B0D23B1D}">
      <text>
        <r>
          <rPr>
            <b/>
            <sz val="9"/>
            <color indexed="81"/>
            <rFont val="Tahoma"/>
            <family val="2"/>
          </rPr>
          <t>Adamy:</t>
        </r>
        <r>
          <rPr>
            <sz val="9"/>
            <color indexed="81"/>
            <rFont val="Tahoma"/>
            <family val="2"/>
          </rPr>
          <t xml:space="preserve">
Weitere Erwachsene Person im Haushalt</t>
        </r>
      </text>
    </comment>
    <comment ref="Q23" authorId="2" shapeId="0" xr:uid="{402EB856-A9BF-4013-9AE6-E6E3200B9151}">
      <text>
        <r>
          <rPr>
            <b/>
            <sz val="9"/>
            <color indexed="81"/>
            <rFont val="Tahoma"/>
            <family val="2"/>
          </rPr>
          <t>Adamy:</t>
        </r>
        <r>
          <rPr>
            <sz val="9"/>
            <color indexed="81"/>
            <rFont val="Tahoma"/>
            <family val="2"/>
          </rPr>
          <t xml:space="preserve">
Jugendliche 15-18J</t>
        </r>
      </text>
    </comment>
    <comment ref="Q24" authorId="2" shapeId="0" xr:uid="{0AAA52F6-F195-4225-8720-753C3BA3BB52}">
      <text>
        <r>
          <rPr>
            <b/>
            <sz val="9"/>
            <color indexed="81"/>
            <rFont val="Tahoma"/>
            <family val="2"/>
          </rPr>
          <t>Adamy:</t>
        </r>
        <r>
          <rPr>
            <sz val="9"/>
            <color indexed="81"/>
            <rFont val="Tahoma"/>
            <family val="2"/>
          </rPr>
          <t xml:space="preserve">
Kind 7-14 J</t>
        </r>
      </text>
    </comment>
    <comment ref="Q25" authorId="2" shapeId="0" xr:uid="{91E6411F-B4F7-45B3-B983-37751E19625B}">
      <text>
        <r>
          <rPr>
            <b/>
            <sz val="9"/>
            <color indexed="81"/>
            <rFont val="Tahoma"/>
            <family val="2"/>
          </rPr>
          <t>Adamy:</t>
        </r>
        <r>
          <rPr>
            <sz val="9"/>
            <color indexed="81"/>
            <rFont val="Tahoma"/>
            <family val="2"/>
          </rPr>
          <t xml:space="preserve">
Kind bis 6 J</t>
        </r>
      </text>
    </comment>
    <comment ref="C31" authorId="3" shapeId="0" xr:uid="{4EE4DD02-EB84-4BD4-805D-69D3D9D3A6F1}">
      <text>
        <r>
          <rPr>
            <b/>
            <sz val="10"/>
            <color indexed="81"/>
            <rFont val="Verdana"/>
            <family val="2"/>
          </rPr>
          <t xml:space="preserve">Wenn Sie die Kostenplanung nur für sich selbst machen, hier keine Einkommen eintragen. 
</t>
        </r>
      </text>
    </comment>
    <comment ref="C32" authorId="3" shapeId="0" xr:uid="{2C1392C9-D54D-463A-9269-8DCB0A837D0D}">
      <text>
        <r>
          <rPr>
            <b/>
            <sz val="10"/>
            <color indexed="81"/>
            <rFont val="Verdana"/>
            <family val="2"/>
          </rPr>
          <t xml:space="preserve">Arbeitslosengeld, Gründungszuschuss, Einstiegsgeld wird in der Liquiditätsplanung berücksichtigt!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infinitas bei hannoverimpuls</author>
    <author>Admin</author>
    <author>Rechner</author>
    <author>Althilftjung</author>
    <author>Adamy</author>
    <author>Rüdiger Adamy</author>
  </authors>
  <commentList>
    <comment ref="O2" authorId="0" shapeId="0" xr:uid="{E66E35A0-6B4C-41C5-80DD-804BAFCEA541}">
      <text>
        <r>
          <rPr>
            <b/>
            <sz val="10"/>
            <color indexed="81"/>
            <rFont val="Verdana"/>
            <family val="2"/>
          </rPr>
          <t>In dieser Spalten werden die einzelnen monatlichen Positionen für das 1. Geschäftsjahr aufsummiert.</t>
        </r>
      </text>
    </comment>
    <comment ref="Q2" authorId="0" shapeId="0" xr:uid="{5B706E6B-5E41-4F5F-84DE-7E15A333EC36}">
      <text>
        <r>
          <rPr>
            <b/>
            <sz val="10"/>
            <color indexed="81"/>
            <rFont val="Verdana"/>
            <family val="2"/>
          </rPr>
          <t>In dieser Spalte können Sie branchenübliche Vergleichswerte eintragen, welche Sie recherchiert haben.</t>
        </r>
      </text>
    </comment>
    <comment ref="R2" authorId="0" shapeId="0" xr:uid="{AAC95897-05F0-4219-8F5C-12C323121350}">
      <text>
        <r>
          <rPr>
            <b/>
            <sz val="10"/>
            <color indexed="81"/>
            <rFont val="Verdana"/>
            <family val="2"/>
          </rPr>
          <t>Diese Erläuterungen dienen Ihnen als Gedächtnisstütze für die spätere Nachvollziehbarkeit sowie der Plausibilisierung der Angaben. Bitte tragen Sie hier ein, für welches konkreten Aufwendungen Sie die Positionen planen. Machen Sie sich während des gesamten Planungsprozesses Notizen.</t>
        </r>
      </text>
    </comment>
    <comment ref="A4" authorId="0" shapeId="0" xr:uid="{96F76943-B98A-4B6A-9A86-8118C4932433}">
      <text>
        <r>
          <rPr>
            <b/>
            <sz val="8"/>
            <color indexed="81"/>
            <rFont val="Tahoma"/>
            <family val="2"/>
          </rPr>
          <t>Tragen Sie hier den %-Anteil Ihres Materialeinsatzes gemessen am Umsatz ein. Wenn kein Materialeinsatz=0</t>
        </r>
      </text>
    </comment>
    <comment ref="B4" authorId="0" shapeId="0" xr:uid="{83865C82-FA9D-41D3-8FF2-4B921132E947}">
      <text>
        <r>
          <rPr>
            <b/>
            <sz val="10"/>
            <color indexed="81"/>
            <rFont val="Verdana"/>
            <family val="2"/>
          </rPr>
          <t xml:space="preserve">Tragen Sie in die Zelle A4
 den prozentualen Anteil des Materialeinsatzes gemessen am Umsatz ein. </t>
        </r>
      </text>
    </comment>
    <comment ref="B6" authorId="1" shapeId="0" xr:uid="{5B051BC8-B2C1-4513-A61C-9AFC9D5C173F}">
      <text>
        <r>
          <rPr>
            <b/>
            <sz val="10"/>
            <color indexed="81"/>
            <rFont val="Verdana"/>
            <family val="2"/>
          </rPr>
          <t>Miete, Gas, Wasser, Strom, sonst. Nebenkosten</t>
        </r>
      </text>
    </comment>
    <comment ref="B7" authorId="1" shapeId="0" xr:uid="{1262B923-E671-47FE-894F-7912B45C0129}">
      <text>
        <r>
          <rPr>
            <b/>
            <sz val="10"/>
            <color indexed="81"/>
            <rFont val="Verdana"/>
            <family val="2"/>
          </rPr>
          <t>KFZ Steuer, Körperschaftssteuer-Vorauszahlung</t>
        </r>
      </text>
    </comment>
    <comment ref="B8" authorId="1" shapeId="0" xr:uid="{7C321508-FC7E-4B11-9541-CA56BA171718}">
      <text>
        <r>
          <rPr>
            <b/>
            <sz val="10"/>
            <color indexed="81"/>
            <rFont val="Verdana"/>
            <family val="2"/>
          </rPr>
          <t>Treibstoff, Reparaturen, Öl</t>
        </r>
      </text>
    </comment>
    <comment ref="B10" authorId="2" shapeId="0" xr:uid="{3FEFF18C-84EF-4AF0-8BA7-D6D47B251115}">
      <text>
        <r>
          <rPr>
            <b/>
            <sz val="10"/>
            <color indexed="81"/>
            <rFont val="Verdana"/>
            <family val="2"/>
          </rPr>
          <t>Marketing, Bewirtung, Messekosten, Hotel- und Übernachtung</t>
        </r>
      </text>
    </comment>
    <comment ref="B12" authorId="2" shapeId="0" xr:uid="{AC9F8023-5A8B-4873-86D5-DC279D243472}">
      <text>
        <r>
          <rPr>
            <b/>
            <sz val="10"/>
            <color indexed="81"/>
            <rFont val="Verdana"/>
            <family val="2"/>
          </rPr>
          <t>Büromaterialien</t>
        </r>
      </text>
    </comment>
    <comment ref="B13" authorId="1" shapeId="0" xr:uid="{BA073BDB-5A98-4349-8D90-9018DAE91385}">
      <text>
        <r>
          <rPr>
            <b/>
            <sz val="10"/>
            <color indexed="81"/>
            <rFont val="Verdana"/>
            <family val="2"/>
          </rPr>
          <t>Steuerberater, Rechtsberatung, Beitrag IHK</t>
        </r>
      </text>
    </comment>
    <comment ref="B14" authorId="1" shapeId="0" xr:uid="{46A83FC8-7106-44FD-B278-3469FBF99A33}">
      <text>
        <r>
          <rPr>
            <b/>
            <sz val="10"/>
            <color indexed="81"/>
            <rFont val="Verdana"/>
            <family val="2"/>
          </rPr>
          <t xml:space="preserve">Geschäftsversicherung, Einbruch, Diebstahl,  Glasbruch, Feuer </t>
        </r>
      </text>
    </comment>
    <comment ref="B15" authorId="1" shapeId="0" xr:uid="{EF676254-DBB3-42F8-B4A5-A14DF491628B}">
      <text>
        <r>
          <rPr>
            <b/>
            <sz val="10"/>
            <color indexed="81"/>
            <rFont val="Verdana"/>
            <family val="2"/>
          </rPr>
          <t>alle Reparaturen  ohne KFZ Reparaturen</t>
        </r>
      </text>
    </comment>
    <comment ref="B16" authorId="1" shapeId="0" xr:uid="{7CCB76EC-E06E-43EB-9A60-D17CBE971975}">
      <text>
        <r>
          <rPr>
            <b/>
            <sz val="10"/>
            <color indexed="81"/>
            <rFont val="Verdana"/>
            <family val="2"/>
          </rPr>
          <t>alle Kosten des Geschäftsbetriebes wie z.B. Porto, Kosten der Warenabgabe, Nebenkosten des Geldverkehrs, Verbrauchsmaterial</t>
        </r>
      </text>
    </comment>
    <comment ref="B17" authorId="1" shapeId="0" xr:uid="{2A1D2BE8-D0C2-4667-9751-73E52FF7640E}">
      <text>
        <r>
          <rPr>
            <b/>
            <sz val="10"/>
            <color indexed="81"/>
            <rFont val="Verdana"/>
            <family val="2"/>
          </rPr>
          <t>Der ausgewiesene Zinsaufwand wird automatisch aus dem Dateiblatt Finanzen übernommen</t>
        </r>
      </text>
    </comment>
    <comment ref="B22" authorId="2" shapeId="0" xr:uid="{69C9FC27-C17F-4757-9989-AE7600F88DB8}">
      <text>
        <r>
          <rPr>
            <b/>
            <sz val="10"/>
            <color indexed="81"/>
            <rFont val="Verdana"/>
            <family val="2"/>
          </rPr>
          <t>Die Abschreibung werden automatisch aus dem Tabellenblatt Finanz_AfA übernommen.</t>
        </r>
      </text>
    </comment>
    <comment ref="B25" authorId="3" shapeId="0" xr:uid="{B9BA18BB-E050-47FA-AA4F-673B0F4B0DE8}">
      <text>
        <r>
          <rPr>
            <b/>
            <sz val="10"/>
            <color indexed="81"/>
            <rFont val="Verdana"/>
            <family val="2"/>
          </rPr>
          <t>Achtung I: die eingetragene Formel greift auf den angegebenen Steuersatz eines Einzelunternehmens (Zelle I32) zurück. Bei einer GmbH ändern Sie bitte die Formel, so dass Sie auf Zelle I33 zurückgreift. Bei Wahl einer anderen Rechtsform fragen Sie bitte den Referenten bzw. Ihren Steuerberater und tragen Sie die Steuerbelastung händisch ein. 
Achtung II: Bei negativem Monatsergebnis kann der Steuerbetrag vorübergehend auch negativ sein!!</t>
        </r>
      </text>
    </comment>
    <comment ref="B27" authorId="0" shapeId="0" xr:uid="{9B3C0338-AD0D-4D6C-9B89-1DDFE4339296}">
      <text>
        <r>
          <rPr>
            <b/>
            <sz val="10"/>
            <color indexed="81"/>
            <rFont val="Verdana"/>
            <family val="2"/>
          </rPr>
          <t>Der Unternehmerlohn ergibt sich durch die privaten Kosten (Tabellenblatt "Privatentnahme")  zzgl. von Risikozulagen (s.u. "Gesamtkalkulation")</t>
        </r>
      </text>
    </comment>
    <comment ref="D32" authorId="0" shapeId="0" xr:uid="{A2145638-3B58-42FC-B900-1D3464A8CAE9}">
      <text>
        <r>
          <rPr>
            <b/>
            <sz val="8"/>
            <color indexed="81"/>
            <rFont val="Tahoma"/>
            <family val="2"/>
          </rPr>
          <t xml:space="preserve"> Abweichungen bei derEinkommenssteuer, (beim Splittingeffekt) und bei Einbziehung der Kirchensteuer sind jederzeit möglich</t>
        </r>
      </text>
    </comment>
    <comment ref="F32" authorId="0" shapeId="0" xr:uid="{BA286152-AFC5-4D02-8558-E6CE1D0E9F61}">
      <text>
        <r>
          <rPr>
            <b/>
            <sz val="10"/>
            <color indexed="81"/>
            <rFont val="Verdana"/>
            <family val="2"/>
          </rPr>
          <t>Solidaritätszuschlag</t>
        </r>
      </text>
    </comment>
    <comment ref="H32" authorId="0" shapeId="0" xr:uid="{6B0C11DA-4F32-4357-B97D-7CFC90FC4DE4}">
      <text>
        <r>
          <rPr>
            <b/>
            <sz val="8"/>
            <color indexed="81"/>
            <rFont val="Tahoma"/>
            <family val="2"/>
          </rPr>
          <t>Hinweise zur Gewerbesteuer-Berechnungsart: siehe Gewerbesteuerrechner</t>
        </r>
      </text>
    </comment>
    <comment ref="K32" authorId="4" shapeId="0" xr:uid="{AC605599-CF26-416E-AD23-F9F5AD1CA34E}">
      <text>
        <r>
          <rPr>
            <b/>
            <sz val="9"/>
            <color indexed="81"/>
            <rFont val="Tahoma"/>
            <family val="2"/>
          </rPr>
          <t>Adamy:</t>
        </r>
        <r>
          <rPr>
            <sz val="9"/>
            <color indexed="81"/>
            <rFont val="Tahoma"/>
            <family val="2"/>
          </rPr>
          <t xml:space="preserve">
1= Steuer Einzelfirma
2=Steuern GmbH</t>
        </r>
      </text>
    </comment>
    <comment ref="D33" authorId="0" shapeId="0" xr:uid="{BDAC87B0-DC95-4911-B2B0-3725E5E323E0}">
      <text>
        <r>
          <rPr>
            <b/>
            <sz val="10"/>
            <color indexed="81"/>
            <rFont val="Verdana"/>
            <family val="2"/>
          </rPr>
          <t>Körperschaftssteuer</t>
        </r>
      </text>
    </comment>
    <comment ref="B36" authorId="0" shapeId="0" xr:uid="{EBC551A0-69E3-4815-A092-6AC063105611}">
      <text>
        <r>
          <rPr>
            <b/>
            <sz val="10"/>
            <color indexed="81"/>
            <rFont val="Verdana"/>
            <family val="2"/>
          </rPr>
          <t xml:space="preserve">In der Gesamtkalkulation fließen alle Ihre errechneten Kosten zusammen.
In den Zellen Q36 bis Q 39 können Sie folgende Positionen individuell anpassen:
3) Risikozuschlag unternehmerischer Tätigkeit;
4) Eigenkapitalverzinsung;
6) Reingewinnanspruch;
7) Garantie und Gewährleistung.
</t>
        </r>
      </text>
    </comment>
    <comment ref="Q38" authorId="0" shapeId="0" xr:uid="{2910E508-D425-4644-ADA1-FAF441D94A35}">
      <text>
        <r>
          <rPr>
            <b/>
            <sz val="10"/>
            <color indexed="81"/>
            <rFont val="Verdana"/>
            <family val="2"/>
          </rPr>
          <t>Sie können den %-Anteil des Risikozuschlags für unternehm. Tätigkeit varibal bestimmen (vom Umsatz)</t>
        </r>
      </text>
    </comment>
    <comment ref="O39" authorId="0" shapeId="0" xr:uid="{D65FF442-63AE-43DC-92C1-04126E6E8599}">
      <text>
        <r>
          <rPr>
            <b/>
            <sz val="8"/>
            <color indexed="81"/>
            <rFont val="Tahoma"/>
            <family val="2"/>
          </rPr>
          <t>Rohaufschlag für den Handel</t>
        </r>
      </text>
    </comment>
    <comment ref="Q39" authorId="0" shapeId="0" xr:uid="{98F64CC6-41CD-4A3A-9EF0-3E6E18985588}">
      <text>
        <r>
          <rPr>
            <b/>
            <sz val="10"/>
            <color indexed="81"/>
            <rFont val="Verdana"/>
            <family val="2"/>
          </rPr>
          <t>Sie können den Prozentsatz der Eigenkapitalverzinsung variabel bestimmen.</t>
        </r>
      </text>
    </comment>
    <comment ref="M40" authorId="5" shapeId="0" xr:uid="{62826C53-06A6-4327-8CEB-E19A6A907330}">
      <text>
        <r>
          <rPr>
            <b/>
            <sz val="10"/>
            <color indexed="81"/>
            <rFont val="Verdana"/>
            <family val="2"/>
          </rPr>
          <t>Die Summe der auf jeden Fall zu deckenden Kosten werden durch die produktiven Stunden und durch die Anzahl der produktiven Mitarbeiter geteilt  (reiner kostendeckender Stundensatz)</t>
        </r>
      </text>
    </comment>
    <comment ref="Q40" authorId="0" shapeId="0" xr:uid="{D600F0B0-A886-4823-AC1D-2F99EBDC2D93}">
      <text>
        <r>
          <rPr>
            <b/>
            <sz val="10"/>
            <color indexed="81"/>
            <rFont val="Verdana"/>
            <family val="2"/>
          </rPr>
          <t>Sie können den %-Anteil des Reingewinnanspruches varibal bestimmen (vom Umsatz)</t>
        </r>
      </text>
    </comment>
    <comment ref="G41" authorId="0" shapeId="0" xr:uid="{45D62E6D-B4AF-49A0-BA33-126C2F4C3F1B}">
      <text>
        <r>
          <rPr>
            <b/>
            <sz val="8"/>
            <color indexed="81"/>
            <rFont val="Tahoma"/>
            <family val="2"/>
          </rPr>
          <t>Betrag wird automatisch aus der o.a. Steuertabelle übernommen. ACHTUNG BEI VERLUSTEN DES UNTERNEHMENS: Um bei Verlusten des Unternehmens die Preise für die Zukunft richtig zu kalkulieren, kann ein Steuerbetrag individuell eingetragen werden.Heben Sie dazu den Blattschutz auf.</t>
        </r>
      </text>
    </comment>
    <comment ref="M41" authorId="5" shapeId="0" xr:uid="{B44F164D-95E2-4F34-B207-21E481F9399D}">
      <text>
        <r>
          <rPr>
            <b/>
            <sz val="10"/>
            <color indexed="81"/>
            <rFont val="Verdana"/>
            <family val="2"/>
          </rPr>
          <t>Die Summe aller kalkulierten (also auch die zusätzlichen) Kosten werden durch die produktiven Stunden und durch die Anzahl der produktiven Mitarbeiter geteilt  (ergibt den Ziel-Stundensatz)</t>
        </r>
      </text>
    </comment>
    <comment ref="Q41" authorId="0" shapeId="0" xr:uid="{54AA91DB-120F-41C3-94F3-F39015C8C467}">
      <text>
        <r>
          <rPr>
            <b/>
            <sz val="10"/>
            <color indexed="81"/>
            <rFont val="Verdana"/>
            <family val="2"/>
          </rPr>
          <t>Kalkulieren Sie eine variable Rücklage für Garantie und Gewährleistungen</t>
        </r>
      </text>
    </comment>
    <comment ref="Q42" authorId="4" shapeId="0" xr:uid="{169D95D1-FFCE-4ECE-AED3-91367705AD18}">
      <text>
        <r>
          <rPr>
            <b/>
            <sz val="9"/>
            <color indexed="81"/>
            <rFont val="Tahoma"/>
            <family val="2"/>
          </rPr>
          <t>Adamy:</t>
        </r>
        <r>
          <rPr>
            <sz val="9"/>
            <color indexed="81"/>
            <rFont val="Tahoma"/>
            <family val="2"/>
          </rPr>
          <t xml:space="preserve">
Falls Sie Saisonalverkäufe sowie reduzierte Ware anbieten, können Sie an dieser Stelle einen prozentualen Risikozuschlag berechnen. Das gleiche gilt für die Abwertung von Materialien!</t>
        </r>
      </text>
    </comment>
    <comment ref="M43" authorId="1" shapeId="0" xr:uid="{4DE6F854-92AB-44BF-8749-EAD8DBE44E84}">
      <text>
        <r>
          <rPr>
            <b/>
            <sz val="9"/>
            <color indexed="81"/>
            <rFont val="Tahoma"/>
            <family val="2"/>
          </rPr>
          <t>Admin:</t>
        </r>
        <r>
          <rPr>
            <sz val="9"/>
            <color indexed="81"/>
            <rFont val="Tahoma"/>
            <family val="2"/>
          </rPr>
          <t xml:space="preserve">
Rohaufschläge werden wie folgt berechnet: alle Kosten+ Erlös- und Risikokomponenten der Spalte 41c-k, geteilt durh den Wareneinsatz</t>
        </r>
      </text>
    </comment>
    <comment ref="Q43" authorId="4" shapeId="0" xr:uid="{006FE337-D668-483E-BBCE-64CF9750C77E}">
      <text>
        <r>
          <rPr>
            <b/>
            <sz val="9"/>
            <color indexed="81"/>
            <rFont val="Tahoma"/>
            <family val="2"/>
          </rPr>
          <t>Adamy:Dieses Feld ist nur von Händlern auszufüllen! Einen Anhaltspunkt für die Prozentzahl der umsatzlosen Zeit können Sie aus der Tabelle ArbStd_MA Zelle E25 ermitteln: Dort wird die Auslastung in % angegeben. Daraus ergibt sich eine umsatzlose Zeit von etwa: 100-E25.</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infinitas bei hannoverimpuls</author>
    <author>Rüdiger Adamy</author>
    <author>Rechner</author>
    <author>Althilftjung</author>
    <author>Adamy</author>
  </authors>
  <commentList>
    <comment ref="C2" authorId="0" shapeId="0" xr:uid="{D5CB7156-A8AD-43AD-993B-1DC4E0759DC0}">
      <text>
        <r>
          <rPr>
            <b/>
            <sz val="10"/>
            <color indexed="81"/>
            <rFont val="Verdana"/>
            <family val="2"/>
          </rPr>
          <t>Die Plan-Monate werden automatisch aus dem 1. Geschäftsjahr übernommen.</t>
        </r>
      </text>
    </comment>
    <comment ref="O2" authorId="1" shapeId="0" xr:uid="{2241D15B-9DBB-4B05-8F79-E18F08DC1A51}">
      <text>
        <r>
          <rPr>
            <b/>
            <sz val="10"/>
            <color indexed="81"/>
            <rFont val="Verdana"/>
            <family val="2"/>
          </rPr>
          <t>In dieser Spalten werden die einzelnen monatlichen Positionen für das 2. Geschäftsjahr aufsummiert.</t>
        </r>
      </text>
    </comment>
    <comment ref="Q2" authorId="1" shapeId="0" xr:uid="{F241395C-DDA6-4F1F-B454-D17C0E16D433}">
      <text>
        <r>
          <rPr>
            <b/>
            <sz val="10"/>
            <color indexed="81"/>
            <rFont val="Verdana"/>
            <family val="2"/>
          </rPr>
          <t>In dieser Spalte können Sie branchenübliche Vergleichswerte eintragen, welche Sie recherchiert haben.</t>
        </r>
      </text>
    </comment>
    <comment ref="R2" authorId="1" shapeId="0" xr:uid="{1960E97B-A7A8-434F-8B2E-79C4E08412E9}">
      <text>
        <r>
          <rPr>
            <b/>
            <sz val="10"/>
            <color indexed="81"/>
            <rFont val="Verdana"/>
            <family val="2"/>
          </rPr>
          <t>Diese Erläuterungen dienen Ihnen als Gedächtnisstütze für die spätere Nachvollziehbarkeit sowie der Plausibilisierung der Angaben. Bitte tragen Sie hier ein, für welches konkreten Aufwendungen Sie die Positionen planen. Machen Sie sich während des gesamten Planungsprozesses Notizen.</t>
        </r>
      </text>
    </comment>
    <comment ref="A4" authorId="1" shapeId="0" xr:uid="{B3EE17EA-4848-481F-BBD2-98873C251663}">
      <text>
        <r>
          <rPr>
            <b/>
            <sz val="8"/>
            <color indexed="81"/>
            <rFont val="Tahoma"/>
            <family val="2"/>
          </rPr>
          <t>Tragen Sie hier den %-Anteil Ihres Materialeinsatzes gemessen am Umsatz ein. Wenn kein Materialeinsatz=0</t>
        </r>
      </text>
    </comment>
    <comment ref="C4" authorId="2" shapeId="0" xr:uid="{85062FC1-C3C9-4BAD-BE6A-B50448CA38AE}">
      <text>
        <r>
          <rPr>
            <b/>
            <sz val="10"/>
            <color indexed="81"/>
            <rFont val="Verdana"/>
            <family val="2"/>
          </rPr>
          <t>Warenverbindlichkeiten aus Vorperioden sind einzubeziehen!!</t>
        </r>
      </text>
    </comment>
    <comment ref="B6" authorId="0" shapeId="0" xr:uid="{243BEDD6-63A7-4604-B8BC-5A98F30089C1}">
      <text>
        <r>
          <rPr>
            <b/>
            <sz val="10"/>
            <color indexed="81"/>
            <rFont val="Verdana"/>
            <family val="2"/>
          </rPr>
          <t>Miete, Gas, Wasser, Strom, sonst. Nebenkosten</t>
        </r>
      </text>
    </comment>
    <comment ref="B7" authorId="0" shapeId="0" xr:uid="{E2F6B6B5-3768-41F2-83E8-7226F373D69D}">
      <text>
        <r>
          <rPr>
            <b/>
            <sz val="10"/>
            <color indexed="81"/>
            <rFont val="Verdana"/>
            <family val="2"/>
          </rPr>
          <t>KFZ Steuer, Körperschaftssteuer-Vorauszahlung</t>
        </r>
      </text>
    </comment>
    <comment ref="B8" authorId="0" shapeId="0" xr:uid="{774BB882-DDF3-4392-8739-AF24D39DDC31}">
      <text>
        <r>
          <rPr>
            <b/>
            <sz val="10"/>
            <color indexed="81"/>
            <rFont val="Verdana"/>
            <family val="2"/>
          </rPr>
          <t>Treibstoff, Reparaturen, Öl</t>
        </r>
      </text>
    </comment>
    <comment ref="B10" authorId="3" shapeId="0" xr:uid="{80D0E4D9-3BFD-440B-9D67-50E05FDABE82}">
      <text>
        <r>
          <rPr>
            <b/>
            <sz val="10"/>
            <color indexed="81"/>
            <rFont val="Verdana"/>
            <family val="2"/>
          </rPr>
          <t>Marketing, Bewirtung, Messekosten, Hotel- und Übernachtung</t>
        </r>
      </text>
    </comment>
    <comment ref="B12" authorId="3" shapeId="0" xr:uid="{B0A47B41-5892-490C-B092-1890DE5B49A3}">
      <text>
        <r>
          <rPr>
            <b/>
            <sz val="10"/>
            <color indexed="81"/>
            <rFont val="Verdana"/>
            <family val="2"/>
          </rPr>
          <t>Büromaterialien</t>
        </r>
      </text>
    </comment>
    <comment ref="B13" authorId="0" shapeId="0" xr:uid="{CA4EC389-17AC-44B0-9EDB-BFF6694E4ECE}">
      <text>
        <r>
          <rPr>
            <b/>
            <sz val="10"/>
            <color indexed="81"/>
            <rFont val="Verdana"/>
            <family val="2"/>
          </rPr>
          <t>Steuerberater, Rechtsberatung, Beitrag IHK</t>
        </r>
      </text>
    </comment>
    <comment ref="B14" authorId="0" shapeId="0" xr:uid="{E1003560-9AB2-4940-B9B1-E8A7335894B3}">
      <text>
        <r>
          <rPr>
            <b/>
            <sz val="10"/>
            <color indexed="81"/>
            <rFont val="Verdana"/>
            <family val="2"/>
          </rPr>
          <t xml:space="preserve">Geschäftsversicherung, Einbruch, Diebstahl,  Glasbruch, Feuer </t>
        </r>
      </text>
    </comment>
    <comment ref="B15" authorId="0" shapeId="0" xr:uid="{409551F3-6DF2-464F-B978-E9BFE14E70C0}">
      <text>
        <r>
          <rPr>
            <b/>
            <sz val="10"/>
            <color indexed="81"/>
            <rFont val="Verdana"/>
            <family val="2"/>
          </rPr>
          <t>alle Reparaturen  ohne KFZ Reparaturen</t>
        </r>
      </text>
    </comment>
    <comment ref="B16" authorId="0" shapeId="0" xr:uid="{074D846E-A2F5-4CA4-B206-D51B4041BD3F}">
      <text>
        <r>
          <rPr>
            <b/>
            <sz val="10"/>
            <color indexed="81"/>
            <rFont val="Verdana"/>
            <family val="2"/>
          </rPr>
          <t>alle Kosten des Geschäftsbetriebes wie z.B. Porto, Kosten der Warenabgabe, Nebenkosten des Geldverkehrs, Verbrauchsmaterial</t>
        </r>
      </text>
    </comment>
    <comment ref="B17" authorId="0" shapeId="0" xr:uid="{50DA9B38-FBB8-4E3F-B6C9-441F5750C99A}">
      <text>
        <r>
          <rPr>
            <b/>
            <sz val="10"/>
            <color indexed="81"/>
            <rFont val="Verdana"/>
            <family val="2"/>
          </rPr>
          <t>Der ausgewiesene Zinsaufwand wird automatisch aus dem Dateiblatt Finanzen übernommen</t>
        </r>
      </text>
    </comment>
    <comment ref="B22" authorId="3" shapeId="0" xr:uid="{4C50C2F5-C6B2-4AEB-AB0C-A4B43C97CAA2}">
      <text>
        <r>
          <rPr>
            <b/>
            <sz val="10"/>
            <color indexed="81"/>
            <rFont val="Verdana"/>
            <family val="2"/>
          </rPr>
          <t>Die Abschreibung werden automatisch aus dem Tabellenblatt Finanz_AfA übernommen.</t>
        </r>
      </text>
    </comment>
    <comment ref="B25" authorId="4" shapeId="0" xr:uid="{446159FA-2279-427D-81F0-D6FE244E2B15}">
      <text>
        <r>
          <rPr>
            <b/>
            <sz val="10"/>
            <color indexed="81"/>
            <rFont val="Verdana"/>
            <family val="2"/>
          </rPr>
          <t>Achtung I: die eingetragene Formel greift auf den angegebenen Steuersatz eines Einzelunternehmens (Zelle I32) zurück. Bei einer GmbH ändern Sie bitte die Formel, so dass Sie auf Zelle I33 zurückgreift. Bei Wahl einer anderen Rechtsform fragen Sie bitte den Referenten bzw. Ihren Steuerberater und tragen Sie die Steuerbelastung händisch ein. 
Achtung II: Bei negativem Monatsergebnis kann der Steuerbetrag vorübergehend auch negativ sein!!</t>
        </r>
      </text>
    </comment>
    <comment ref="B27" authorId="1" shapeId="0" xr:uid="{F62F64B2-62E7-4FE6-B814-E9B014DA9317}">
      <text>
        <r>
          <rPr>
            <b/>
            <sz val="10"/>
            <color indexed="81"/>
            <rFont val="Verdana"/>
            <family val="2"/>
          </rPr>
          <t>Der Unternehmerlohn ergibt sich durch die privaten Kosten (Tabellenblatt "Privatentnahme")  zzgl. von Risikozulagen (s.u. "Gesamtkalkulation")</t>
        </r>
      </text>
    </comment>
    <comment ref="D32" authorId="1" shapeId="0" xr:uid="{E532B0DA-6EDF-4DD5-9CC7-568E39812AE5}">
      <text>
        <r>
          <rPr>
            <b/>
            <sz val="8"/>
            <color indexed="81"/>
            <rFont val="Tahoma"/>
            <family val="2"/>
          </rPr>
          <t xml:space="preserve"> Abweichungen bei derEinkommenssteuer, (beim Splittingeffekt) und bei Einbziehung der Kirchensteuer sind jederzeit möglich</t>
        </r>
      </text>
    </comment>
    <comment ref="F32" authorId="1" shapeId="0" xr:uid="{ADDFC157-5B0D-4C0D-84CD-571572565303}">
      <text>
        <r>
          <rPr>
            <b/>
            <sz val="10"/>
            <color indexed="81"/>
            <rFont val="Verdana"/>
            <family val="2"/>
          </rPr>
          <t>Solidaritätszuschlag</t>
        </r>
      </text>
    </comment>
    <comment ref="H32" authorId="1" shapeId="0" xr:uid="{DE5CB0B3-DF47-426D-83D3-8EA1533BBF6B}">
      <text>
        <r>
          <rPr>
            <b/>
            <sz val="10"/>
            <color indexed="81"/>
            <rFont val="Verdana"/>
            <family val="2"/>
          </rPr>
          <t>Gewerbesteuer</t>
        </r>
      </text>
    </comment>
    <comment ref="K32" authorId="5" shapeId="0" xr:uid="{E8DC44F8-669A-4A58-A32A-B93741E7C065}">
      <text>
        <r>
          <rPr>
            <b/>
            <sz val="9"/>
            <color indexed="81"/>
            <rFont val="Tahoma"/>
            <family val="2"/>
          </rPr>
          <t>Adamy:</t>
        </r>
        <r>
          <rPr>
            <sz val="9"/>
            <color indexed="81"/>
            <rFont val="Tahoma"/>
            <family val="2"/>
          </rPr>
          <t xml:space="preserve">
1= Steuer Einzelfirma
2=Steuern GmbH</t>
        </r>
      </text>
    </comment>
    <comment ref="D33" authorId="1" shapeId="0" xr:uid="{59B37EDB-93EE-4FC9-8E27-289E931BF7E3}">
      <text>
        <r>
          <rPr>
            <b/>
            <sz val="10"/>
            <color indexed="81"/>
            <rFont val="Verdana"/>
            <family val="2"/>
          </rPr>
          <t>Körperschaftssteuer</t>
        </r>
      </text>
    </comment>
    <comment ref="B35" authorId="1" shapeId="0" xr:uid="{7523F5C0-4761-4787-B473-3D1EA4275358}">
      <text>
        <r>
          <rPr>
            <b/>
            <sz val="10"/>
            <color indexed="81"/>
            <rFont val="Verdana"/>
            <family val="2"/>
          </rPr>
          <t>In der Gesamtkalkulation fließen alle Ihre errechneten Kosten zusammen.</t>
        </r>
      </text>
    </comment>
    <comment ref="Q37" authorId="1" shapeId="0" xr:uid="{61521048-8279-4D56-8A1B-D0925F3D1033}">
      <text>
        <r>
          <rPr>
            <b/>
            <sz val="10"/>
            <color indexed="81"/>
            <rFont val="Verdana"/>
            <family val="2"/>
          </rPr>
          <t>Sie können den %-Anteil des Risikozuschlags für unternehm. Tätigkeit varibal bestimmen (vom Umsatz)</t>
        </r>
      </text>
    </comment>
    <comment ref="O38" authorId="1" shapeId="0" xr:uid="{86AA0D51-262C-4376-B0E0-7F3086825DBF}">
      <text>
        <r>
          <rPr>
            <b/>
            <sz val="8"/>
            <color indexed="81"/>
            <rFont val="Tahoma"/>
            <family val="2"/>
          </rPr>
          <t>Rohaufschlag für den Handel</t>
        </r>
      </text>
    </comment>
    <comment ref="Q38" authorId="1" shapeId="0" xr:uid="{6A20D4B9-2665-4AA1-AB94-21618F31D22D}">
      <text>
        <r>
          <rPr>
            <b/>
            <sz val="10"/>
            <color indexed="81"/>
            <rFont val="Verdana"/>
            <family val="2"/>
          </rPr>
          <t>Sie können den Prozentsatz der Eigenkapitalverzinsung variabel bestimmen.</t>
        </r>
      </text>
    </comment>
    <comment ref="M39" authorId="3" shapeId="0" xr:uid="{6BE47717-96D0-403B-B64C-5455E85C7085}">
      <text>
        <r>
          <rPr>
            <b/>
            <sz val="10"/>
            <color indexed="81"/>
            <rFont val="Verdana"/>
            <family val="2"/>
          </rPr>
          <t>Die Summe der auf jeden Fall zu deckenden Kosten werden durch die produktiven Stunden und durch die Anzahl der produktiven Mitarbeiter geteilt  (reiner kostendeckender Stundensatz)</t>
        </r>
      </text>
    </comment>
    <comment ref="Q39" authorId="1" shapeId="0" xr:uid="{B0DE7BBA-BE72-48A0-8203-61FF8F929AC9}">
      <text>
        <r>
          <rPr>
            <b/>
            <sz val="10"/>
            <color indexed="81"/>
            <rFont val="Verdana"/>
            <family val="2"/>
          </rPr>
          <t>Sie können den %-Anteil des Reingewinnanspruches varibal bestimmen (vom Umsatz)</t>
        </r>
      </text>
    </comment>
    <comment ref="G40" authorId="1" shapeId="0" xr:uid="{E2750E98-4151-4B22-88B3-831DC78D8FA0}">
      <text>
        <r>
          <rPr>
            <b/>
            <sz val="8"/>
            <color indexed="81"/>
            <rFont val="Tahoma"/>
            <family val="2"/>
          </rPr>
          <t>Betrag wird automatisch aus der o.a. Steuertabelle übernommen. ACHTUNG BEI VERLUSTEN DES UNTERNEHMENS: Um bei Verlusten des Unternehmens die Preise für die Zukunft richtig zu kalkulieren, kann ein Steuerbetrag individuell eingetragen werden.</t>
        </r>
      </text>
    </comment>
    <comment ref="M40" authorId="3" shapeId="0" xr:uid="{477A02F1-C1E3-4E37-B3C7-705D1CB59C9C}">
      <text>
        <r>
          <rPr>
            <b/>
            <sz val="10"/>
            <color indexed="81"/>
            <rFont val="Verdana"/>
            <family val="2"/>
          </rPr>
          <t>Die Summe aller kalkulierten (also auch die zusätzlichen) Kosten werden durch die produktiven Stunden und durch die Anzahl der produktiven Mitarbeiter geteilt  (ergibt den Ziel-Stundensatz)</t>
        </r>
      </text>
    </comment>
    <comment ref="Q40" authorId="1" shapeId="0" xr:uid="{7000F472-369E-401D-B043-9B91F99B0BDF}">
      <text>
        <r>
          <rPr>
            <b/>
            <sz val="10"/>
            <color indexed="81"/>
            <rFont val="Verdana"/>
            <family val="2"/>
          </rPr>
          <t>Kalkulieren Sie eine variable Rücklage für Garantie und Gewährleistungen</t>
        </r>
      </text>
    </comment>
    <comment ref="Q41" authorId="5" shapeId="0" xr:uid="{59BBB829-2C06-41F7-AD71-A9DDFBEC6407}">
      <text>
        <r>
          <rPr>
            <b/>
            <sz val="9"/>
            <color indexed="81"/>
            <rFont val="Tahoma"/>
            <family val="2"/>
          </rPr>
          <t>Adamy:</t>
        </r>
        <r>
          <rPr>
            <sz val="9"/>
            <color indexed="81"/>
            <rFont val="Tahoma"/>
            <family val="2"/>
          </rPr>
          <t xml:space="preserve">
Falls Sie Saisonalverkäufe sowie reduzierte Ware anbieten, können Sie an dieser Stelle einen prozentualen Risikozuschlag berechnen. Das gleiche gilt für die Abwertung von Materialien!</t>
        </r>
      </text>
    </comment>
    <comment ref="M42" authorId="0" shapeId="0" xr:uid="{F04C799A-14D6-427D-B485-EE873E67BFEA}">
      <text>
        <r>
          <rPr>
            <b/>
            <sz val="9"/>
            <color indexed="81"/>
            <rFont val="Tahoma"/>
            <family val="2"/>
          </rPr>
          <t>Admin:</t>
        </r>
        <r>
          <rPr>
            <sz val="9"/>
            <color indexed="81"/>
            <rFont val="Tahoma"/>
            <family val="2"/>
          </rPr>
          <t xml:space="preserve">
Rohaufschläge werden wie folgt berechnet: alle Kosten+ Erlös- und Risikokomponenten der Spalte 41c-k, geteilt durh den Wareneinsatz</t>
        </r>
      </text>
    </comment>
    <comment ref="Q42" authorId="5" shapeId="0" xr:uid="{E8178666-96BC-4F4C-8488-0145B12939CC}">
      <text>
        <r>
          <rPr>
            <b/>
            <sz val="9"/>
            <color indexed="81"/>
            <rFont val="Tahoma"/>
            <family val="2"/>
          </rPr>
          <t>Adamy:Dieses Feld ist nur von Händlern auszufüllen! Einen Anhaltspunkt für die Prozentzahl der umsatzlosen Zeit können Sie aus der Tabelle ArbStd_MA Zelle E25 ermitteln: Dort wird die Auslastung in % angegeben. Daraus ergibt sich eine umsatzlose Zeit von etwa: 100-E25.</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author>
    <author>infinitas bei hannoverimpuls</author>
    <author>Rüdiger Adamy</author>
    <author>Rechner</author>
    <author>Althilftjung</author>
    <author>Adamy</author>
  </authors>
  <commentList>
    <comment ref="C2" authorId="0" shapeId="0" xr:uid="{3BDDEF96-907F-4AF6-8F35-2F216C1CEC05}">
      <text>
        <r>
          <rPr>
            <b/>
            <sz val="10"/>
            <color indexed="81"/>
            <rFont val="Verdana"/>
            <family val="2"/>
          </rPr>
          <t>Die Plan-Monate werden automatisch aus dem 1. Geschäftsjahr übernommen.</t>
        </r>
      </text>
    </comment>
    <comment ref="O2" authorId="1" shapeId="0" xr:uid="{90088FE5-7AC4-40C5-A0B0-1FBA6F44575D}">
      <text>
        <r>
          <rPr>
            <b/>
            <sz val="10"/>
            <color indexed="81"/>
            <rFont val="Verdana"/>
            <family val="2"/>
          </rPr>
          <t>In dieser Spalten werden die einzelnen monatlichen Positionen für das 3. Geschäftsjahr aufsummiert.</t>
        </r>
      </text>
    </comment>
    <comment ref="Q2" authorId="1" shapeId="0" xr:uid="{C8D09DFA-84AD-44CC-A1D9-CA5274DA49F1}">
      <text>
        <r>
          <rPr>
            <b/>
            <sz val="10"/>
            <color indexed="81"/>
            <rFont val="Verdana"/>
            <family val="2"/>
          </rPr>
          <t>In dieser Spalte können Sie branchenübliche Vergleichswerte eintragen, welche Sie recherchiert haben.</t>
        </r>
      </text>
    </comment>
    <comment ref="R2" authorId="1" shapeId="0" xr:uid="{6D56369E-2976-4258-A23D-7E805142B498}">
      <text>
        <r>
          <rPr>
            <b/>
            <sz val="10"/>
            <color indexed="81"/>
            <rFont val="Verdana"/>
            <family val="2"/>
          </rPr>
          <t>Diese Erläuterungen dienen Ihnen als Gedächtnisstütze für die spätere Nachvollziehbarkeit sowie der Plausibilisierung der Angaben. Bitte tragen Sie hier ein, für welches konkreten Aufwendungen Sie die Positionen planen. Machen Sie sich während des gesamten Planungsprozesses Notizen.</t>
        </r>
      </text>
    </comment>
    <comment ref="A4" authorId="1" shapeId="0" xr:uid="{835C1CE8-F686-4539-9897-C1BACA2EB642}">
      <text>
        <r>
          <rPr>
            <b/>
            <sz val="8"/>
            <color indexed="81"/>
            <rFont val="Tahoma"/>
            <family val="2"/>
          </rPr>
          <t>Tragen Sie hier den %-Anteil Ihres Materialeinsatzes gemessen am Umsatz ein. Wenn kein Materialeinsatz=0</t>
        </r>
      </text>
    </comment>
    <comment ref="C4" authorId="2" shapeId="0" xr:uid="{44161BFF-3463-4768-B733-6E26C3D80D2C}">
      <text>
        <r>
          <rPr>
            <b/>
            <sz val="10"/>
            <color indexed="81"/>
            <rFont val="Verdana"/>
            <family val="2"/>
          </rPr>
          <t>Warenverbindlichkeiten aus Vorperioden sind einzubeziehen!!</t>
        </r>
      </text>
    </comment>
    <comment ref="B6" authorId="0" shapeId="0" xr:uid="{0D927EC3-C2B8-412A-9DB6-42503B6B4A66}">
      <text>
        <r>
          <rPr>
            <b/>
            <sz val="10"/>
            <color indexed="81"/>
            <rFont val="Verdana"/>
            <family val="2"/>
          </rPr>
          <t>Miete, Gas, Wasser, Strom, sonst. Nebenkosten</t>
        </r>
      </text>
    </comment>
    <comment ref="B7" authorId="0" shapeId="0" xr:uid="{A90084CD-9A27-4674-87E2-3BF95D6961B8}">
      <text>
        <r>
          <rPr>
            <b/>
            <sz val="10"/>
            <color indexed="81"/>
            <rFont val="Verdana"/>
            <family val="2"/>
          </rPr>
          <t>KFZ Steuer, Körperschaftssteuer-Vorauszahlung</t>
        </r>
      </text>
    </comment>
    <comment ref="B8" authorId="0" shapeId="0" xr:uid="{B989D82B-4A3E-4A93-A786-5BA0F1E63038}">
      <text>
        <r>
          <rPr>
            <b/>
            <sz val="10"/>
            <color indexed="81"/>
            <rFont val="Verdana"/>
            <family val="2"/>
          </rPr>
          <t>Treibstoff, Reparaturen, Öl</t>
        </r>
      </text>
    </comment>
    <comment ref="B10" authorId="3" shapeId="0" xr:uid="{0AD44374-FAFD-400A-B0EA-8056D3FBD574}">
      <text>
        <r>
          <rPr>
            <b/>
            <sz val="10"/>
            <color indexed="81"/>
            <rFont val="Verdana"/>
            <family val="2"/>
          </rPr>
          <t>Marketing, Bewirtung, Messekosten, Hotel- und Übernachtung</t>
        </r>
      </text>
    </comment>
    <comment ref="B12" authorId="3" shapeId="0" xr:uid="{0F538BA1-41F3-4D48-BA86-E71417735509}">
      <text>
        <r>
          <rPr>
            <b/>
            <sz val="10"/>
            <color indexed="81"/>
            <rFont val="Verdana"/>
            <family val="2"/>
          </rPr>
          <t>Büromaterialien</t>
        </r>
      </text>
    </comment>
    <comment ref="B13" authorId="0" shapeId="0" xr:uid="{4506D3FE-DB16-47E8-A345-3331C4F03B21}">
      <text>
        <r>
          <rPr>
            <b/>
            <sz val="10"/>
            <color indexed="81"/>
            <rFont val="Verdana"/>
            <family val="2"/>
          </rPr>
          <t>Steuerberater, Rechtsberatung, Beitrag IHK</t>
        </r>
      </text>
    </comment>
    <comment ref="B14" authorId="0" shapeId="0" xr:uid="{4825E40C-AD18-4D6A-AC5F-CEC8300020F9}">
      <text>
        <r>
          <rPr>
            <b/>
            <sz val="10"/>
            <color indexed="81"/>
            <rFont val="Verdana"/>
            <family val="2"/>
          </rPr>
          <t xml:space="preserve">Geschäftsversicherung, Einbruch, Diebstahl,  Glasbruch, Feuer </t>
        </r>
      </text>
    </comment>
    <comment ref="B15" authorId="0" shapeId="0" xr:uid="{D38D027A-CC8A-44A1-8100-966CA2EE30F4}">
      <text>
        <r>
          <rPr>
            <b/>
            <sz val="10"/>
            <color indexed="81"/>
            <rFont val="Verdana"/>
            <family val="2"/>
          </rPr>
          <t>alle Reparaturen  ohne KFZ Reparaturen</t>
        </r>
      </text>
    </comment>
    <comment ref="B16" authorId="0" shapeId="0" xr:uid="{57878E5A-D9DF-484A-B411-10E658DB831F}">
      <text>
        <r>
          <rPr>
            <b/>
            <sz val="10"/>
            <color indexed="81"/>
            <rFont val="Verdana"/>
            <family val="2"/>
          </rPr>
          <t>alle Kosten des Geschäftsbetriebes wie z.B. Porto, Kosten der Warenabgabe, Nebenkosten des Geldverkehrs, Verkaufsmaterial</t>
        </r>
      </text>
    </comment>
    <comment ref="B17" authorId="0" shapeId="0" xr:uid="{F57A909A-5131-4261-A24B-A9A0644D787E}">
      <text>
        <r>
          <rPr>
            <b/>
            <sz val="10"/>
            <color indexed="81"/>
            <rFont val="Verdana"/>
            <family val="2"/>
          </rPr>
          <t>Der ausgewiesene Zinsaufwand wird automatisch aus dem Dateiblatt Finanzen übernommen</t>
        </r>
      </text>
    </comment>
    <comment ref="B22" authorId="3" shapeId="0" xr:uid="{EBBACFA0-3BD9-4207-87AB-8B4EDB16BF0C}">
      <text>
        <r>
          <rPr>
            <b/>
            <sz val="10"/>
            <color indexed="81"/>
            <rFont val="Verdana"/>
            <family val="2"/>
          </rPr>
          <t>Die Abschreibung werden automatisch aus dem Tabellenblatt Finanz_AfA übernommen.</t>
        </r>
      </text>
    </comment>
    <comment ref="B25" authorId="4" shapeId="0" xr:uid="{9E8B82E9-072D-45EB-AB40-B29163EBEF0F}">
      <text>
        <r>
          <rPr>
            <b/>
            <sz val="10"/>
            <color indexed="81"/>
            <rFont val="Verdana"/>
            <family val="2"/>
          </rPr>
          <t>Achtung I: die eingetragene Formel greift auf den angegebenen Steuersatz eines Einzelunternehmens (Zelle I32) zurück. Bei einer GmbH ändern Sie bitte die Formel, so dass Sie auf Zelle I33 zurückgreift. Bei Wahl einer anderen Rechtsform fragen Sie bitte den Referenten bzw. Ihren Steuerberater und tragen Sie die Steuerbelastung händisch ein. 
Achtung II: Bei negativem Monatsergebnis kann der Steuerbetrag vorübergehend auch negativ sein!!</t>
        </r>
      </text>
    </comment>
    <comment ref="B27" authorId="1" shapeId="0" xr:uid="{18197DE0-9860-4113-9B38-E2A239FBB0A6}">
      <text>
        <r>
          <rPr>
            <b/>
            <sz val="10"/>
            <color indexed="81"/>
            <rFont val="Verdana"/>
            <family val="2"/>
          </rPr>
          <t>Der Unternehmerlohn ergibt sich durch die privaten Kosten (Tabellenblatt "Privatentnahme")  zzgl. von Risikozulagen (s.u. "Gesamtkalkulation")</t>
        </r>
      </text>
    </comment>
    <comment ref="D32" authorId="1" shapeId="0" xr:uid="{C48A7794-2662-44D6-BA94-1D1360764796}">
      <text>
        <r>
          <rPr>
            <b/>
            <sz val="8"/>
            <color indexed="81"/>
            <rFont val="Tahoma"/>
            <family val="2"/>
          </rPr>
          <t xml:space="preserve"> Abweichungen bei derEinkommenssteuer, (beim Splittingeffekt) und bei Einbziehung der Kirchensteuer sind jederzeit möglich</t>
        </r>
      </text>
    </comment>
    <comment ref="F32" authorId="1" shapeId="0" xr:uid="{FF9DD9FA-E3E0-4C52-8350-2F7AA206EC5A}">
      <text>
        <r>
          <rPr>
            <b/>
            <sz val="10"/>
            <color indexed="81"/>
            <rFont val="Verdana"/>
            <family val="2"/>
          </rPr>
          <t>Solidaritätszuschlag</t>
        </r>
      </text>
    </comment>
    <comment ref="H32" authorId="1" shapeId="0" xr:uid="{99537C40-DD83-4EF2-BD7F-03CFD134882D}">
      <text>
        <r>
          <rPr>
            <b/>
            <sz val="10"/>
            <color indexed="81"/>
            <rFont val="Verdana"/>
            <family val="2"/>
          </rPr>
          <t>Gewerbesteuer</t>
        </r>
      </text>
    </comment>
    <comment ref="K32" authorId="5" shapeId="0" xr:uid="{C3B743D9-23ED-4356-BE4F-F1EAEB7013DB}">
      <text>
        <r>
          <rPr>
            <b/>
            <sz val="9"/>
            <color indexed="81"/>
            <rFont val="Tahoma"/>
            <family val="2"/>
          </rPr>
          <t>Adamy:</t>
        </r>
        <r>
          <rPr>
            <sz val="9"/>
            <color indexed="81"/>
            <rFont val="Tahoma"/>
            <family val="2"/>
          </rPr>
          <t xml:space="preserve">
1= Steuer Einzelfirma
2=Steuern GmbH</t>
        </r>
      </text>
    </comment>
    <comment ref="D33" authorId="1" shapeId="0" xr:uid="{A82B295D-920A-4EF6-AF87-01389D1F633D}">
      <text>
        <r>
          <rPr>
            <b/>
            <sz val="10"/>
            <color indexed="81"/>
            <rFont val="Verdana"/>
            <family val="2"/>
          </rPr>
          <t>Körperschaftssteuer</t>
        </r>
      </text>
    </comment>
    <comment ref="B35" authorId="1" shapeId="0" xr:uid="{4661610A-E0C8-4FD0-9B1A-FA4D002AA922}">
      <text>
        <r>
          <rPr>
            <b/>
            <sz val="10"/>
            <color indexed="81"/>
            <rFont val="Verdana"/>
            <family val="2"/>
          </rPr>
          <t>In der Gesamtkalkulation fließen alle Ihre errechneten Kosten zusammen.</t>
        </r>
      </text>
    </comment>
    <comment ref="Q37" authorId="1" shapeId="0" xr:uid="{D55DA8C9-0322-480C-99A8-F43CA4D1665B}">
      <text>
        <r>
          <rPr>
            <b/>
            <sz val="10"/>
            <color indexed="81"/>
            <rFont val="Verdana"/>
            <family val="2"/>
          </rPr>
          <t>Sie können den %-Anteil des Risikozuschlags für unternehm. Tätigkeit varibal bestimmen (vom Umsatz)</t>
        </r>
      </text>
    </comment>
    <comment ref="O38" authorId="1" shapeId="0" xr:uid="{872A03EF-8502-4110-9949-7B5C05F29E37}">
      <text>
        <r>
          <rPr>
            <b/>
            <sz val="8"/>
            <color indexed="81"/>
            <rFont val="Tahoma"/>
            <family val="2"/>
          </rPr>
          <t>Rohaufschlag für den Handel</t>
        </r>
      </text>
    </comment>
    <comment ref="Q38" authorId="1" shapeId="0" xr:uid="{8DB193D8-31E2-4C02-ADA1-FCEB063ED702}">
      <text>
        <r>
          <rPr>
            <b/>
            <sz val="10"/>
            <color indexed="81"/>
            <rFont val="Verdana"/>
            <family val="2"/>
          </rPr>
          <t>Sie können den Prozentsatz der Eigenkapitalverzinsung variabel bestimmen.</t>
        </r>
      </text>
    </comment>
    <comment ref="M39" authorId="3" shapeId="0" xr:uid="{8E9F9126-5926-41B9-8FB6-94E448290ED4}">
      <text>
        <r>
          <rPr>
            <b/>
            <sz val="10"/>
            <color indexed="81"/>
            <rFont val="Verdana"/>
            <family val="2"/>
          </rPr>
          <t>Die Summe der auf jeden Fall zu deckenden Kosten werden durch die produktiven Stunden und durch die Anzahl der produktiven Mitarbeiter geteilt  (reiner kostendeckender Stundensatz)</t>
        </r>
      </text>
    </comment>
    <comment ref="Q39" authorId="1" shapeId="0" xr:uid="{AF7ED04E-607E-4C24-9DEE-EBCB865A8FD9}">
      <text>
        <r>
          <rPr>
            <b/>
            <sz val="10"/>
            <color indexed="81"/>
            <rFont val="Verdana"/>
            <family val="2"/>
          </rPr>
          <t>Sie können den %-Anteil des Reingewinnanspruches varibal bestimmen (vom Umsatz)</t>
        </r>
      </text>
    </comment>
    <comment ref="G40" authorId="1" shapeId="0" xr:uid="{AA6AFDC0-A85F-43BE-923D-B6F629706557}">
      <text>
        <r>
          <rPr>
            <b/>
            <sz val="8"/>
            <color indexed="81"/>
            <rFont val="Tahoma"/>
            <family val="2"/>
          </rPr>
          <t>Betrag wird automatisch aus der o.a. Steuertabelle übernommen. ACHTUNG BEI VERLUSTEN DES UNTERNEHMENS: Um bei Verlusten des Unternehmens die Preise für die Zukunft richtig zu kalkulieren, kann ein Steuerbetrag individuell eingetragen werden.</t>
        </r>
      </text>
    </comment>
    <comment ref="M40" authorId="3" shapeId="0" xr:uid="{B5052B0F-289C-411B-9961-FFFC841EFE8D}">
      <text>
        <r>
          <rPr>
            <b/>
            <sz val="10"/>
            <color indexed="81"/>
            <rFont val="Verdana"/>
            <family val="2"/>
          </rPr>
          <t>Die Summe aller kalkulierten (also auch die zusätzlichen) Kosten werden durch die produktiven Stunden und durch die Anzahl der produktiven Mitarbeiter geteilt  (ergibt den Ziel-Stundensatz)</t>
        </r>
      </text>
    </comment>
    <comment ref="Q40" authorId="1" shapeId="0" xr:uid="{2F04A6DB-58FD-4426-A937-862F6A09E8BD}">
      <text>
        <r>
          <rPr>
            <b/>
            <sz val="10"/>
            <color indexed="81"/>
            <rFont val="Verdana"/>
            <family val="2"/>
          </rPr>
          <t>Kalkulieren Sie eine variable Rücklage für Garantie und Gewährleistungen</t>
        </r>
      </text>
    </comment>
    <comment ref="Q41" authorId="5" shapeId="0" xr:uid="{95EDC744-1787-4484-B1FF-F849C4135084}">
      <text>
        <r>
          <rPr>
            <b/>
            <sz val="9"/>
            <color indexed="81"/>
            <rFont val="Tahoma"/>
            <family val="2"/>
          </rPr>
          <t>Adamy:</t>
        </r>
        <r>
          <rPr>
            <sz val="9"/>
            <color indexed="81"/>
            <rFont val="Tahoma"/>
            <family val="2"/>
          </rPr>
          <t xml:space="preserve">
Falls Sie Saisonalverkäufe sowie reduzierte Ware anbieten, können Sie an dieser Stelle einen prozentualen Risikozuschlag berechnen. Das gleiche gilt für die Abwertung von Materialien!</t>
        </r>
      </text>
    </comment>
    <comment ref="M42" authorId="0" shapeId="0" xr:uid="{312698EF-C839-4701-A9CB-D62C1E3B7455}">
      <text>
        <r>
          <rPr>
            <b/>
            <sz val="9"/>
            <color indexed="81"/>
            <rFont val="Tahoma"/>
            <family val="2"/>
          </rPr>
          <t>Admin:</t>
        </r>
        <r>
          <rPr>
            <sz val="9"/>
            <color indexed="81"/>
            <rFont val="Tahoma"/>
            <family val="2"/>
          </rPr>
          <t xml:space="preserve">
Rohaufschläge werden wie folgt berechnet: alle Kosten+ Erlös- und Risikokomponenten der Spalte 41c-k, geteilt durh den Wareneinsatz</t>
        </r>
      </text>
    </comment>
    <comment ref="Q42" authorId="5" shapeId="0" xr:uid="{1B43D901-CD3D-4B73-84B9-AA0DF2D9D35B}">
      <text>
        <r>
          <rPr>
            <b/>
            <sz val="9"/>
            <color indexed="81"/>
            <rFont val="Tahoma"/>
            <family val="2"/>
          </rPr>
          <t>Adamy:Dieses Feld ist nur von Händlern auszufüllen! Einen Anhaltspunkt für die Prozentzahl der umsatzlosen Zeit können Sie aus der Tabelle ArbStd_MA Zelle E25 ermitteln: Dort wird die Auslastung in % angegeben. Daraus ergibt sich eine umsatzlose Zeit von etwa: 100-E25.</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Rechner</author>
    <author>infinitas bei hannoverimpuls</author>
    <author>Adamy</author>
    <author>Admin</author>
  </authors>
  <commentList>
    <comment ref="E3" authorId="0" shapeId="0" xr:uid="{23B1E24D-036B-4FCB-B6FD-D2AC2FEB99C1}">
      <text>
        <r>
          <rPr>
            <b/>
            <sz val="10"/>
            <color indexed="81"/>
            <rFont val="Verdana"/>
            <family val="2"/>
          </rPr>
          <t>Die Plan-Monate werden automatisch aus dem Tabellenblatt GuV 1.Jahr übernommen.</t>
        </r>
      </text>
    </comment>
    <comment ref="B5" authorId="0" shapeId="0" xr:uid="{D8A2822B-A4F9-4F39-B059-F6CE4D51E4CA}">
      <text>
        <r>
          <rPr>
            <b/>
            <sz val="10"/>
            <color indexed="81"/>
            <rFont val="Verdana"/>
            <family val="2"/>
          </rPr>
          <t>Hierbei handelt es sich um die Anzahl der verkaufbaren Stunden pro Monat. Dieser Betrag wird automatisch aus dem Datenblatt ArbStd_MA übernommen.</t>
        </r>
      </text>
    </comment>
    <comment ref="B6" authorId="0" shapeId="0" xr:uid="{4A6B2627-DA32-4581-A934-DFBDF82ECA23}">
      <text>
        <r>
          <rPr>
            <b/>
            <sz val="10"/>
            <color indexed="81"/>
            <rFont val="Verdana"/>
            <family val="2"/>
          </rPr>
          <t>Dieser Wert ist die Summe der realisierten monatlichen Leistungs- bzw. Produktionsstunden, die für Ihre Produkte / Leistungen aufgewendet werden.</t>
        </r>
      </text>
    </comment>
    <comment ref="AC6" authorId="0" shapeId="0" xr:uid="{87C8E8D8-1A2B-4F04-A79F-7F26C5F08D0E}">
      <text>
        <r>
          <rPr>
            <b/>
            <sz val="10"/>
            <color indexed="81"/>
            <rFont val="Verdana"/>
            <family val="2"/>
          </rPr>
          <t xml:space="preserve">Durchschnittlicher monatlicher Stundenaufwand </t>
        </r>
      </text>
    </comment>
    <comment ref="C7" authorId="0" shapeId="0" xr:uid="{06C8EF0A-209C-4765-8F46-08D393C3F3E6}">
      <text>
        <r>
          <rPr>
            <b/>
            <sz val="10"/>
            <color indexed="81"/>
            <rFont val="Verdana"/>
            <family val="2"/>
          </rPr>
          <t>Hierbei handelt es sich um Netto-Preise.</t>
        </r>
      </text>
    </comment>
    <comment ref="D7" authorId="1" shapeId="0" xr:uid="{BC11EB99-519F-48DD-95E6-8FE78CCD5F53}">
      <text>
        <r>
          <rPr>
            <b/>
            <sz val="11"/>
            <color indexed="81"/>
            <rFont val="Tahoma"/>
            <family val="2"/>
          </rPr>
          <t xml:space="preserve">Produktionsstunden = aufgewendete Stunden für die Herstellung </t>
        </r>
        <r>
          <rPr>
            <b/>
            <u/>
            <sz val="11"/>
            <color indexed="81"/>
            <rFont val="Tahoma"/>
            <family val="2"/>
          </rPr>
          <t xml:space="preserve">eines </t>
        </r>
        <r>
          <rPr>
            <b/>
            <sz val="11"/>
            <color indexed="81"/>
            <rFont val="Tahoma"/>
            <family val="2"/>
          </rPr>
          <t xml:space="preserve">Produktes bzw. die Dauer </t>
        </r>
        <r>
          <rPr>
            <b/>
            <u/>
            <sz val="11"/>
            <color indexed="81"/>
            <rFont val="Tahoma"/>
            <family val="2"/>
          </rPr>
          <t xml:space="preserve">einer </t>
        </r>
        <r>
          <rPr>
            <b/>
            <sz val="11"/>
            <color indexed="81"/>
            <rFont val="Tahoma"/>
            <family val="2"/>
          </rPr>
          <t>Leistungserbringung</t>
        </r>
      </text>
    </comment>
    <comment ref="E7" authorId="0" shapeId="0" xr:uid="{896CD6AC-3054-4FA4-9C31-A82C17F8A210}">
      <text>
        <r>
          <rPr>
            <b/>
            <sz val="10"/>
            <color indexed="81"/>
            <rFont val="Verdana"/>
            <family val="2"/>
          </rPr>
          <t>Hierbei kann es sich um verkaufte Stückzahlen, verkaufte Stunden, Anzahl an verkauften Provisionen etc. handeln</t>
        </r>
      </text>
    </comment>
    <comment ref="F7" authorId="0" shapeId="0" xr:uid="{FC7B3F43-737B-42C9-88D3-584F6CAF0ED2}">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G7" authorId="0" shapeId="0" xr:uid="{EB74211E-23F6-4AD3-AAA8-859F6ABCE67B}">
      <text>
        <r>
          <rPr>
            <b/>
            <sz val="10"/>
            <color indexed="81"/>
            <rFont val="Verdana"/>
            <family val="2"/>
          </rPr>
          <t>Hierbei kann es sich um verkaufte Stückzahlen, verkaufte Stunden, Anzahl an verkauften Provisionen etc. handeln</t>
        </r>
      </text>
    </comment>
    <comment ref="H7" authorId="0" shapeId="0" xr:uid="{1F55EA50-6A5E-4D72-98C4-EB4753F6A8FC}">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I7" authorId="0" shapeId="0" xr:uid="{3CDA9E16-AF3A-408C-A8D8-5AA402B73F16}">
      <text>
        <r>
          <rPr>
            <b/>
            <sz val="10"/>
            <color indexed="81"/>
            <rFont val="Verdana"/>
            <family val="2"/>
          </rPr>
          <t>Hierbei kann es sich um verkaufte Stückzahlen, verkaufte Stunden, Anzahl an verkauften Provisionen etc. handeln</t>
        </r>
      </text>
    </comment>
    <comment ref="J7" authorId="0" shapeId="0" xr:uid="{1713AE5E-D738-4FD2-B472-7B5895A9853C}">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K7" authorId="0" shapeId="0" xr:uid="{8934F97C-AE3B-4FD5-8CD1-1A867C0FAD99}">
      <text>
        <r>
          <rPr>
            <b/>
            <sz val="10"/>
            <color indexed="81"/>
            <rFont val="Verdana"/>
            <family val="2"/>
          </rPr>
          <t>Hierbei kann es sich um verkaufte Stückzahlen, verkaufte Stunden, Anzahl an verkauften Provisionen etc. handeln</t>
        </r>
      </text>
    </comment>
    <comment ref="L7" authorId="0" shapeId="0" xr:uid="{A938770D-3C39-4A41-B695-27F4CC6F574F}">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M7" authorId="0" shapeId="0" xr:uid="{D362B013-AD9B-4513-A251-DB4C64C99B08}">
      <text>
        <r>
          <rPr>
            <b/>
            <sz val="10"/>
            <color indexed="81"/>
            <rFont val="Verdana"/>
            <family val="2"/>
          </rPr>
          <t>Hierbei kann es sich um verkaufte Stückzahlen, verkaufte Stunden, Anzahl an verkauften Provisionen etc. handeln</t>
        </r>
      </text>
    </comment>
    <comment ref="N7" authorId="0" shapeId="0" xr:uid="{7F442858-ABF0-45CA-BE37-C41959842D7C}">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O7" authorId="0" shapeId="0" xr:uid="{08900E4A-2DFB-4E62-9AE3-3E18D096771A}">
      <text>
        <r>
          <rPr>
            <b/>
            <sz val="10"/>
            <color indexed="81"/>
            <rFont val="Verdana"/>
            <family val="2"/>
          </rPr>
          <t>Hierbei kann es sich um verkaufte Stückzahlen, verkaufte Stunden, Anzahl an verkauften Provisionen etc. handeln</t>
        </r>
      </text>
    </comment>
    <comment ref="P7" authorId="0" shapeId="0" xr:uid="{212E95FC-610E-4246-A3D1-3C8575196AA2}">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Q7" authorId="0" shapeId="0" xr:uid="{5F5915FF-ECDB-428B-9BA4-042EFCA37743}">
      <text>
        <r>
          <rPr>
            <b/>
            <sz val="10"/>
            <color indexed="81"/>
            <rFont val="Verdana"/>
            <family val="2"/>
          </rPr>
          <t>Hierbei kann es sich um verkaufte Stückzahlen, verkaufte Stunden, Anzahl an verkauften Provisionen etc. handeln</t>
        </r>
      </text>
    </comment>
    <comment ref="R7" authorId="0" shapeId="0" xr:uid="{82C656A4-C171-4F51-BC07-5122714E52F4}">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S7" authorId="0" shapeId="0" xr:uid="{5A5E13C2-C42B-4A0A-9C39-33E87193FA04}">
      <text>
        <r>
          <rPr>
            <b/>
            <sz val="10"/>
            <color indexed="81"/>
            <rFont val="Verdana"/>
            <family val="2"/>
          </rPr>
          <t>Hierbei kann es sich um verkaufte Stückzahlen, verkaufte Stunden, Anzahl an verkauften Provisionen etc. handeln</t>
        </r>
      </text>
    </comment>
    <comment ref="T7" authorId="0" shapeId="0" xr:uid="{A6A8C979-0C82-499B-9BBF-ADFB2EDAAE23}">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U7" authorId="0" shapeId="0" xr:uid="{8D83FFC0-6853-4BA1-84E4-2D391F952E06}">
      <text>
        <r>
          <rPr>
            <b/>
            <sz val="10"/>
            <color indexed="81"/>
            <rFont val="Verdana"/>
            <family val="2"/>
          </rPr>
          <t>Hierbei kann es sich um verkaufte Stückzahlen, verkaufte Stunden, Anzahl an verkauften Provisionen etc. handeln</t>
        </r>
      </text>
    </comment>
    <comment ref="V7" authorId="0" shapeId="0" xr:uid="{75C9F1CF-2B67-484F-8F24-C7D842FAEF5D}">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W7" authorId="0" shapeId="0" xr:uid="{1116D989-DCB0-417D-8ADE-9314355A7A4F}">
      <text>
        <r>
          <rPr>
            <b/>
            <sz val="10"/>
            <color indexed="81"/>
            <rFont val="Verdana"/>
            <family val="2"/>
          </rPr>
          <t>Hierbei kann es sich um verkaufte Stückzahlen, verkaufte Stunden, Anzahl an verkauften Provisionen etc. handeln</t>
        </r>
      </text>
    </comment>
    <comment ref="X7" authorId="0" shapeId="0" xr:uid="{142C0EE7-6BE9-4FBF-BE30-5C50D833FE37}">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Y7" authorId="0" shapeId="0" xr:uid="{2B9BD96D-4950-4F54-BB25-A1294B28ABF5}">
      <text>
        <r>
          <rPr>
            <b/>
            <sz val="10"/>
            <color indexed="81"/>
            <rFont val="Verdana"/>
            <family val="2"/>
          </rPr>
          <t>Hierbei kann es sich um verkaufte Stückzahlen, verkaufte Stunden, Anzahl an verkauften Provisionen etc. handeln</t>
        </r>
      </text>
    </comment>
    <comment ref="Z7" authorId="0" shapeId="0" xr:uid="{9E10C518-E562-448C-BA83-43661C77D807}">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AA7" authorId="0" shapeId="0" xr:uid="{1DF2D5B4-C3AE-478B-A5E0-A602E1B2BFB3}">
      <text>
        <r>
          <rPr>
            <b/>
            <sz val="10"/>
            <color indexed="81"/>
            <rFont val="Verdana"/>
            <family val="2"/>
          </rPr>
          <t>Hierbei kann es sich um verkaufte Stückzahlen, verkaufte Stunden, Anzahl an verkauften Provisionen etc. handeln</t>
        </r>
      </text>
    </comment>
    <comment ref="AB7" authorId="0" shapeId="0" xr:uid="{03D07865-D797-4E81-8F08-1C2BE470332D}">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AI7" authorId="2" shapeId="0" xr:uid="{B5A0F3A0-658E-4ED2-BC9E-CF10B142DADD}">
      <text>
        <r>
          <rPr>
            <b/>
            <sz val="9"/>
            <color indexed="81"/>
            <rFont val="Tahoma"/>
            <family val="2"/>
          </rPr>
          <t>Adamy:</t>
        </r>
        <r>
          <rPr>
            <sz val="9"/>
            <color indexed="81"/>
            <rFont val="Tahoma"/>
            <family val="2"/>
          </rPr>
          <t xml:space="preserve">
</t>
        </r>
        <r>
          <rPr>
            <sz val="12"/>
            <color indexed="81"/>
            <rFont val="Tahoma"/>
            <family val="2"/>
          </rPr>
          <t>Die Ermittlung durchschnittlicher Einkaufspreise (und Mengen) sollte unbedingt  auf einem Sonderblatt erfolgen; So erzielen sie Planungssicherheit für ihre Umsatzplanung und erhalten in % zum Umsatz den Wareneinkauf</t>
        </r>
      </text>
    </comment>
    <comment ref="F9" authorId="3" shapeId="0" xr:uid="{C6EE6449-7491-457B-A067-350BE6C9A936}">
      <text>
        <r>
          <rPr>
            <b/>
            <sz val="9"/>
            <color indexed="81"/>
            <rFont val="Tahoma"/>
            <family val="2"/>
          </rPr>
          <t>Admin:</t>
        </r>
        <r>
          <rPr>
            <sz val="9"/>
            <color indexed="81"/>
            <rFont val="Tahoma"/>
            <family val="2"/>
          </rPr>
          <t xml:space="preserve">
Siehe Kommentar oben</t>
        </r>
      </text>
    </comment>
    <comment ref="AI19" authorId="2" shapeId="0" xr:uid="{B174250C-BF0D-4337-99CF-57489B962E95}">
      <text>
        <r>
          <rPr>
            <b/>
            <sz val="9"/>
            <color indexed="81"/>
            <rFont val="Tahoma"/>
            <family val="2"/>
          </rPr>
          <t>Adamy:</t>
        </r>
        <r>
          <rPr>
            <sz val="9"/>
            <color indexed="81"/>
            <rFont val="Tahoma"/>
            <family val="2"/>
          </rPr>
          <t xml:space="preserve">
V</t>
        </r>
        <r>
          <rPr>
            <sz val="12"/>
            <color indexed="81"/>
            <rFont val="Tahoma"/>
            <family val="2"/>
          </rPr>
          <t>erhältnis Wareneinkauf zu Umsatz in %; Wird von Ihnen im Planungsjahr in Zelle A4  eingesetzt!</t>
        </r>
      </text>
    </comment>
    <comment ref="B24" authorId="0" shapeId="0" xr:uid="{2734CA1F-0A7C-4CA1-BD49-B9D5FD809BA7}">
      <text>
        <r>
          <rPr>
            <b/>
            <sz val="10"/>
            <color indexed="81"/>
            <rFont val="Verdana"/>
            <family val="2"/>
          </rPr>
          <t>Hierbei handelt es sich um die Anzahl der verkaufbaren Stunden pro Monat. Dieser betrag wird automatisch aus dem Datenblatt ArbStd_MA übernommen.</t>
        </r>
      </text>
    </comment>
    <comment ref="B25" authorId="0" shapeId="0" xr:uid="{0C53D225-18C6-46FF-8F3B-CD627160DB2D}">
      <text>
        <r>
          <rPr>
            <b/>
            <sz val="10"/>
            <color indexed="81"/>
            <rFont val="Verdana"/>
            <family val="2"/>
          </rPr>
          <t>Dieser Wert ist die Summe der realisierten monatlichen Leistungs- bzw. Produktionsstunden, die für Ihre Produkte / Leistungen aufgewendet werden.</t>
        </r>
      </text>
    </comment>
    <comment ref="AC25" authorId="0" shapeId="0" xr:uid="{E33A9C1A-91B3-4DF5-B8C5-34DA9A7F0329}">
      <text>
        <r>
          <rPr>
            <b/>
            <sz val="10"/>
            <color indexed="81"/>
            <rFont val="Verdana"/>
            <family val="2"/>
          </rPr>
          <t xml:space="preserve">Durchschnittlicher monatlicher Stundenaufwand </t>
        </r>
      </text>
    </comment>
    <comment ref="C26" authorId="0" shapeId="0" xr:uid="{192D5428-3E3D-4B17-9359-8895B921C1CE}">
      <text>
        <r>
          <rPr>
            <b/>
            <sz val="10"/>
            <color indexed="81"/>
            <rFont val="Verdana"/>
            <family val="2"/>
          </rPr>
          <t>Hierbei handelt es sich um Netto-Preise.</t>
        </r>
      </text>
    </comment>
    <comment ref="D26" authorId="1" shapeId="0" xr:uid="{37DD8834-86E7-41C2-BB46-3B19E6A1978F}">
      <text>
        <r>
          <rPr>
            <b/>
            <sz val="11"/>
            <color indexed="81"/>
            <rFont val="Tahoma"/>
            <family val="2"/>
          </rPr>
          <t xml:space="preserve">Produktionsstunden = aufgewendete Stunden für die Herstellung </t>
        </r>
        <r>
          <rPr>
            <b/>
            <u/>
            <sz val="11"/>
            <color indexed="81"/>
            <rFont val="Tahoma"/>
            <family val="2"/>
          </rPr>
          <t>eines</t>
        </r>
        <r>
          <rPr>
            <b/>
            <sz val="11"/>
            <color indexed="81"/>
            <rFont val="Tahoma"/>
            <family val="2"/>
          </rPr>
          <t xml:space="preserve"> Produktes bzw. die Dauer </t>
        </r>
        <r>
          <rPr>
            <b/>
            <u/>
            <sz val="11"/>
            <color indexed="81"/>
            <rFont val="Tahoma"/>
            <family val="2"/>
          </rPr>
          <t>einer</t>
        </r>
        <r>
          <rPr>
            <b/>
            <sz val="11"/>
            <color indexed="81"/>
            <rFont val="Tahoma"/>
            <family val="2"/>
          </rPr>
          <t xml:space="preserve"> Leistungserbringung</t>
        </r>
      </text>
    </comment>
    <comment ref="E26" authorId="0" shapeId="0" xr:uid="{ACBAA011-3213-4C0A-8937-AC0CE9732F7B}">
      <text>
        <r>
          <rPr>
            <b/>
            <sz val="10"/>
            <color indexed="81"/>
            <rFont val="Verdana"/>
            <family val="2"/>
          </rPr>
          <t>Hierbei kann es sich um verkaufte Stückzahlen, verkaufte Stunden, Anzahl an verkauften Provisionen etc. handeln</t>
        </r>
      </text>
    </comment>
    <comment ref="F26" authorId="0" shapeId="0" xr:uid="{5B4B7035-DDAD-4F14-A411-B45FF527BAD1}">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G26" authorId="0" shapeId="0" xr:uid="{47C239DD-D5FD-49B3-BE3B-CE84C0DAF77B}">
      <text>
        <r>
          <rPr>
            <b/>
            <sz val="10"/>
            <color indexed="81"/>
            <rFont val="Verdana"/>
            <family val="2"/>
          </rPr>
          <t>Hierbei kann es sich um verkaufte Stückzahlen, verkaufte Stunden, Anzahl an verkauften Provisionen etc. handeln</t>
        </r>
      </text>
    </comment>
    <comment ref="H26" authorId="0" shapeId="0" xr:uid="{57FEDFEE-CCA5-4959-87B3-440DDF5E162E}">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I26" authorId="0" shapeId="0" xr:uid="{C3D712C3-DA74-42C5-B063-585D5D198A29}">
      <text>
        <r>
          <rPr>
            <b/>
            <sz val="10"/>
            <color indexed="81"/>
            <rFont val="Verdana"/>
            <family val="2"/>
          </rPr>
          <t>Hierbei kann es sich um verkaufte Stückzahlen, verkaufte Stunden, Anzahl an verkauften Provisionen etc. handeln</t>
        </r>
      </text>
    </comment>
    <comment ref="J26" authorId="0" shapeId="0" xr:uid="{BFE07C19-DCA8-421D-83AA-939BBCAF4F0F}">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K26" authorId="0" shapeId="0" xr:uid="{AD33286F-E705-4B75-B670-BE365C6BAD13}">
      <text>
        <r>
          <rPr>
            <b/>
            <sz val="10"/>
            <color indexed="81"/>
            <rFont val="Verdana"/>
            <family val="2"/>
          </rPr>
          <t>Hierbei kann es sich um verkaufte Stückzahlen, verkaufte Stunden, Anzahl an verkauften Provisionen etc. handeln</t>
        </r>
      </text>
    </comment>
    <comment ref="L26" authorId="0" shapeId="0" xr:uid="{4938FED7-12F9-4CDD-A2C4-71CAB8E3D8FD}">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M26" authorId="0" shapeId="0" xr:uid="{A763F87F-2A63-4CA4-8FDE-406E68572CC6}">
      <text>
        <r>
          <rPr>
            <b/>
            <sz val="10"/>
            <color indexed="81"/>
            <rFont val="Verdana"/>
            <family val="2"/>
          </rPr>
          <t>Hierbei kann es sich um verkaufte Stückzahlen, verkaufte Stunden, Anzahl an verkauften Provisionen etc. handeln</t>
        </r>
      </text>
    </comment>
    <comment ref="N26" authorId="0" shapeId="0" xr:uid="{764C3922-E23F-451E-AF41-1C5F24D2D2EA}">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O26" authorId="0" shapeId="0" xr:uid="{1C82DFB2-4D7D-4817-AA1D-69AE5F81CD91}">
      <text>
        <r>
          <rPr>
            <b/>
            <sz val="10"/>
            <color indexed="81"/>
            <rFont val="Verdana"/>
            <family val="2"/>
          </rPr>
          <t>Hierbei kann es sich um verkaufte Stückzahlen, verkaufte Stunden, Anzahl an verkauften Provisionen etc. handeln</t>
        </r>
      </text>
    </comment>
    <comment ref="P26" authorId="0" shapeId="0" xr:uid="{C59892B7-CB32-4044-BC96-AC3F3B984B8C}">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Q26" authorId="0" shapeId="0" xr:uid="{E4ABCF77-231D-4E8E-8CB7-9269CEFFD24B}">
      <text>
        <r>
          <rPr>
            <b/>
            <sz val="10"/>
            <color indexed="81"/>
            <rFont val="Verdana"/>
            <family val="2"/>
          </rPr>
          <t>Hierbei kann es sich um verkaufte Stückzahlen, verkaufte Stunden, Anzahl an verkauften Provisionen etc. handeln</t>
        </r>
      </text>
    </comment>
    <comment ref="R26" authorId="0" shapeId="0" xr:uid="{AD51C998-E850-460C-AA8A-E295A6C396FE}">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S26" authorId="0" shapeId="0" xr:uid="{374C1152-770F-4432-9DEA-EFDCE56A63FF}">
      <text>
        <r>
          <rPr>
            <b/>
            <sz val="10"/>
            <color indexed="81"/>
            <rFont val="Verdana"/>
            <family val="2"/>
          </rPr>
          <t>Hierbei kann es sich um verkaufte Stückzahlen, verkaufte Stunden, Anzahl an verkauften Provisionen etc. handeln</t>
        </r>
      </text>
    </comment>
    <comment ref="T26" authorId="0" shapeId="0" xr:uid="{497255A1-A924-4F04-B2F4-EAB207E15251}">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U26" authorId="0" shapeId="0" xr:uid="{26A8E596-31DE-4C9D-8C0F-94DF835DF39C}">
      <text>
        <r>
          <rPr>
            <b/>
            <sz val="10"/>
            <color indexed="81"/>
            <rFont val="Verdana"/>
            <family val="2"/>
          </rPr>
          <t>Hierbei kann es sich um verkaufte Stückzahlen, verkaufte Stunden, Anzahl an verkauften Provisionen etc. handeln</t>
        </r>
      </text>
    </comment>
    <comment ref="V26" authorId="0" shapeId="0" xr:uid="{9C575EBD-7C2C-43B8-A169-0FFCCAE3D344}">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W26" authorId="0" shapeId="0" xr:uid="{26D51B05-803F-44DC-B461-197DE8BD2A9C}">
      <text>
        <r>
          <rPr>
            <b/>
            <sz val="10"/>
            <color indexed="81"/>
            <rFont val="Verdana"/>
            <family val="2"/>
          </rPr>
          <t>Hierbei kann es sich um verkaufte Stückzahlen, verkaufte Stunden, Anzahl an verkauften Provisionen etc. handeln</t>
        </r>
      </text>
    </comment>
    <comment ref="X26" authorId="0" shapeId="0" xr:uid="{5734904A-7AEE-48E4-926F-34AADEBFB074}">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Y26" authorId="0" shapeId="0" xr:uid="{08579076-A2B7-4A7F-9227-95857EE25AA8}">
      <text>
        <r>
          <rPr>
            <b/>
            <sz val="10"/>
            <color indexed="81"/>
            <rFont val="Verdana"/>
            <family val="2"/>
          </rPr>
          <t>Hierbei kann es sich um verkaufte Stückzahlen, verkaufte Stunden, Anzahl an verkauften Provisionen etc. handeln</t>
        </r>
      </text>
    </comment>
    <comment ref="Z26" authorId="0" shapeId="0" xr:uid="{2C8C3E86-6CA7-4EFC-A73A-B7D6B29E1252}">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AA26" authorId="0" shapeId="0" xr:uid="{46ED2914-743F-4521-8BDB-F7C0286F589D}">
      <text>
        <r>
          <rPr>
            <b/>
            <sz val="10"/>
            <color indexed="81"/>
            <rFont val="Verdana"/>
            <family val="2"/>
          </rPr>
          <t>Hierbei kann es sich um verkaufte Stückzahlen, verkaufte Stunden, Anzahl an verkauften Provisionen etc. handeln</t>
        </r>
      </text>
    </comment>
    <comment ref="AB26" authorId="0" shapeId="0" xr:uid="{8752BBD1-3CAE-4C17-B1AD-9696DB6D3EA6}">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B43" authorId="0" shapeId="0" xr:uid="{4DE366AA-6D3B-4419-B957-5C4CBFBE9828}">
      <text>
        <r>
          <rPr>
            <b/>
            <sz val="10"/>
            <color indexed="81"/>
            <rFont val="Verdana"/>
            <family val="2"/>
          </rPr>
          <t>Hierbei handelt es sich um die Anzahl der verkaufbaren Stunden pro Monat. Dieser betrag wird automatisch aus dem Datenblatt ArbStd_MA übernommen.</t>
        </r>
      </text>
    </comment>
    <comment ref="B44" authorId="0" shapeId="0" xr:uid="{F7D62BC9-4D7F-4C44-B6E3-2496EA623002}">
      <text>
        <r>
          <rPr>
            <b/>
            <sz val="10"/>
            <color indexed="81"/>
            <rFont val="Verdana"/>
            <family val="2"/>
          </rPr>
          <t>Dieser Wert ist die Summe der realisierten monatlichen Leistungs- bzw. Produktionsstunden, die für Ihre Produkte / Leistungen aufgewendet werden.</t>
        </r>
      </text>
    </comment>
    <comment ref="AC44" authorId="0" shapeId="0" xr:uid="{9DCCAF52-7759-4166-A70A-5270C6183090}">
      <text>
        <r>
          <rPr>
            <b/>
            <sz val="10"/>
            <color indexed="81"/>
            <rFont val="Verdana"/>
            <family val="2"/>
          </rPr>
          <t xml:space="preserve">Durchschnittlicher monatlicher Stundenaufwand </t>
        </r>
      </text>
    </comment>
    <comment ref="C45" authorId="0" shapeId="0" xr:uid="{70251CB2-5D80-4DFF-8766-66CD5247A866}">
      <text>
        <r>
          <rPr>
            <b/>
            <sz val="10"/>
            <color indexed="81"/>
            <rFont val="Verdana"/>
            <family val="2"/>
          </rPr>
          <t>Hierbei handelt es sich um Netto-Preise.</t>
        </r>
      </text>
    </comment>
    <comment ref="D45" authorId="1" shapeId="0" xr:uid="{082D30B1-ED49-478E-9440-226F575FC3B2}">
      <text>
        <r>
          <rPr>
            <b/>
            <sz val="11"/>
            <color indexed="81"/>
            <rFont val="Tahoma"/>
            <family val="2"/>
          </rPr>
          <t xml:space="preserve">Produktionsstunden = aufgewendete Stunden für die Herstellung </t>
        </r>
        <r>
          <rPr>
            <b/>
            <u/>
            <sz val="11"/>
            <color indexed="81"/>
            <rFont val="Tahoma"/>
            <family val="2"/>
          </rPr>
          <t xml:space="preserve">eines </t>
        </r>
        <r>
          <rPr>
            <b/>
            <sz val="11"/>
            <color indexed="81"/>
            <rFont val="Tahoma"/>
            <family val="2"/>
          </rPr>
          <t xml:space="preserve">Produktes bzw. die Dauer </t>
        </r>
        <r>
          <rPr>
            <b/>
            <u/>
            <sz val="11"/>
            <color indexed="81"/>
            <rFont val="Tahoma"/>
            <family val="2"/>
          </rPr>
          <t>einer</t>
        </r>
        <r>
          <rPr>
            <b/>
            <sz val="11"/>
            <color indexed="81"/>
            <rFont val="Tahoma"/>
            <family val="2"/>
          </rPr>
          <t xml:space="preserve"> Leistungserbringung</t>
        </r>
      </text>
    </comment>
    <comment ref="E45" authorId="0" shapeId="0" xr:uid="{D0A4C60C-6B00-43D0-83C5-0409241DE29D}">
      <text>
        <r>
          <rPr>
            <b/>
            <sz val="10"/>
            <color indexed="81"/>
            <rFont val="Verdana"/>
            <family val="2"/>
          </rPr>
          <t>Hierbei kann es sich um verkaufte Stückzahlen, verkaufte Stunden, Anzahl an verkauften Provisionen etc. handeln</t>
        </r>
      </text>
    </comment>
    <comment ref="F45" authorId="0" shapeId="0" xr:uid="{23939F3D-3BC6-42FD-B929-AEA37BE95229}">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G45" authorId="0" shapeId="0" xr:uid="{E458EEC9-4ED1-4218-87AB-4965610605FB}">
      <text>
        <r>
          <rPr>
            <b/>
            <sz val="10"/>
            <color indexed="81"/>
            <rFont val="Verdana"/>
            <family val="2"/>
          </rPr>
          <t>Hierbei kann es sich um verkaufte Stückzahlen, verkaufte Stunden, Anzahl an verkauften Provisionen etc. handeln</t>
        </r>
      </text>
    </comment>
    <comment ref="H45" authorId="0" shapeId="0" xr:uid="{845D49A0-5173-4497-A47D-5DCAAFD13400}">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I45" authorId="0" shapeId="0" xr:uid="{182B8DD6-A065-4383-958C-AB3859ACB38A}">
      <text>
        <r>
          <rPr>
            <b/>
            <sz val="10"/>
            <color indexed="81"/>
            <rFont val="Verdana"/>
            <family val="2"/>
          </rPr>
          <t>Hierbei kann es sich um verkaufte Stückzahlen, verkaufte Stunden, Anzahl an verkauften Provisionen etc. handeln</t>
        </r>
      </text>
    </comment>
    <comment ref="J45" authorId="0" shapeId="0" xr:uid="{F4589C33-2351-4FE1-8F08-88FBCB25EEA7}">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K45" authorId="0" shapeId="0" xr:uid="{869966BE-882D-4A59-BA28-CC4808FDE28B}">
      <text>
        <r>
          <rPr>
            <b/>
            <sz val="10"/>
            <color indexed="81"/>
            <rFont val="Verdana"/>
            <family val="2"/>
          </rPr>
          <t>Hierbei kann es sich um verkaufte Stückzahlen, verkaufte Stunden, Anzahl an verkauften Provisionen etc. handeln</t>
        </r>
      </text>
    </comment>
    <comment ref="L45" authorId="0" shapeId="0" xr:uid="{2EE71166-C025-4958-8E35-FD96FA8B6FDF}">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M45" authorId="0" shapeId="0" xr:uid="{21600E3F-B2F8-40EC-9EA9-57B7BCD5F801}">
      <text>
        <r>
          <rPr>
            <b/>
            <sz val="10"/>
            <color indexed="81"/>
            <rFont val="Verdana"/>
            <family val="2"/>
          </rPr>
          <t>Hierbei kann es sich um verkaufte Stückzahlen, verkaufte Stunden, Anzahl an verkauften Provisionen etc. handeln</t>
        </r>
      </text>
    </comment>
    <comment ref="N45" authorId="0" shapeId="0" xr:uid="{54504AE3-6878-4037-B6CC-DF64C5D61B69}">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O45" authorId="0" shapeId="0" xr:uid="{A9186BD3-18DE-48FF-9708-984DE7B09073}">
      <text>
        <r>
          <rPr>
            <b/>
            <sz val="10"/>
            <color indexed="81"/>
            <rFont val="Verdana"/>
            <family val="2"/>
          </rPr>
          <t>Hierbei kann es sich um verkaufte Stückzahlen, verkaufte Stunden, Anzahl an verkauften Provisionen etc. handeln</t>
        </r>
      </text>
    </comment>
    <comment ref="P45" authorId="0" shapeId="0" xr:uid="{5CC95615-E59F-4164-B97F-24CB672243C7}">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Q45" authorId="0" shapeId="0" xr:uid="{0C5EED3C-815B-4812-9863-DD08BCD98417}">
      <text>
        <r>
          <rPr>
            <b/>
            <sz val="10"/>
            <color indexed="81"/>
            <rFont val="Verdana"/>
            <family val="2"/>
          </rPr>
          <t>Hierbei kann es sich um verkaufte Stückzahlen, verkaufte Stunden, Anzahl an verkauften Provisionen etc. handeln</t>
        </r>
      </text>
    </comment>
    <comment ref="R45" authorId="0" shapeId="0" xr:uid="{CCE7A8E5-DE1A-4D85-B742-1469446059A5}">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S45" authorId="0" shapeId="0" xr:uid="{D9573C0A-4F9C-4E43-9AC2-FDEC5E76D573}">
      <text>
        <r>
          <rPr>
            <b/>
            <sz val="10"/>
            <color indexed="81"/>
            <rFont val="Verdana"/>
            <family val="2"/>
          </rPr>
          <t>Hierbei kann es sich um verkaufte Stückzahlen, verkaufte Stunden, Anzahl an verkauften Provisionen etc. handeln</t>
        </r>
      </text>
    </comment>
    <comment ref="T45" authorId="0" shapeId="0" xr:uid="{B1DF4262-AB3D-4808-9137-43B47F0396A1}">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U45" authorId="0" shapeId="0" xr:uid="{9B5AE31D-14EF-441F-9D30-D495D5884A2C}">
      <text>
        <r>
          <rPr>
            <b/>
            <sz val="10"/>
            <color indexed="81"/>
            <rFont val="Verdana"/>
            <family val="2"/>
          </rPr>
          <t>Hierbei kann es sich um verkaufte Stückzahlen, verkaufte Stunden, Anzahl an verkauften Provisionen etc. handeln</t>
        </r>
      </text>
    </comment>
    <comment ref="V45" authorId="0" shapeId="0" xr:uid="{CC2687C2-0E87-45F9-9602-6221F8858F49}">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W45" authorId="0" shapeId="0" xr:uid="{62D3FE53-4B4D-46AE-B81B-FCFD2C3C1120}">
      <text>
        <r>
          <rPr>
            <b/>
            <sz val="10"/>
            <color indexed="81"/>
            <rFont val="Verdana"/>
            <family val="2"/>
          </rPr>
          <t>Hierbei kann es sich um verkaufte Stückzahlen, verkaufte Stunden, Anzahl an verkauften Provisionen etc. handeln</t>
        </r>
      </text>
    </comment>
    <comment ref="X45" authorId="0" shapeId="0" xr:uid="{5DF81B78-88A3-4A69-BD0D-D6818587B31A}">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Y45" authorId="0" shapeId="0" xr:uid="{940639AB-31B8-49BD-A392-B8FE551686F2}">
      <text>
        <r>
          <rPr>
            <b/>
            <sz val="10"/>
            <color indexed="81"/>
            <rFont val="Verdana"/>
            <family val="2"/>
          </rPr>
          <t>Hierbei kann es sich um verkaufte Stückzahlen, verkaufte Stunden, Anzahl an verkauften Provisionen etc. handeln</t>
        </r>
      </text>
    </comment>
    <comment ref="Z45" authorId="0" shapeId="0" xr:uid="{0C92CF90-DB12-4B5D-B67C-36F466B0EE31}">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 ref="AA45" authorId="0" shapeId="0" xr:uid="{563A9E22-395D-4BE4-85F9-6D1BF298CD45}">
      <text>
        <r>
          <rPr>
            <b/>
            <sz val="10"/>
            <color indexed="81"/>
            <rFont val="Verdana"/>
            <family val="2"/>
          </rPr>
          <t>Hierbei kann es sich um verkaufte Stückzahlen, verkaufte Stunden, Anzahl an verkauften Provisionen etc. handeln</t>
        </r>
      </text>
    </comment>
    <comment ref="AB45" authorId="0" shapeId="0" xr:uid="{62B944CC-2CF4-4DBF-9A6B-B387095A3DAB}">
      <text>
        <r>
          <rPr>
            <b/>
            <sz val="10"/>
            <color indexed="81"/>
            <rFont val="Verdana"/>
            <family val="2"/>
          </rPr>
          <t>Produktionsstunden gesamt = aufgewendete Stunden für die gesamte Herstellung der Produkte bzw. die Dauer der Leistungserbringungen. (Prod.Stunden eines Produktes multipliziert mit den verkauften Stück)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author>
    <author>Rechner</author>
    <author>Rüdiger Adamy</author>
    <author>infinitas bei hannoverimpuls</author>
    <author>Adamy</author>
    <author>Adamy Rüdiger</author>
  </authors>
  <commentList>
    <comment ref="B2" authorId="0" shapeId="0" xr:uid="{C1C7C972-62A7-458C-AB95-58CA38EA5F2C}">
      <text>
        <r>
          <rPr>
            <b/>
            <sz val="10"/>
            <color indexed="81"/>
            <rFont val="Verdana"/>
            <family val="2"/>
          </rPr>
          <t>Bei Eingabe 0 =Eingang sofort, bei 1=nach 30 Tagen, bei 2=nach 60 Tagen, bei 3= nach 45 Tagen</t>
        </r>
      </text>
    </comment>
    <comment ref="O2" authorId="1" shapeId="0" xr:uid="{A3E058C0-E597-4668-AFEA-29A2FF559E08}">
      <text>
        <r>
          <rPr>
            <b/>
            <sz val="10"/>
            <color indexed="81"/>
            <rFont val="Verdana"/>
            <family val="2"/>
          </rPr>
          <t>Dieser Wert wird automatisch aus dem in Deckblatt angegebenen Mehrwertsteuersatz übernommen.</t>
        </r>
      </text>
    </comment>
    <comment ref="D6" authorId="2" shapeId="0" xr:uid="{B60C892D-8A5A-446C-9C3D-26F1BA1F18E9}">
      <text>
        <r>
          <rPr>
            <b/>
            <sz val="10"/>
            <color indexed="81"/>
            <rFont val="Verdana"/>
            <family val="2"/>
          </rPr>
          <t>Entnahmen aus Guthaben für Investition oder zum Ausgleich von Verlusten</t>
        </r>
      </text>
    </comment>
    <comment ref="B7" authorId="3" shapeId="0" xr:uid="{4A985D5B-74AD-499C-A47B-56BE89851697}">
      <text>
        <r>
          <rPr>
            <b/>
            <sz val="10"/>
            <color indexed="81"/>
            <rFont val="Verdana"/>
            <family val="2"/>
          </rPr>
          <t>Aufzunehmende Kredite / (Förder-) Darlehen sind manuell eunzutragen</t>
        </r>
      </text>
    </comment>
    <comment ref="C8" authorId="1" shapeId="0" xr:uid="{20940F17-7997-4B9C-93AE-942C16A8D426}">
      <text>
        <r>
          <rPr>
            <b/>
            <sz val="10"/>
            <color indexed="81"/>
            <rFont val="Verdana"/>
            <family val="2"/>
          </rPr>
          <t>Gründungszuschuß wird maximal für 6 Monate (in Höhe ALG + 300 €) gewährt; zusätzlich 9x 300€ Sozialvers.Zuschuß.
Stand 2.1.2017/AY</t>
        </r>
      </text>
    </comment>
    <comment ref="C9" authorId="4" shapeId="0" xr:uid="{566F474D-39BE-4904-9530-6F0969518CFF}">
      <text>
        <r>
          <rPr>
            <b/>
            <sz val="9"/>
            <color indexed="81"/>
            <rFont val="Tahoma"/>
            <family val="2"/>
          </rPr>
          <t>Adamy:</t>
        </r>
        <r>
          <rPr>
            <sz val="9"/>
            <color indexed="81"/>
            <rFont val="Tahoma"/>
            <family val="2"/>
          </rPr>
          <t xml:space="preserve">
</t>
        </r>
        <r>
          <rPr>
            <b/>
            <sz val="11"/>
            <color indexed="81"/>
            <rFont val="Tahoma"/>
            <family val="2"/>
          </rPr>
          <t>Bei einigen Unternehmen ist eine MWSt von 7% abzuführen, in einem solchen Fall müssen die Formeln geändert werden!</t>
        </r>
      </text>
    </comment>
    <comment ref="C13" authorId="1" shapeId="0" xr:uid="{C26A98C4-7B8D-4AC6-877E-99D9E58673E9}">
      <text>
        <r>
          <rPr>
            <b/>
            <sz val="10"/>
            <color indexed="81"/>
            <rFont val="Verdana"/>
            <family val="2"/>
          </rPr>
          <t xml:space="preserve">Die ausgewiesene Vorsteuer berechnet sich auf den Aufwendungen für Material/Wareneinkauf sowie den Betriebsausgaben (ohne Versicherungen/Beiträge).
</t>
        </r>
      </text>
    </comment>
    <comment ref="P14" authorId="5" shapeId="0" xr:uid="{E5CCDC6B-B541-48D8-A9A0-4D7D458D92E4}">
      <text>
        <r>
          <rPr>
            <b/>
            <sz val="9"/>
            <color indexed="81"/>
            <rFont val="Tahoma"/>
            <family val="2"/>
          </rPr>
          <t>Adamy Rüdiger:</t>
        </r>
        <r>
          <rPr>
            <sz val="9"/>
            <color indexed="81"/>
            <rFont val="Tahoma"/>
            <family val="2"/>
          </rPr>
          <t xml:space="preserve">
I</t>
        </r>
        <r>
          <rPr>
            <b/>
            <sz val="9"/>
            <color indexed="81"/>
            <rFont val="Verdana"/>
            <family val="2"/>
          </rPr>
          <t>n dieser Liquiditätsrechnung wird unterstellt, dass Kunden möglicherweise die Rechnungen später bezahlen (siehe Zelle B2) Sie als Unternehmer Ihre Wareneinkäufe sofort bezahlen!</t>
        </r>
      </text>
    </comment>
    <comment ref="C17" authorId="5" shapeId="0" xr:uid="{8DD6812F-DE5E-40E3-81A1-5FE6E910FF80}">
      <text>
        <r>
          <rPr>
            <b/>
            <sz val="9"/>
            <color indexed="81"/>
            <rFont val="Tahoma"/>
            <family val="2"/>
          </rPr>
          <t>Adamy Rüdiger:</t>
        </r>
        <r>
          <rPr>
            <sz val="9"/>
            <color indexed="81"/>
            <rFont val="Tahoma"/>
            <family val="2"/>
          </rPr>
          <t xml:space="preserve">
</t>
        </r>
        <r>
          <rPr>
            <b/>
            <sz val="9"/>
            <color indexed="81"/>
            <rFont val="Verdana"/>
            <family val="2"/>
          </rPr>
          <t>Hier sind die Warenbestände aufzunehmen, die zu Beginn der Unternehmung gekauft werden, also quasi durch Revolvieren zu Dauerbestand werden</t>
        </r>
      </text>
    </comment>
    <comment ref="B18" authorId="1" shapeId="0" xr:uid="{B0657BCA-2CD9-4FEC-9090-61CB0BEDEA59}">
      <text>
        <r>
          <rPr>
            <b/>
            <sz val="10"/>
            <color indexed="81"/>
            <rFont val="Verdana"/>
            <family val="2"/>
          </rPr>
          <t>Die Mehrwertsteuerzahllast ist die Differenz zwischen Vorsteuer-Erstattung und an das Finanzamt abzuführender Umsatzsteuer. Ein in dieser Zeile negativer Betrag bedeutet, dass Sie in diesem Monat einen Vorsteuererstattungsanspruch an das Finanzamt haben (also Ihre Ausgaben größer sind als Ihre Einnahmen).</t>
        </r>
      </text>
    </comment>
    <comment ref="C19" authorId="1" shapeId="0" xr:uid="{2509CA0B-7269-4C82-9B1A-C424B3FFD289}">
      <text>
        <r>
          <rPr>
            <b/>
            <sz val="10"/>
            <color indexed="81"/>
            <rFont val="Verdana"/>
            <family val="2"/>
          </rPr>
          <t>Diese Posititon wird automatisch aus dem Tabellenblat GuV 1. Jahr übernommen und basiert auf den dortigen Annahmen.</t>
        </r>
      </text>
    </comment>
    <comment ref="C20" authorId="1" shapeId="0" xr:uid="{FD0CA34B-A9A8-4FD2-8760-A207CFE63624}">
      <text>
        <r>
          <rPr>
            <b/>
            <sz val="10"/>
            <color indexed="81"/>
            <rFont val="Verdana"/>
            <family val="2"/>
          </rPr>
          <t>Diese Posititon wird automatisch aus dem Tabellenblat GuV 1. Jahr übernommen und basiert auf den dortigen Annahmen.</t>
        </r>
      </text>
    </comment>
    <comment ref="C26" authorId="1" shapeId="0" xr:uid="{BCA1481F-9715-4184-AA02-5493C732EA7F}">
      <text>
        <r>
          <rPr>
            <b/>
            <sz val="10"/>
            <color indexed="81"/>
            <rFont val="Verdana"/>
            <family val="2"/>
          </rPr>
          <t>Die Höhe des Kontokorrent wird automatisch aus dem Tabellenblatt Finanz_AfA übernommen.</t>
        </r>
      </text>
    </comment>
    <comment ref="C28" authorId="1" shapeId="0" xr:uid="{6BEA3151-262B-448D-A027-D880EA90C753}">
      <text>
        <r>
          <rPr>
            <b/>
            <sz val="10"/>
            <color indexed="81"/>
            <rFont val="Tahoma"/>
            <family val="2"/>
          </rPr>
          <t>Der Saldo enspricht der Summe des Liquiditätssaldos am Monatsende und dem Ihnen zur Verfügung stehenden Kontokorrents Ihrer Bank.</t>
        </r>
      </text>
    </comment>
    <comment ref="B31" authorId="0" shapeId="0" xr:uid="{301B168D-DC2B-4259-AA62-AFCAA0BEBB88}">
      <text>
        <r>
          <rPr>
            <b/>
            <sz val="10"/>
            <color indexed="81"/>
            <rFont val="Verdana"/>
            <family val="2"/>
          </rPr>
          <t>Bei Eingabe "0" Eingang =sofort, bei 1= Eingang nach 30 Tagen, bei 2= nach 60 Tagen, bei 3= Eingang nach 45 Tagen</t>
        </r>
      </text>
    </comment>
    <comment ref="D35" authorId="2" shapeId="0" xr:uid="{44864665-6CC9-44DB-9FF6-9ECE25262B88}">
      <text>
        <r>
          <rPr>
            <b/>
            <sz val="10"/>
            <color indexed="81"/>
            <rFont val="Verdana"/>
            <family val="2"/>
          </rPr>
          <t>Entnahmen aus Guthaben für Investition oder zum Ausgleich von Verlusten</t>
        </r>
      </text>
    </comment>
    <comment ref="C37" authorId="1" shapeId="0" xr:uid="{3617FD48-5418-4444-96B1-58FD1E73AB3B}">
      <text>
        <r>
          <rPr>
            <b/>
            <sz val="10"/>
            <color indexed="81"/>
            <rFont val="Verdana"/>
            <family val="2"/>
          </rPr>
          <t>Gründungszuschuß wird maximal für 15 Monate gewährt.</t>
        </r>
      </text>
    </comment>
    <comment ref="C38" authorId="4" shapeId="0" xr:uid="{6621F5A9-46E6-490C-9F10-41A143D24099}">
      <text>
        <r>
          <rPr>
            <b/>
            <sz val="9"/>
            <color indexed="81"/>
            <rFont val="Tahoma"/>
            <family val="2"/>
          </rPr>
          <t>Adamy:</t>
        </r>
        <r>
          <rPr>
            <sz val="9"/>
            <color indexed="81"/>
            <rFont val="Tahoma"/>
            <family val="2"/>
          </rPr>
          <t xml:space="preserve">
</t>
        </r>
        <r>
          <rPr>
            <b/>
            <sz val="11"/>
            <color indexed="81"/>
            <rFont val="Tahoma"/>
            <family val="2"/>
          </rPr>
          <t>Bei einigen Unternehmen ist eine MWSt von 7% abzuführen, in einem solchen Fall müssen die Formeln geändert werden!</t>
        </r>
      </text>
    </comment>
    <comment ref="C42" authorId="1" shapeId="0" xr:uid="{16D9E321-E905-4C01-B716-CE767B3CE1D8}">
      <text>
        <r>
          <rPr>
            <b/>
            <sz val="10"/>
            <color indexed="81"/>
            <rFont val="Verdana"/>
            <family val="2"/>
          </rPr>
          <t xml:space="preserve">Die ausgewiesene Vorsteuer berechnet sich auf den Aufwendungen für Material/Wareneinkauf sowie den Betriebsausgaben (ohne Versicherungen/Beiträge).
</t>
        </r>
      </text>
    </comment>
    <comment ref="B47" authorId="1" shapeId="0" xr:uid="{9DC09BC3-585E-4E9D-81F2-2BF6B9B4BC25}">
      <text>
        <r>
          <rPr>
            <b/>
            <sz val="10"/>
            <color indexed="81"/>
            <rFont val="Verdana"/>
            <family val="2"/>
          </rPr>
          <t>Die Mehrwertsteuerzahllast ist die Differenz zwischen Vorsteuer-Erstattung und an das Finanzamt abzuführender Umsatzsteuer. Ein in dieser Zeile negativer Betrag bedeutet, dass Sie in diesem Monat einen Vorsteuererstattungsanspruch an das Finanzamt haben (also Ihre Ausgaben größer sind als Ihre Einnahmen).</t>
        </r>
      </text>
    </comment>
    <comment ref="C48" authorId="1" shapeId="0" xr:uid="{DB4B8F63-72A0-4C23-B13D-12DAE845B13E}">
      <text>
        <r>
          <rPr>
            <b/>
            <sz val="10"/>
            <color indexed="81"/>
            <rFont val="Verdana"/>
            <family val="2"/>
          </rPr>
          <t>Diese Posititon wird automatisch aus dem Tabellenblat GuV 2. Jahr übernommen und basiert auf den dortigen Annahmen.</t>
        </r>
      </text>
    </comment>
    <comment ref="C49" authorId="1" shapeId="0" xr:uid="{2D815073-6F67-4045-9E60-E01941750D87}">
      <text>
        <r>
          <rPr>
            <b/>
            <sz val="10"/>
            <color indexed="81"/>
            <rFont val="Verdana"/>
            <family val="2"/>
          </rPr>
          <t>Diese Posititon wird automatisch aus dem Tabellenblat GuV 2. Jahr übernommen und basiert auf den dortigen Annahmen.</t>
        </r>
      </text>
    </comment>
    <comment ref="C55" authorId="1" shapeId="0" xr:uid="{69600DA8-202E-4152-AE71-BD7EA5F8B508}">
      <text>
        <r>
          <rPr>
            <b/>
            <sz val="10"/>
            <color indexed="81"/>
            <rFont val="Verdana"/>
            <family val="2"/>
          </rPr>
          <t>Die Höhe des Kontokorrent wird automatisch aus dem Tabellenblatt Finanz_AfA übernommen.</t>
        </r>
      </text>
    </comment>
    <comment ref="C57" authorId="1" shapeId="0" xr:uid="{2C0C8CA3-529A-4C86-A3F6-CE19B5C4AC6B}">
      <text>
        <r>
          <rPr>
            <b/>
            <sz val="10"/>
            <color indexed="81"/>
            <rFont val="Tahoma"/>
            <family val="2"/>
          </rPr>
          <t>Der Saldo enspricht der Summe des Liquiditätssaldos am Monatsende und dem Ihnen zur Verfügung stehenden Kontokorrents Ihrer Bank.</t>
        </r>
      </text>
    </comment>
    <comment ref="B60" authorId="0" shapeId="0" xr:uid="{C5736B64-04E2-4ACE-8EAD-C7615FD14D37}">
      <text>
        <r>
          <rPr>
            <b/>
            <sz val="10"/>
            <color indexed="81"/>
            <rFont val="Verdana"/>
            <family val="2"/>
          </rPr>
          <t>Bei Eingabe "0" = Eingang sofort, bei 1 = nach 30 Tagen, bei 2 = nach 60 Tagen, bei 3 = nach 45 Tagen</t>
        </r>
      </text>
    </comment>
    <comment ref="D64" authorId="2" shapeId="0" xr:uid="{08A432DB-B8FC-446C-8895-3088D49C6D3A}">
      <text>
        <r>
          <rPr>
            <b/>
            <sz val="10"/>
            <color indexed="81"/>
            <rFont val="Verdana"/>
            <family val="2"/>
          </rPr>
          <t>Entnahmen aus Guthaben für Investition oder zum Ausgleich von Verlusten</t>
        </r>
      </text>
    </comment>
    <comment ref="C66" authorId="1" shapeId="0" xr:uid="{84C32ACB-26AF-4941-8E78-EC3B4078A686}">
      <text>
        <r>
          <rPr>
            <b/>
            <sz val="10"/>
            <color indexed="81"/>
            <rFont val="Verdana"/>
            <family val="2"/>
          </rPr>
          <t>Gründungszuschuß wird maximal für 15 Monate gewährt.</t>
        </r>
      </text>
    </comment>
    <comment ref="C67" authorId="4" shapeId="0" xr:uid="{48F050A7-6F31-4885-9AB3-506EEC28520C}">
      <text>
        <r>
          <rPr>
            <b/>
            <sz val="9"/>
            <color indexed="81"/>
            <rFont val="Tahoma"/>
            <family val="2"/>
          </rPr>
          <t>Adamy:</t>
        </r>
        <r>
          <rPr>
            <sz val="9"/>
            <color indexed="81"/>
            <rFont val="Tahoma"/>
            <family val="2"/>
          </rPr>
          <t xml:space="preserve">
</t>
        </r>
        <r>
          <rPr>
            <b/>
            <sz val="11"/>
            <color indexed="81"/>
            <rFont val="Tahoma"/>
            <family val="2"/>
          </rPr>
          <t>Bei einigen Unternehmen ist eine MWSt von 7% abzuführen, in einem solchen Fall müssen die Formeln geändert werden!</t>
        </r>
      </text>
    </comment>
    <comment ref="C71" authorId="1" shapeId="0" xr:uid="{695608E6-A536-492B-9972-568D6310743E}">
      <text>
        <r>
          <rPr>
            <b/>
            <sz val="10"/>
            <color indexed="81"/>
            <rFont val="Verdana"/>
            <family val="2"/>
          </rPr>
          <t xml:space="preserve">Die ausgewiesene Vorsteuer berechnet sich auf den Aufwendungen für Material/Wareneinkauf sowie den Betriebsausgaben (ohne Versicherungen/Beiträge).
</t>
        </r>
      </text>
    </comment>
    <comment ref="B76" authorId="1" shapeId="0" xr:uid="{A3CB1AF4-8775-4F98-B40A-C4C148B1357D}">
      <text>
        <r>
          <rPr>
            <b/>
            <sz val="10"/>
            <color indexed="81"/>
            <rFont val="Verdana"/>
            <family val="2"/>
          </rPr>
          <t>Die Mehrwertsteuerzahllast ist die Differenz zwischen Vorsteuer-Erstattung und an das Finanzamt abzuführender Umsatzsteuer. Ein in dieser Zeile negativer Betrag bedeutet, dass Sie in diesem Monat einen Vorsteuererstattungsanspruch an das Finanzamt haben (also Ihre Ausgaben größer sind als Ihre Einnahmen).</t>
        </r>
      </text>
    </comment>
    <comment ref="C77" authorId="1" shapeId="0" xr:uid="{E086C380-7438-4F26-9A37-B6A2CE08CEC0}">
      <text>
        <r>
          <rPr>
            <b/>
            <sz val="10"/>
            <color indexed="81"/>
            <rFont val="Verdana"/>
            <family val="2"/>
          </rPr>
          <t>Diese Posititon wird automatisch aus dem Tabellenblat GuV 3. Jahr übernommen und basiert auf den dortigen Annahmen.</t>
        </r>
      </text>
    </comment>
    <comment ref="C78" authorId="1" shapeId="0" xr:uid="{ED617872-FF73-43F9-A330-5C61E370AC81}">
      <text>
        <r>
          <rPr>
            <b/>
            <sz val="10"/>
            <color indexed="81"/>
            <rFont val="Verdana"/>
            <family val="2"/>
          </rPr>
          <t>Diese Posititon wird automatisch aus dem Tabellenblat GuV 3. Jahr übernommen und basiert auf den dortigen Annahmen.</t>
        </r>
      </text>
    </comment>
    <comment ref="C84" authorId="1" shapeId="0" xr:uid="{80384529-0E91-4B3D-BC55-5C5187F0EEB4}">
      <text>
        <r>
          <rPr>
            <b/>
            <sz val="10"/>
            <color indexed="81"/>
            <rFont val="Verdana"/>
            <family val="2"/>
          </rPr>
          <t>Die Höhe des Kontokorrent wird automatisch aus dem Tabellenblatt Finanz_AfA übernommen.</t>
        </r>
      </text>
    </comment>
    <comment ref="C86" authorId="1" shapeId="0" xr:uid="{6B0ACC0E-D5D7-4322-841E-BF9E8B488534}">
      <text>
        <r>
          <rPr>
            <b/>
            <sz val="10"/>
            <color indexed="81"/>
            <rFont val="Tahoma"/>
            <family val="2"/>
          </rPr>
          <t>Der Saldo enspricht der Summe des Liquiditätssaldos am Monatsende und dem Ihnen zur Verfügung stehenden Kontokorrents Ihrer Bank.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infinitas bei hannoverimpuls</author>
    <author>Rechner</author>
    <author>Admin</author>
    <author>Büro</author>
  </authors>
  <commentList>
    <comment ref="C2" authorId="0" shapeId="0" xr:uid="{85FDA334-BC97-4F4D-BCFD-5C9F986A0B09}">
      <text>
        <r>
          <rPr>
            <b/>
            <sz val="10"/>
            <color indexed="81"/>
            <rFont val="Verdana"/>
            <family val="2"/>
          </rPr>
          <t xml:space="preserve">Tragen Sie den Investitionsbetrag der anzuschaffenden Anlagegüter ein.
</t>
        </r>
      </text>
    </comment>
    <comment ref="D2" authorId="0" shapeId="0" xr:uid="{5F622994-31E1-42BD-83C5-F9A344F9AD37}">
      <text>
        <r>
          <rPr>
            <b/>
            <sz val="10"/>
            <color indexed="81"/>
            <rFont val="Verdana"/>
            <family val="2"/>
          </rPr>
          <t>Tragen Sie hier die Nutzungsjahre für die abzuschreibenden Anlagegüter ein</t>
        </r>
      </text>
    </comment>
    <comment ref="G2" authorId="1" shapeId="0" xr:uid="{AF9BA986-E828-4700-9493-8943EE495F3F}">
      <text>
        <r>
          <rPr>
            <b/>
            <sz val="10"/>
            <color indexed="81"/>
            <rFont val="Verdana"/>
            <family val="2"/>
          </rPr>
          <t>Tragen Sie hier den gesamten Leasingbetrag der anzuschaffenden Güter ein.</t>
        </r>
        <r>
          <rPr>
            <sz val="10"/>
            <color indexed="81"/>
            <rFont val="Verdana"/>
            <family val="2"/>
          </rPr>
          <t xml:space="preserve">
</t>
        </r>
      </text>
    </comment>
    <comment ref="H2" authorId="0" shapeId="0" xr:uid="{89724E58-29E0-4D9E-9D30-5CD0F56C90ED}">
      <text>
        <r>
          <rPr>
            <b/>
            <sz val="8"/>
            <color indexed="81"/>
            <rFont val="Tahoma"/>
            <family val="2"/>
          </rPr>
          <t>Sollte Ihnen der Leasingsatz bekannt sein, wird die Leasingrate automatisch berechnet und hier eingetragen. Ist Ihnen hingegen die Leasingrate bekannt, dann tragen Sie diese hier direkt ein und überschrieben damit die vorhandene Formel. Die Felder im Leasingsatz bleiben dann leer.</t>
        </r>
      </text>
    </comment>
    <comment ref="I2" authorId="0" shapeId="0" xr:uid="{2129EC6D-EAFD-49C6-B59E-080F403D4FE7}">
      <text>
        <r>
          <rPr>
            <b/>
            <sz val="10"/>
            <color indexed="81"/>
            <rFont val="Verdana"/>
            <family val="2"/>
          </rPr>
          <t xml:space="preserve">Wenn Sie Anlagegüter leasen (Fahrzeuge / Maschinen etc) tragen Sie hier den prozentualen Leasingsatz ein
</t>
        </r>
      </text>
    </comment>
    <comment ref="J2" authorId="1" shapeId="0" xr:uid="{BDE19C41-C3ED-4C5F-A2B0-9F8A92AAE6E8}">
      <text>
        <r>
          <rPr>
            <b/>
            <sz val="10"/>
            <color indexed="81"/>
            <rFont val="Verdana"/>
            <family val="2"/>
          </rPr>
          <t>Diese Erläuterungen dienen Ihnen als Gedächtnisstütze für die spätere Nachvollziehbarkeit sowie der Plausibilisierung der Angaben. Bitte tragen Sie hier ein, für welches konkreten Aufwendungen Sie die Positionen planen. Machen Sie sich während des gesamten Planungsprozesses Notizen.</t>
        </r>
      </text>
    </comment>
    <comment ref="B3" authorId="2" shapeId="0" xr:uid="{E9047435-43CB-48C7-AB82-641FAF28EA97}">
      <text>
        <r>
          <rPr>
            <b/>
            <sz val="9"/>
            <color indexed="81"/>
            <rFont val="Tahoma"/>
            <family val="2"/>
          </rPr>
          <t>Admin:</t>
        </r>
        <r>
          <rPr>
            <sz val="9"/>
            <color indexed="81"/>
            <rFont val="Tahoma"/>
            <family val="2"/>
          </rPr>
          <t xml:space="preserve">
hier sind nur die immateriellen Teile dargestellt. Bei Übernahme von AV ist das entsprechend zuzuordnen!</t>
        </r>
      </text>
    </comment>
    <comment ref="B13" authorId="1" shapeId="0" xr:uid="{CC1A9101-4824-49F7-9A2C-89438D679F5B}">
      <text>
        <r>
          <rPr>
            <b/>
            <sz val="10"/>
            <color indexed="81"/>
            <rFont val="Verdana"/>
            <family val="2"/>
          </rPr>
          <t>GWG = geringwertige Wirtschaftsgüter
Sofortabschreibung (im Jahr der Anschaffung) für geringwertige Wirtschaftsgüter bis zu einem Wert von 410 €
INFO: 
Unternehmer haben für Anschaffung von GWG ab 2010 mit einem Wert von mehr als 150€ bis 410€ (ohne Umsatzsteuer) ein Wahlrecht: Sofortabschreibung im Jahr der Anschaffung oder optional Aufnahme in einen Sammelposten, der dann über 5 Jahre linear abzuschreiben ist.</t>
        </r>
      </text>
    </comment>
    <comment ref="B14" authorId="1" shapeId="0" xr:uid="{93BE47D1-375C-4427-A89B-0D06AC5BCED4}">
      <text>
        <r>
          <rPr>
            <b/>
            <sz val="10"/>
            <color indexed="81"/>
            <rFont val="Verdana"/>
            <family val="2"/>
          </rPr>
          <t xml:space="preserve">GWG Pool für geringwertige Wirtschaftsgüter ist nicht mehr vorgeschrieben, kann aber optional gebildet werden.
</t>
        </r>
      </text>
    </comment>
    <comment ref="B15" authorId="2" shapeId="0" xr:uid="{AEDF9758-4A05-40AE-A818-CEB13D45FBB9}">
      <text>
        <r>
          <rPr>
            <b/>
            <sz val="9"/>
            <color indexed="81"/>
            <rFont val="Tahoma"/>
            <family val="2"/>
          </rPr>
          <t>Admin:</t>
        </r>
        <r>
          <rPr>
            <sz val="9"/>
            <color indexed="81"/>
            <rFont val="Tahoma"/>
            <family val="2"/>
          </rPr>
          <t xml:space="preserve">
Nutzungsdauer laut Vertrag maßgeblich!</t>
        </r>
      </text>
    </comment>
    <comment ref="C28" authorId="0" shapeId="0" xr:uid="{22925D7A-C67D-4BF1-9613-5FA4BC2E2321}">
      <text>
        <r>
          <rPr>
            <b/>
            <sz val="10"/>
            <color indexed="81"/>
            <rFont val="Verdana"/>
            <family val="2"/>
          </rPr>
          <t>Gesammtsumme Ihrer Investitionen</t>
        </r>
      </text>
    </comment>
    <comment ref="F28" authorId="0" shapeId="0" xr:uid="{7D81F787-CD0C-4B14-91CF-874C0E335A9C}">
      <text>
        <r>
          <rPr>
            <b/>
            <sz val="10"/>
            <color indexed="81"/>
            <rFont val="Verdana"/>
            <family val="2"/>
          </rPr>
          <t>Summe Ihrer monatlichen Abschreibungsraten</t>
        </r>
      </text>
    </comment>
    <comment ref="H28" authorId="0" shapeId="0" xr:uid="{4060C0FD-AE47-41F6-90D7-F0D3076708B0}">
      <text>
        <r>
          <rPr>
            <b/>
            <sz val="10"/>
            <color indexed="81"/>
            <rFont val="Verdana"/>
            <family val="2"/>
          </rPr>
          <t>Summe der monatlichen Leasingraten</t>
        </r>
      </text>
    </comment>
    <comment ref="B31" authorId="1" shapeId="0" xr:uid="{8CF70CD0-7BC0-4DB3-A914-454E64930B6D}">
      <text>
        <r>
          <rPr>
            <b/>
            <sz val="10"/>
            <color indexed="81"/>
            <rFont val="Verdana"/>
            <family val="2"/>
          </rPr>
          <t>Unter Eigenkapital können neben Finanzmitteln auch Sachmittel sowie Eigenleitstungen verstanden werden.</t>
        </r>
      </text>
    </comment>
    <comment ref="B34" authorId="1" shapeId="0" xr:uid="{0C28B26D-F789-4F17-96B9-5A7246D37849}">
      <text>
        <r>
          <rPr>
            <b/>
            <sz val="10"/>
            <color indexed="81"/>
            <rFont val="Tahoma"/>
            <family val="2"/>
          </rPr>
          <t>Hier ist die Kontokorrentlinie Ihrer Hausbank einzutragen.</t>
        </r>
      </text>
    </comment>
    <comment ref="B37" authorId="3" shapeId="0" xr:uid="{2F024644-7B0A-40F5-BC54-01A81AA24506}">
      <text>
        <r>
          <rPr>
            <b/>
            <sz val="9"/>
            <color indexed="81"/>
            <rFont val="Tahoma"/>
            <family val="2"/>
          </rPr>
          <t>Eingabe Mikrostarter in Tabellenblatt:
Tilgungsrechner</t>
        </r>
        <r>
          <rPr>
            <sz val="9"/>
            <color indexed="81"/>
            <rFont val="Tahoma"/>
            <family val="2"/>
          </rPr>
          <t xml:space="preserve">
</t>
        </r>
      </text>
    </comment>
    <comment ref="C38" authorId="0" shapeId="0" xr:uid="{AE0D17BC-3616-4DF7-8D76-04A6187D957B}">
      <text>
        <r>
          <rPr>
            <b/>
            <sz val="10"/>
            <color indexed="81"/>
            <rFont val="Verdana"/>
            <family val="2"/>
          </rPr>
          <t>Summe Ihrer Finanzierung</t>
        </r>
      </text>
    </comment>
    <comment ref="F38" authorId="0" shapeId="0" xr:uid="{75F6F7D1-F392-496E-9375-8FBA331F0232}">
      <text>
        <r>
          <rPr>
            <b/>
            <sz val="10"/>
            <color indexed="81"/>
            <rFont val="Verdana"/>
            <family val="2"/>
          </rPr>
          <t>Summe der monatlichen Zinsaufwendungen</t>
        </r>
      </text>
    </comment>
    <comment ref="G38" authorId="0" shapeId="0" xr:uid="{6179B833-5089-4E38-A30B-F0381094B8A8}">
      <text>
        <r>
          <rPr>
            <b/>
            <sz val="10"/>
            <color indexed="81"/>
            <rFont val="Verdana"/>
            <family val="2"/>
          </rPr>
          <t>Summe der monatlichen Tilgungsraten</t>
        </r>
      </text>
    </comment>
    <comment ref="H38" authorId="0" shapeId="0" xr:uid="{08F2408D-B8EC-4566-89B2-327B700F9D49}">
      <text>
        <r>
          <rPr>
            <b/>
            <sz val="10"/>
            <color indexed="81"/>
            <rFont val="Verdana"/>
            <family val="2"/>
          </rPr>
          <t>Summe der monatlichen Zinsaufwendungen</t>
        </r>
      </text>
    </comment>
    <comment ref="I38" authorId="0" shapeId="0" xr:uid="{7AD6037A-DA30-481F-B806-F0AE8EAFB912}">
      <text>
        <r>
          <rPr>
            <b/>
            <sz val="10"/>
            <color indexed="81"/>
            <rFont val="Verdana"/>
            <family val="2"/>
          </rPr>
          <t>Summe der monatlichen Zinsaufwendungen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Krebs, Anja</author>
    <author>Büro</author>
    <author>Gundi</author>
  </authors>
  <commentList>
    <comment ref="E8" authorId="0" shapeId="0" xr:uid="{B0B0086A-E102-4F45-B32A-D8B5A6F95D99}">
      <text>
        <r>
          <rPr>
            <b/>
            <sz val="8"/>
            <color indexed="81"/>
            <rFont val="Tahoma"/>
            <family val="2"/>
          </rPr>
          <t>NBank:</t>
        </r>
        <r>
          <rPr>
            <sz val="8"/>
            <color indexed="81"/>
            <rFont val="Tahoma"/>
            <family val="2"/>
          </rPr>
          <t xml:space="preserve">
Bitte tragen Sie hier Ihre Kreditsumme ein. Diese kann zwischen 5.000 und 25.000 € liegen.</t>
        </r>
      </text>
    </comment>
    <comment ref="E9" authorId="0" shapeId="0" xr:uid="{0A8AB4CF-1105-4FCF-BF2C-D14B4D3D1337}">
      <text>
        <r>
          <rPr>
            <b/>
            <sz val="8"/>
            <color indexed="81"/>
            <rFont val="Tahoma"/>
            <family val="2"/>
          </rPr>
          <t>NBank:</t>
        </r>
        <r>
          <rPr>
            <sz val="8"/>
            <color indexed="81"/>
            <rFont val="Tahoma"/>
            <family val="2"/>
          </rPr>
          <t xml:space="preserve">
Bitte wählen Sie Ihre Laufzeit aus.</t>
        </r>
      </text>
    </comment>
    <comment ref="B104" authorId="1" shapeId="0" xr:uid="{ADF67811-E66B-489E-B264-48B29BE6125B}">
      <text>
        <r>
          <rPr>
            <sz val="9"/>
            <color indexed="81"/>
            <rFont val="Arial"/>
            <family val="2"/>
          </rPr>
          <t xml:space="preserve">Leasing
Telefon, Telefax, Internet
Bürobedarf
Rechts- und Beratungskosten
Reparaturen/Instandhaltung
sonstiger Betriebsaufwand 
Einmalige Gründungskosten, Zeile 19
</t>
        </r>
      </text>
    </comment>
    <comment ref="B105" authorId="2" shapeId="0" xr:uid="{10D1C982-2D18-4162-BC5C-14D69F31B530}">
      <text>
        <r>
          <rPr>
            <sz val="9"/>
            <color indexed="81"/>
            <rFont val="Tahoma"/>
            <family val="2"/>
          </rPr>
          <t xml:space="preserve">ohne MikrostarterZinsen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Lindhorst</author>
    <author>sabine detering</author>
    <author>Adamy Rüdiger</author>
    <author>Adamy</author>
    <author>Admin</author>
    <author>infinitas bei hannoverimpuls</author>
    <author>Rechner</author>
  </authors>
  <commentList>
    <comment ref="E4" authorId="0" shapeId="0" xr:uid="{F92E223B-CC86-493A-90B6-7462613AF4C1}">
      <text>
        <r>
          <rPr>
            <b/>
            <sz val="10"/>
            <color indexed="81"/>
            <rFont val="Verdana"/>
            <family val="2"/>
          </rPr>
          <t>Immer 12 Monate im Gründungsjahr planen, kein Rumpfgeschäftsjahr entstehen lassen!</t>
        </r>
      </text>
    </comment>
    <comment ref="C9" authorId="1" shapeId="0" xr:uid="{A8883CB5-BDE6-4767-A872-FC899CCB4FF1}">
      <text>
        <r>
          <rPr>
            <b/>
            <sz val="10"/>
            <color indexed="81"/>
            <rFont val="Verdana"/>
            <family val="2"/>
          </rPr>
          <t xml:space="preserve">Wenn Sie weniger als 12 Monate im 1. Jahr planen, oder wenn Sie in einem katholischen Bundesland leben, passen Sie die Anzahl der verbleibenden Feiertage an!
</t>
        </r>
      </text>
    </comment>
    <comment ref="E10" authorId="2" shapeId="0" xr:uid="{56E85941-40B8-41D5-9A95-F928C66BEB50}">
      <text>
        <r>
          <rPr>
            <b/>
            <sz val="9"/>
            <color indexed="81"/>
            <rFont val="Tahoma"/>
            <family val="2"/>
          </rPr>
          <t>Adamy Rüdiger:</t>
        </r>
        <r>
          <rPr>
            <sz val="9"/>
            <color indexed="81"/>
            <rFont val="Tahoma"/>
            <family val="2"/>
          </rPr>
          <t xml:space="preserve">
Bei 5 Tag-Woche 20 Tage/ bei 6 Tag-Woche 24 Tage</t>
        </r>
      </text>
    </comment>
    <comment ref="E11" authorId="3" shapeId="0" xr:uid="{42D9CCA7-0E05-4574-BC09-93BF776EF9FA}">
      <text>
        <r>
          <rPr>
            <b/>
            <sz val="9"/>
            <color indexed="81"/>
            <rFont val="Tahoma"/>
            <family val="2"/>
          </rPr>
          <t>Adamy:</t>
        </r>
        <r>
          <rPr>
            <sz val="9"/>
            <color indexed="81"/>
            <rFont val="Tahoma"/>
            <family val="2"/>
          </rPr>
          <t xml:space="preserve">
Durchschnitt Fehlzeiten report Krankenkassen 2017: 19,4 Tage x 75%= 15 Tage Annahme
</t>
        </r>
      </text>
    </comment>
    <comment ref="G11" authorId="3" shapeId="0" xr:uid="{0E9782C8-087E-4BAD-85A0-F6EF9C85B049}">
      <text>
        <r>
          <rPr>
            <b/>
            <sz val="9"/>
            <color indexed="81"/>
            <rFont val="Tahoma"/>
            <family val="2"/>
          </rPr>
          <t>Adamy:</t>
        </r>
        <r>
          <rPr>
            <sz val="9"/>
            <color indexed="81"/>
            <rFont val="Tahoma"/>
            <family val="2"/>
          </rPr>
          <t xml:space="preserve">
Durchschnitt Fehlzeiten report Krankenkassen 2017: 19,4 Tage x 75%= 15 Tage Annahme
</t>
        </r>
      </text>
    </comment>
    <comment ref="I11" authorId="3" shapeId="0" xr:uid="{ED760087-BF82-4294-8A4F-BB0389AE3251}">
      <text>
        <r>
          <rPr>
            <b/>
            <sz val="9"/>
            <color indexed="81"/>
            <rFont val="Tahoma"/>
            <family val="2"/>
          </rPr>
          <t>Adamy:</t>
        </r>
        <r>
          <rPr>
            <sz val="9"/>
            <color indexed="81"/>
            <rFont val="Tahoma"/>
            <family val="2"/>
          </rPr>
          <t xml:space="preserve">
Durchschnitt Fehlzeiten report Krankenkassen 2017: 19,4 Tage x 75%= 15 Tage Annahme
</t>
        </r>
      </text>
    </comment>
    <comment ref="S21" authorId="4" shapeId="0" xr:uid="{93E3F535-5187-4757-AB2B-755CE01E220D}">
      <text>
        <r>
          <rPr>
            <b/>
            <sz val="9"/>
            <color indexed="81"/>
            <rFont val="Tahoma"/>
            <family val="2"/>
          </rPr>
          <t>Admin:</t>
        </r>
        <r>
          <rPr>
            <sz val="9"/>
            <color indexed="81"/>
            <rFont val="Tahoma"/>
            <family val="2"/>
          </rPr>
          <t xml:space="preserve">
Schulstunden sind abzuziehen!</t>
        </r>
      </text>
    </comment>
    <comment ref="D23" authorId="4" shapeId="0" xr:uid="{7DBA98C1-06F4-4539-9568-621BFBB73133}">
      <text>
        <r>
          <rPr>
            <b/>
            <sz val="9"/>
            <color indexed="81"/>
            <rFont val="Tahoma"/>
            <family val="2"/>
          </rPr>
          <t>Admin:</t>
        </r>
        <r>
          <rPr>
            <sz val="9"/>
            <color indexed="81"/>
            <rFont val="Tahoma"/>
            <family val="2"/>
          </rPr>
          <t xml:space="preserve">
</t>
        </r>
        <r>
          <rPr>
            <u/>
            <sz val="9"/>
            <color indexed="81"/>
            <rFont val="Tahoma"/>
            <family val="2"/>
          </rPr>
          <t>Achtung:</t>
        </r>
        <r>
          <rPr>
            <sz val="9"/>
            <color indexed="81"/>
            <rFont val="Tahoma"/>
            <family val="2"/>
          </rPr>
          <t xml:space="preserve"> bei der Berechnung von verkaufbaren Stunden im Falle von </t>
        </r>
        <r>
          <rPr>
            <u val="double"/>
            <sz val="9"/>
            <color indexed="81"/>
            <rFont val="Tahoma"/>
            <family val="2"/>
          </rPr>
          <t>mehreren Mitarbeitern</t>
        </r>
        <r>
          <rPr>
            <sz val="9"/>
            <color indexed="81"/>
            <rFont val="Tahoma"/>
            <family val="2"/>
          </rPr>
          <t xml:space="preserve"> steht eine Zusatztabelle zur Verfügung! s.u.1b)</t>
        </r>
      </text>
    </comment>
    <comment ref="C26" authorId="4" shapeId="0" xr:uid="{39CF77AC-A703-45C2-94DD-53A4E30DC2F6}">
      <text>
        <r>
          <rPr>
            <b/>
            <sz val="9"/>
            <color indexed="81"/>
            <rFont val="Tahoma"/>
            <family val="2"/>
          </rPr>
          <t>Admin:</t>
        </r>
        <r>
          <rPr>
            <sz val="9"/>
            <color indexed="81"/>
            <rFont val="Tahoma"/>
            <family val="2"/>
          </rPr>
          <t xml:space="preserve">
Sofern mehrer produktive Mitarbeiter tätig sind, muss eine durchschnittliche Auslastung ermitteln werden. Die so errechneten Stunden sind in der Formel der Gesamtkalkulation zu berücksichtigen. </t>
        </r>
        <r>
          <rPr>
            <i/>
            <sz val="9"/>
            <color indexed="81"/>
            <rFont val="Tahoma"/>
            <family val="2"/>
          </rPr>
          <t>(Austausch bei Bedarf  nach Anleitung!!)</t>
        </r>
      </text>
    </comment>
    <comment ref="E29" authorId="4" shapeId="0" xr:uid="{7D6BC61C-22E7-4747-B45F-1A81475C0E61}">
      <text>
        <r>
          <rPr>
            <b/>
            <sz val="9"/>
            <color indexed="81"/>
            <rFont val="Tahoma"/>
            <family val="2"/>
          </rPr>
          <t>Admin:</t>
        </r>
        <r>
          <rPr>
            <sz val="9"/>
            <color indexed="81"/>
            <rFont val="Tahoma"/>
            <family val="2"/>
          </rPr>
          <t xml:space="preserve">
Die Durchschnittformel ist in Hinblick auf die Anzahl der Mitarbeiter anzupassen</t>
        </r>
      </text>
    </comment>
    <comment ref="G29" authorId="4" shapeId="0" xr:uid="{82334E8B-55C8-447E-A0A0-628553B7ED52}">
      <text>
        <r>
          <rPr>
            <b/>
            <sz val="9"/>
            <color indexed="81"/>
            <rFont val="Tahoma"/>
            <family val="2"/>
          </rPr>
          <t>Admin:</t>
        </r>
        <r>
          <rPr>
            <sz val="9"/>
            <color indexed="81"/>
            <rFont val="Tahoma"/>
            <family val="2"/>
          </rPr>
          <t xml:space="preserve">
Die Durchschnittformel ist in Hinblick auf die Anzahl der Mitarbeiter anzupassen</t>
        </r>
      </text>
    </comment>
    <comment ref="I29" authorId="4" shapeId="0" xr:uid="{33642BAB-9A9A-46D5-89C6-B2152978CF6C}">
      <text>
        <r>
          <rPr>
            <b/>
            <sz val="9"/>
            <color indexed="81"/>
            <rFont val="Tahoma"/>
            <family val="2"/>
          </rPr>
          <t>Admin:</t>
        </r>
        <r>
          <rPr>
            <sz val="9"/>
            <color indexed="81"/>
            <rFont val="Tahoma"/>
            <family val="2"/>
          </rPr>
          <t xml:space="preserve">
Die Durchschnittformel ist in Hinblick auf die Anzahl der Mitarbeiter anzupassen</t>
        </r>
      </text>
    </comment>
    <comment ref="G33" authorId="4" shapeId="0" xr:uid="{2E8FC4C2-D1E7-4B09-9DC5-034E2915E0C3}">
      <text>
        <r>
          <rPr>
            <b/>
            <sz val="9"/>
            <color indexed="81"/>
            <rFont val="Tahoma"/>
            <family val="2"/>
          </rPr>
          <t>Admin:</t>
        </r>
        <r>
          <rPr>
            <sz val="9"/>
            <color indexed="81"/>
            <rFont val="Tahoma"/>
            <family val="2"/>
          </rPr>
          <t xml:space="preserve">
Im Falle der Durchschnittsberechnung ist die Formel in Zelle M40 der Gesamtkalkulation zu ändern!!</t>
        </r>
      </text>
    </comment>
    <comment ref="I33" authorId="4" shapeId="0" xr:uid="{29935154-F08A-4207-AD6A-6FE526E18E9E}">
      <text>
        <r>
          <rPr>
            <b/>
            <sz val="9"/>
            <color indexed="81"/>
            <rFont val="Tahoma"/>
            <family val="2"/>
          </rPr>
          <t>Admin:</t>
        </r>
        <r>
          <rPr>
            <sz val="9"/>
            <color indexed="81"/>
            <rFont val="Tahoma"/>
            <family val="2"/>
          </rPr>
          <t xml:space="preserve">
Im Falle einer Duirchschnittsberechnung ist die Formel in Zelle M40 der Gesamtkalkualtion zu ändern!!</t>
        </r>
      </text>
    </comment>
    <comment ref="D37" authorId="5" shapeId="0" xr:uid="{AE648EAA-E86F-485D-9A3F-7A72C949B7B4}">
      <text>
        <r>
          <rPr>
            <b/>
            <sz val="8"/>
            <color indexed="81"/>
            <rFont val="Tahoma"/>
            <family val="2"/>
          </rPr>
          <t>Anzahl der Mitarbeiter in Köpfen (unabhängig von deren Stundeneinsatz)</t>
        </r>
      </text>
    </comment>
    <comment ref="D40" authorId="5" shapeId="0" xr:uid="{B90E56A3-FA1D-408C-8DBE-5B5023CCF8E5}">
      <text>
        <r>
          <rPr>
            <b/>
            <sz val="8"/>
            <color indexed="81"/>
            <rFont val="Tahoma"/>
            <family val="2"/>
          </rPr>
          <t>Anzahl der MA in Köpfen (unabhängig von deren Stundeneinsatz)</t>
        </r>
      </text>
    </comment>
    <comment ref="D41" authorId="5" shapeId="0" xr:uid="{4328CE96-C4C6-471B-84C1-C58EC94DE52B}">
      <text>
        <r>
          <rPr>
            <b/>
            <sz val="8"/>
            <color indexed="81"/>
            <rFont val="Tahoma"/>
            <family val="2"/>
          </rPr>
          <t>Anzahl der MA in Köpfen (unabhängig von deren Stundeneinsatz)</t>
        </r>
      </text>
    </comment>
    <comment ref="D42" authorId="5" shapeId="0" xr:uid="{B763061F-5843-44D3-A9B5-14180E932104}">
      <text>
        <r>
          <rPr>
            <b/>
            <sz val="8"/>
            <color indexed="81"/>
            <rFont val="Tahoma"/>
            <family val="2"/>
          </rPr>
          <t>Anzahl der MA in Köpfen (unabhängig von deren Stundeneinsatz)</t>
        </r>
      </text>
    </comment>
    <comment ref="F42" authorId="5" shapeId="0" xr:uid="{ED6C7743-11AD-4423-8BCA-03E8B9C6384A}">
      <text>
        <r>
          <rPr>
            <b/>
            <sz val="8"/>
            <color indexed="81"/>
            <rFont val="Tahoma"/>
            <family val="2"/>
          </rPr>
          <t>stets mit 50% ansetzen: 0,5 einsetzen</t>
        </r>
      </text>
    </comment>
    <comment ref="G42" authorId="5" shapeId="0" xr:uid="{BD802F44-199C-4BE2-A2FE-442549A1D29E}">
      <text>
        <r>
          <rPr>
            <b/>
            <sz val="8"/>
            <color indexed="81"/>
            <rFont val="Tahoma"/>
            <family val="2"/>
          </rPr>
          <t>stets mit 50% ansetzen: 0,5 einsetzen</t>
        </r>
      </text>
    </comment>
    <comment ref="H42" authorId="5" shapeId="0" xr:uid="{516EE414-6519-42CE-8F78-1809025369D9}">
      <text>
        <r>
          <rPr>
            <b/>
            <sz val="8"/>
            <color indexed="81"/>
            <rFont val="Tahoma"/>
            <family val="2"/>
          </rPr>
          <t>stets mit 50% ansetzen: 0,5 einsetzen</t>
        </r>
      </text>
    </comment>
    <comment ref="D43" authorId="5" shapeId="0" xr:uid="{975B42BE-2676-4B98-BD88-AB3F8F79BB69}">
      <text>
        <r>
          <rPr>
            <b/>
            <sz val="8"/>
            <color indexed="81"/>
            <rFont val="Tahoma"/>
            <family val="2"/>
          </rPr>
          <t>Anzahl der MA in Köpfen (unabhängig von deren Stundeneinsatz)</t>
        </r>
      </text>
    </comment>
    <comment ref="F43" authorId="5" shapeId="0" xr:uid="{C34A5AAA-1702-4E90-AAE0-8EAD58BB22F6}">
      <text>
        <r>
          <rPr>
            <b/>
            <sz val="8"/>
            <color indexed="81"/>
            <rFont val="Tahoma"/>
            <family val="2"/>
          </rPr>
          <t>Bürotätigkeit ist im Sinne dieser Tabelle unproduktiv: daher 0 einsetzen</t>
        </r>
      </text>
    </comment>
    <comment ref="G43" authorId="5" shapeId="0" xr:uid="{FDA7A2D4-BBBC-4146-9CE3-C4E70E3801BA}">
      <text>
        <r>
          <rPr>
            <b/>
            <sz val="8"/>
            <color indexed="81"/>
            <rFont val="Tahoma"/>
            <family val="2"/>
          </rPr>
          <t>Bürotätigkeit ist im Sinne dieser Tabelle unproduktiv: daher 0 einsetzen</t>
        </r>
      </text>
    </comment>
    <comment ref="H43" authorId="5" shapeId="0" xr:uid="{8F353AF3-0BD6-43A3-8CC7-7D74AFA4C29D}">
      <text>
        <r>
          <rPr>
            <b/>
            <sz val="8"/>
            <color indexed="81"/>
            <rFont val="Tahoma"/>
            <family val="2"/>
          </rPr>
          <t>Bürotätigkeit ist im Sinne dieser Tabelle unproduktiv: daher 0 einsetzen</t>
        </r>
      </text>
    </comment>
    <comment ref="D44" authorId="5" shapeId="0" xr:uid="{FAAE0F69-B214-4C8F-95FA-21FCF9049022}">
      <text>
        <r>
          <rPr>
            <b/>
            <sz val="8"/>
            <color indexed="81"/>
            <rFont val="Tahoma"/>
            <family val="2"/>
          </rPr>
          <t>Anzahl der MA in Köpfen (unabhängig von deren Stundeneinsatz)</t>
        </r>
      </text>
    </comment>
    <comment ref="F44" authorId="5" shapeId="0" xr:uid="{E65AEB3C-BB7D-4B75-8554-C13326B55920}">
      <text>
        <r>
          <rPr>
            <b/>
            <sz val="8"/>
            <color indexed="81"/>
            <rFont val="Tahoma"/>
            <family val="2"/>
          </rPr>
          <t>Bürotätigkeit ist im Sinne dieser Tabelle unproduktiv: daher 0 einsetzen</t>
        </r>
      </text>
    </comment>
    <comment ref="G44" authorId="5" shapeId="0" xr:uid="{94CD0634-E542-496E-94F5-D57F9CCD75F4}">
      <text>
        <r>
          <rPr>
            <b/>
            <sz val="8"/>
            <color indexed="81"/>
            <rFont val="Tahoma"/>
            <family val="2"/>
          </rPr>
          <t>Bürotätigkeit ist im Sinne dieser Tabelle unproduktiv: daher 0 einsetzen</t>
        </r>
      </text>
    </comment>
    <comment ref="H44" authorId="5" shapeId="0" xr:uid="{34D0C5CC-1E30-4403-A424-C392A39FA4E2}">
      <text>
        <r>
          <rPr>
            <b/>
            <sz val="8"/>
            <color indexed="81"/>
            <rFont val="Tahoma"/>
            <family val="2"/>
          </rPr>
          <t>Bürotätigkeit ist im Sinne dieser Tabelle unproduktiv: daher 0 einsetzen</t>
        </r>
      </text>
    </comment>
    <comment ref="D45" authorId="5" shapeId="0" xr:uid="{81028F9D-F992-4997-8759-F3B36D773192}">
      <text>
        <r>
          <rPr>
            <b/>
            <sz val="8"/>
            <color indexed="81"/>
            <rFont val="Tahoma"/>
            <family val="2"/>
          </rPr>
          <t>Anzahl der MA in Köpfen (unabhängig von deren Stundeneinsatz)</t>
        </r>
      </text>
    </comment>
    <comment ref="F45" authorId="5" shapeId="0" xr:uid="{36801783-AFCB-4208-8BC0-42E4CD629ABF}">
      <text>
        <r>
          <rPr>
            <b/>
            <sz val="8"/>
            <color indexed="81"/>
            <rFont val="Tahoma"/>
            <family val="2"/>
          </rPr>
          <t>Teilzeitkräfte und Mini-Jobs zeitanteilig einsetzen: z.B. 0,3</t>
        </r>
      </text>
    </comment>
    <comment ref="G45" authorId="5" shapeId="0" xr:uid="{5DC4ED83-4403-46BD-B579-724A5C834342}">
      <text>
        <r>
          <rPr>
            <b/>
            <sz val="8"/>
            <color indexed="81"/>
            <rFont val="Tahoma"/>
            <family val="2"/>
          </rPr>
          <t>Teilzeitkräfte und Mini-Jobs zeitanteilig einsetzen: z.B. 0,3</t>
        </r>
      </text>
    </comment>
    <comment ref="H45" authorId="5" shapeId="0" xr:uid="{BB01A4C1-203C-4A96-B6A9-B373E639A6EE}">
      <text>
        <r>
          <rPr>
            <b/>
            <sz val="8"/>
            <color indexed="81"/>
            <rFont val="Tahoma"/>
            <family val="2"/>
          </rPr>
          <t>Teilzeitkräfte und Mini-Jobs zeitanteilig einsetzen: z.B. 0,3</t>
        </r>
      </text>
    </comment>
    <comment ref="D52" authorId="6" shapeId="0" xr:uid="{3748DB36-DB06-4092-A538-290C1801BB3E}">
      <text>
        <r>
          <rPr>
            <b/>
            <sz val="10"/>
            <color indexed="81"/>
            <rFont val="University Roman LET"/>
          </rPr>
          <t xml:space="preserve">Alle Personalnebenkosten sind unternhemensindividuell anzupassen.
</t>
        </r>
      </text>
    </comment>
    <comment ref="D55" authorId="2" shapeId="0" xr:uid="{149A8C27-DFF2-4455-8062-089514DBD707}">
      <text>
        <r>
          <rPr>
            <b/>
            <sz val="9"/>
            <color indexed="81"/>
            <rFont val="Tahoma"/>
            <family val="2"/>
          </rPr>
          <t>Adamy Rüdiger:</t>
        </r>
        <r>
          <rPr>
            <sz val="9"/>
            <color indexed="81"/>
            <rFont val="Tahoma"/>
            <family val="2"/>
          </rPr>
          <t xml:space="preserve">
Zusatz-Beitrag für Kinderlose zahlt AN alleine</t>
        </r>
      </text>
    </comment>
    <comment ref="E63" authorId="3" shapeId="0" xr:uid="{801A5FB8-EBF8-4BE4-B35C-0C22EA0F2E50}">
      <text>
        <r>
          <rPr>
            <b/>
            <sz val="9"/>
            <color indexed="81"/>
            <rFont val="Tahoma"/>
            <family val="2"/>
          </rPr>
          <t>Adamy:</t>
        </r>
        <r>
          <rPr>
            <sz val="9"/>
            <color indexed="81"/>
            <rFont val="Tahoma"/>
            <family val="2"/>
          </rPr>
          <t xml:space="preserve">
d.h. 13%KV; 15%RV;2%LoSt; 0,9%U1; 0,30U2; 1,30 UnfallV;
0,09% Insolvenzumlage</t>
        </r>
      </text>
    </comment>
    <comment ref="F65" authorId="6" shapeId="0" xr:uid="{095C4F72-0642-4CB0-B08D-C2379ECA82A6}">
      <text>
        <r>
          <rPr>
            <b/>
            <sz val="10"/>
            <color indexed="81"/>
            <rFont val="Verdana"/>
            <family val="2"/>
          </rPr>
          <t>Bitte beachten Sie die gesetzlichen Vorschriften zum Mindeslohn ( ab 1.1.2019 erhöht sich der Stundensatz von 8,84€ auf 9,19€</t>
        </r>
      </text>
    </comment>
    <comment ref="I65" authorId="6" shapeId="0" xr:uid="{74D03974-283C-4D2E-A131-618571BB9258}">
      <text>
        <r>
          <rPr>
            <sz val="10"/>
            <color indexed="81"/>
            <rFont val="Tahoma"/>
            <family val="2"/>
          </rPr>
          <t>Der Arbeitgeberanteil der Sozialbeiträge wird in diesem Tabellenblatt in Zelle D52 individuell berechnet.</t>
        </r>
      </text>
    </comment>
    <comment ref="C66" authorId="4" shapeId="0" xr:uid="{45D069CB-D85E-438B-A4CA-CA145DCAE6D8}">
      <text>
        <r>
          <rPr>
            <sz val="10"/>
            <color indexed="81"/>
            <rFont val="Verdana"/>
            <family val="2"/>
          </rPr>
          <t>Bei Einzelunternehmen bzw.Einzelinhaber kein Eintrag!</t>
        </r>
      </text>
    </comment>
    <comment ref="I66" authorId="3" shapeId="0" xr:uid="{9D8DEA5D-2904-420F-8C5F-22427084A171}">
      <text>
        <r>
          <rPr>
            <b/>
            <sz val="9"/>
            <color indexed="81"/>
            <rFont val="Tahoma"/>
            <family val="2"/>
          </rPr>
          <t>Adamy:</t>
        </r>
        <r>
          <rPr>
            <sz val="9"/>
            <color indexed="81"/>
            <rFont val="Tahoma"/>
            <family val="2"/>
          </rPr>
          <t xml:space="preserve">
Achtung: Sollte der Geschäftsführer einer GmbH "Arbeitgeberfunktion" haben, ist die Sozialversicherung (Arbeitgeberanteil) bei der GmbH nicht absetzbar! </t>
        </r>
      </text>
    </comment>
    <comment ref="C67" authorId="6" shapeId="0" xr:uid="{6CD08DCD-CB91-45B9-8006-F4873B986D6E}">
      <text>
        <r>
          <rPr>
            <sz val="10"/>
            <color indexed="81"/>
            <rFont val="Verdana"/>
            <family val="2"/>
          </rPr>
          <t>Die Benennung der Mitarbeiter ist individuell anzupassen.</t>
        </r>
        <r>
          <rPr>
            <b/>
            <sz val="10"/>
            <color indexed="81"/>
            <rFont val="Verdana"/>
            <family val="2"/>
          </rPr>
          <t xml:space="preserve">
</t>
        </r>
      </text>
    </comment>
    <comment ref="E77" authorId="3" shapeId="0" xr:uid="{BA95450E-7B13-48AA-A4F0-29A331AEFA08}">
      <text>
        <r>
          <rPr>
            <b/>
            <sz val="9"/>
            <color indexed="81"/>
            <rFont val="Tahoma"/>
            <family val="2"/>
          </rPr>
          <t>Adamy:</t>
        </r>
        <r>
          <rPr>
            <sz val="9"/>
            <color indexed="81"/>
            <rFont val="Tahoma"/>
            <family val="2"/>
          </rPr>
          <t xml:space="preserve">
Bitte beachten Sie die Dokumentationspflichten nach dem Mindestlohngesetz</t>
        </r>
      </text>
    </comment>
    <comment ref="F77" authorId="3" shapeId="0" xr:uid="{C3BFC7A5-B953-4038-A8E8-8EA1645EACDD}">
      <text>
        <r>
          <rPr>
            <b/>
            <sz val="9"/>
            <color indexed="81"/>
            <rFont val="Tahoma"/>
            <family val="2"/>
          </rPr>
          <t>Adamy:</t>
        </r>
        <r>
          <rPr>
            <sz val="9"/>
            <color indexed="81"/>
            <rFont val="Tahoma"/>
            <family val="2"/>
          </rPr>
          <t xml:space="preserve">
Der Arbeitgeber hat den AN auf die Rentenversicherungspflicht von derzeit 3,7% hinzuweisen</t>
        </r>
      </text>
    </comment>
    <comment ref="I83" authorId="6" shapeId="0" xr:uid="{C884B7E1-C667-4147-B079-34EAE58E976E}">
      <text>
        <r>
          <rPr>
            <b/>
            <sz val="10"/>
            <color indexed="81"/>
            <rFont val="Tahoma"/>
            <family val="2"/>
          </rPr>
          <t>Der Arbeitgeberanteil der Sozialbeiträge wird in diesem Tabellenblatt in Zelle D52 individuell berechnet.</t>
        </r>
      </text>
    </comment>
    <comment ref="C84" authorId="4" shapeId="0" xr:uid="{183509AF-48A7-457B-952B-39730B9B07FB}">
      <text>
        <r>
          <rPr>
            <b/>
            <sz val="10"/>
            <color indexed="81"/>
            <rFont val="Verdana"/>
            <family val="2"/>
          </rPr>
          <t>Bei Einzelunternehmen bzw.Einzelinhaber kein Eintrag!</t>
        </r>
      </text>
    </comment>
    <comment ref="C85" authorId="6" shapeId="0" xr:uid="{39B2E673-AB77-42B0-8B2A-34593D8F4665}">
      <text>
        <r>
          <rPr>
            <b/>
            <sz val="10"/>
            <color indexed="81"/>
            <rFont val="Verdana"/>
            <family val="2"/>
          </rPr>
          <t xml:space="preserve">Die Benennung der Mitarbeiter ist individuell anzupassen.
</t>
        </r>
      </text>
    </comment>
    <comment ref="I101" authorId="6" shapeId="0" xr:uid="{290ADFF8-2471-4473-8222-93E03AB8B833}">
      <text>
        <r>
          <rPr>
            <b/>
            <sz val="10"/>
            <color indexed="81"/>
            <rFont val="Tahoma"/>
            <family val="2"/>
          </rPr>
          <t>Der Arbeitgeberanteil der Sozialbeiträge wird in diesem Tabellenblatt in Zelle D52 individuell berechnet.</t>
        </r>
      </text>
    </comment>
    <comment ref="C102" authorId="4" shapeId="0" xr:uid="{F2268811-6CF6-4925-81D0-4D86FF0B6247}">
      <text>
        <r>
          <rPr>
            <b/>
            <sz val="10"/>
            <color indexed="81"/>
            <rFont val="Verdana"/>
            <family val="2"/>
          </rPr>
          <t>Bei Einzelunternehmen bzw.Einzelinhaber kein Eintrag!</t>
        </r>
      </text>
    </comment>
    <comment ref="C103" authorId="6" shapeId="0" xr:uid="{CF894822-6B77-4BF2-984A-5311158658A9}">
      <text>
        <r>
          <rPr>
            <b/>
            <sz val="10"/>
            <color indexed="81"/>
            <rFont val="Verdana"/>
            <family val="2"/>
          </rPr>
          <t xml:space="preserve">Die Benennung der Mitarbeiter ist individuell anzupassen.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I21" authorId="0" shapeId="0" xr:uid="{4C028470-3F2D-4F66-A465-482E6600EFD3}">
      <text>
        <r>
          <rPr>
            <b/>
            <sz val="9"/>
            <color indexed="81"/>
            <rFont val="Tahoma"/>
            <family val="2"/>
          </rPr>
          <t>Admin:</t>
        </r>
        <r>
          <rPr>
            <sz val="9"/>
            <color indexed="81"/>
            <rFont val="Tahoma"/>
            <family val="2"/>
          </rPr>
          <t xml:space="preserve">
Schulstunden sind abzuziehen!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ADAMY Rüdiger</author>
    <author>Rechner</author>
    <author>Rüdiger Adamy</author>
    <author>Admin</author>
    <author>infinitas bei hannoverimpuls</author>
  </authors>
  <commentList>
    <comment ref="O2" authorId="0" shapeId="0" xr:uid="{34601823-C006-4886-B31E-6B40AFA5FAED}">
      <text>
        <r>
          <rPr>
            <b/>
            <sz val="10"/>
            <color indexed="81"/>
            <rFont val="Verdana"/>
            <family val="2"/>
          </rPr>
          <t>Verkaufspreise= WE+Spanne</t>
        </r>
      </text>
    </comment>
    <comment ref="R2" authorId="0" shapeId="0" xr:uid="{EE82F18E-31B5-4156-BEA7-C3D0048EC1D0}">
      <text>
        <r>
          <rPr>
            <b/>
            <sz val="10"/>
            <color indexed="81"/>
            <rFont val="Verdana"/>
            <family val="2"/>
          </rPr>
          <t>Verkaufspreise= WE+Spanne</t>
        </r>
      </text>
    </comment>
    <comment ref="U2" authorId="0" shapeId="0" xr:uid="{B7D05ABF-C06F-4957-BBA9-3A458339DAAC}">
      <text>
        <r>
          <rPr>
            <b/>
            <sz val="10"/>
            <color indexed="81"/>
            <rFont val="Verdana"/>
            <family val="2"/>
          </rPr>
          <t>Verkaufspreise= WE+Spanne</t>
        </r>
      </text>
    </comment>
    <comment ref="X2" authorId="0" shapeId="0" xr:uid="{0E5D2909-A901-4366-8CEB-84EF414E56A0}">
      <text>
        <r>
          <rPr>
            <b/>
            <sz val="10"/>
            <color indexed="81"/>
            <rFont val="Verdana"/>
            <family val="2"/>
          </rPr>
          <t>Verkaufspreise= WE+Spanne</t>
        </r>
      </text>
    </comment>
    <comment ref="N3" authorId="1" shapeId="0" xr:uid="{F6E078BC-CEBC-4387-84FF-18B692E078D6}">
      <text>
        <r>
          <rPr>
            <b/>
            <sz val="10"/>
            <color indexed="81"/>
            <rFont val="Verdana"/>
            <family val="2"/>
          </rPr>
          <t>Aufschläge= Kosten+Afa+Gewinnx100, geteilt durch Wareneinsatz</t>
        </r>
      </text>
    </comment>
    <comment ref="Q3" authorId="2" shapeId="0" xr:uid="{882B73C9-4CB6-49A4-897E-D877310A0071}">
      <text>
        <r>
          <rPr>
            <b/>
            <sz val="10"/>
            <color indexed="81"/>
            <rFont val="Verdana"/>
            <family val="2"/>
          </rPr>
          <t>Aufschläge= Kosten+Afa+Gewinnx100, geteilt durch Wareneinsatz</t>
        </r>
      </text>
    </comment>
    <comment ref="T3" authorId="1" shapeId="0" xr:uid="{46A70E6E-2700-4B3F-A4B6-F4FE898BFA04}">
      <text>
        <r>
          <rPr>
            <b/>
            <sz val="10"/>
            <color indexed="81"/>
            <rFont val="Verdana"/>
            <family val="2"/>
          </rPr>
          <t>Aufschläge= Kosten+Afa+Gewinnx100, geteilt durch Wareneinsatz</t>
        </r>
      </text>
    </comment>
    <comment ref="M11" authorId="3" shapeId="0" xr:uid="{ACCE7B66-0F51-40B4-A00C-F643F9536CD0}">
      <text>
        <r>
          <rPr>
            <b/>
            <sz val="9"/>
            <color indexed="81"/>
            <rFont val="Tahoma"/>
            <family val="2"/>
          </rPr>
          <t>Admin:</t>
        </r>
        <r>
          <rPr>
            <sz val="9"/>
            <color indexed="81"/>
            <rFont val="Tahoma"/>
            <family val="2"/>
          </rPr>
          <t xml:space="preserve">
Rohaufschlag</t>
        </r>
      </text>
    </comment>
    <comment ref="G32" authorId="4" shapeId="0" xr:uid="{DFFF5251-859E-4EA8-87AE-15AB21970853}">
      <text>
        <r>
          <rPr>
            <b/>
            <sz val="10"/>
            <color indexed="81"/>
            <rFont val="Verdana"/>
            <family val="2"/>
          </rPr>
          <t>Hier wird automatisch der kalkulatorisch notwendige Stundensatz eingetragen. Sie können aber auch den Blattschutz aufheben und per Hand den Vergleichsstundensatz aus der Markterkundung eintragen.</t>
        </r>
      </text>
    </comment>
    <comment ref="D48" authorId="3" shapeId="0" xr:uid="{532481A7-E8F4-4D15-A5BB-060B77B6266C}">
      <text>
        <r>
          <rPr>
            <b/>
            <sz val="9"/>
            <color indexed="81"/>
            <rFont val="Tahoma"/>
            <family val="2"/>
          </rPr>
          <t>Admin:</t>
        </r>
        <r>
          <rPr>
            <sz val="9"/>
            <color indexed="81"/>
            <rFont val="Tahoma"/>
            <family val="2"/>
          </rPr>
          <t xml:space="preserve">
Getränke werden an einer anderen Stelle kalkuliert. Hier sind sie (bereits kalkuliert) Teil des Menues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Admin</author>
    <author>infinitas bei hannoverimpuls</author>
    <author>Rechner</author>
  </authors>
  <commentList>
    <comment ref="F3" authorId="0" shapeId="0" xr:uid="{FF784AEE-0A6F-4113-ADAC-C584A6E34087}">
      <text>
        <r>
          <rPr>
            <b/>
            <sz val="10"/>
            <color indexed="81"/>
            <rFont val="Verdana"/>
            <family val="2"/>
          </rPr>
          <t>Denkbar sind für einzelne Schritte unterschiedliche Stundensätze oder den kalkulatorisch notwendigen Durchschnittssatz, der zunächst automatisch übernommen wird. Dieser kann von Ihnen aber überschrieben werden.</t>
        </r>
      </text>
    </comment>
    <comment ref="D18" authorId="0" shapeId="0" xr:uid="{9163AA74-0DC8-41AC-8F66-96F416037A4C}">
      <text>
        <r>
          <rPr>
            <b/>
            <sz val="10"/>
            <color indexed="81"/>
            <rFont val="Verdana"/>
            <family val="2"/>
          </rPr>
          <t>Stellen Sie den Produktionsfortschritt in Einzelschritten dar und ermitteln den jeweiligen Zeitbedarf!</t>
        </r>
      </text>
    </comment>
    <comment ref="F26" authorId="1" shapeId="0" xr:uid="{5EA8E796-3279-4963-AFB7-8F40776708ED}">
      <text>
        <r>
          <rPr>
            <b/>
            <sz val="10"/>
            <color indexed="81"/>
            <rFont val="Verdana"/>
            <family val="2"/>
          </rPr>
          <t>Hier können Sie den kalkulatorisch notwendigen Stundensatz oder den Vergleichsstundensatz aus der Markterkundung eintragen</t>
        </r>
      </text>
    </comment>
    <comment ref="H54" authorId="2" shapeId="0" xr:uid="{23A40606-7456-4687-9C66-30E23F19B292}">
      <text>
        <r>
          <rPr>
            <b/>
            <sz val="10"/>
            <color indexed="81"/>
            <rFont val="Tahoma"/>
            <family val="2"/>
          </rPr>
          <t>Der Mehrwertsteuersatz wird automatisch aus dem Tabellenblatt Deckblatt übernommen.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ADAMY Rüdiger</author>
    <author>Rechner</author>
    <author>Rüdiger Adamy</author>
  </authors>
  <commentList>
    <comment ref="E4" authorId="0" shapeId="0" xr:uid="{47BB02B1-4C4F-41C0-9F27-8B66839399A3}">
      <text>
        <r>
          <rPr>
            <b/>
            <sz val="10"/>
            <color indexed="81"/>
            <rFont val="Verdana"/>
            <family val="2"/>
          </rPr>
          <t>Verkaufspreise= WE+Spanne</t>
        </r>
      </text>
    </comment>
    <comment ref="H4" authorId="0" shapeId="0" xr:uid="{835E12E4-1E01-4370-AA67-B4ABCC701D11}">
      <text>
        <r>
          <rPr>
            <b/>
            <sz val="10"/>
            <color indexed="81"/>
            <rFont val="Verdana"/>
            <family val="2"/>
          </rPr>
          <t>Verkaufspreise= WE+Spanne</t>
        </r>
      </text>
    </comment>
    <comment ref="K4" authorId="0" shapeId="0" xr:uid="{9CB0A91E-2AFB-4B43-AD26-A244882AE4A1}">
      <text>
        <r>
          <rPr>
            <b/>
            <sz val="10"/>
            <color indexed="81"/>
            <rFont val="Verdana"/>
            <family val="2"/>
          </rPr>
          <t>Verkaufspreise= WE+Spanne</t>
        </r>
      </text>
    </comment>
    <comment ref="D5" authorId="1" shapeId="0" xr:uid="{CE26FA8E-6475-49A3-A80B-B240486E459A}">
      <text>
        <r>
          <rPr>
            <b/>
            <sz val="10"/>
            <color indexed="81"/>
            <rFont val="Verdana"/>
            <family val="2"/>
          </rPr>
          <t>Aufschläge= Kosten+Afa+Gewinnx100, geteilt durch Wareneinsatz</t>
        </r>
      </text>
    </comment>
    <comment ref="G5" authorId="2" shapeId="0" xr:uid="{A5039D7C-4C9C-4F26-89A1-36FDC47593E1}">
      <text>
        <r>
          <rPr>
            <b/>
            <sz val="10"/>
            <color indexed="81"/>
            <rFont val="Verdana"/>
            <family val="2"/>
          </rPr>
          <t>Aufschläge= Kosten+Afa+Gewinnx100, geteilt durch Wareneinsatz</t>
        </r>
      </text>
    </comment>
    <comment ref="J5" authorId="1" shapeId="0" xr:uid="{AE412C72-77A9-4E54-9C5B-BDBBA624058E}">
      <text>
        <r>
          <rPr>
            <b/>
            <sz val="10"/>
            <color indexed="81"/>
            <rFont val="Verdana"/>
            <family val="2"/>
          </rPr>
          <t>Aufschläge= Kosten+Afa+Gewinnx100, geteilt durch Wareneinsatz</t>
        </r>
      </text>
    </comment>
    <comment ref="D22" authorId="1" shapeId="0" xr:uid="{0320A140-976D-462A-9E9E-4A351D0CFFEA}">
      <text>
        <r>
          <rPr>
            <b/>
            <sz val="9"/>
            <color indexed="81"/>
            <rFont val="Tahoma"/>
            <family val="2"/>
          </rPr>
          <t>Der kalkulatorisch notwendige Aufschlag wird automatisch aus der vorhergehenden Kalkulation übernommen.</t>
        </r>
      </text>
    </comment>
    <comment ref="G22" authorId="1" shapeId="0" xr:uid="{E7722FBC-458E-4906-BCAA-0065D801886E}">
      <text>
        <r>
          <rPr>
            <b/>
            <sz val="10"/>
            <color indexed="81"/>
            <rFont val="Verdana"/>
            <family val="2"/>
          </rPr>
          <t>Der kalkulatorisch notwendige Aufschlag wird automatisch aus der vorhergehenden Kalkulation übernommen.</t>
        </r>
      </text>
    </comment>
    <comment ref="J22" authorId="1" shapeId="0" xr:uid="{29045B87-C783-4528-8FC1-E8A7591E2571}">
      <text>
        <r>
          <rPr>
            <b/>
            <sz val="10"/>
            <color indexed="81"/>
            <rFont val="Verdana"/>
            <family val="2"/>
          </rPr>
          <t>Der kalkulatorisch notwendige Aufschlag wird automatisch aus der vorhergehenden Kalkulation übernommen.</t>
        </r>
      </text>
    </comment>
    <comment ref="B44" authorId="1" shapeId="0" xr:uid="{D9CBFE5B-B62F-4D6E-A9EB-EDAD63341416}">
      <text>
        <r>
          <rPr>
            <b/>
            <sz val="10"/>
            <color indexed="81"/>
            <rFont val="Tahoma"/>
            <family val="2"/>
          </rPr>
          <t>Tragen Sie hier die Vergleichspreise Ihrer Wetbewerber ein.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Admin</author>
    <author>ADAMY Rüdiger</author>
    <author>Adamy</author>
    <author>Rechner</author>
  </authors>
  <commentList>
    <comment ref="K1" authorId="0" shapeId="0" xr:uid="{42D93D5A-6DAB-4F82-B513-52130601B1B7}">
      <text>
        <r>
          <rPr>
            <b/>
            <sz val="9"/>
            <color indexed="81"/>
            <rFont val="Tahoma"/>
            <family val="2"/>
          </rPr>
          <t>Admin:</t>
        </r>
        <r>
          <rPr>
            <sz val="9"/>
            <color indexed="81"/>
            <rFont val="Tahoma"/>
            <family val="2"/>
          </rPr>
          <t xml:space="preserve">
Schalter für Jahreswert des Aufschlage;                       1=1. Planungsjahr
2=2. Planungsjahr
3=3. Planungsjahr </t>
        </r>
      </text>
    </comment>
    <comment ref="E3" authorId="1" shapeId="0" xr:uid="{11A73D67-9653-430C-97F0-BC45387D7247}">
      <text>
        <r>
          <rPr>
            <b/>
            <sz val="10"/>
            <color indexed="81"/>
            <rFont val="Verdana"/>
            <family val="2"/>
          </rPr>
          <t>Verkaufspreise= WE+Spanne</t>
        </r>
      </text>
    </comment>
    <comment ref="H3" authorId="1" shapeId="0" xr:uid="{8420F4B4-B55A-4A20-90D3-D917CE4078E9}">
      <text>
        <r>
          <rPr>
            <b/>
            <sz val="10"/>
            <color indexed="81"/>
            <rFont val="Verdana"/>
            <family val="2"/>
          </rPr>
          <t>Verkaufspreise= WE+Spanne</t>
        </r>
      </text>
    </comment>
    <comment ref="K3" authorId="1" shapeId="0" xr:uid="{FA85EE32-2775-4A40-AB4D-F3AB7A5CC0B0}">
      <text>
        <r>
          <rPr>
            <b/>
            <sz val="10"/>
            <color indexed="81"/>
            <rFont val="Verdana"/>
            <family val="2"/>
          </rPr>
          <t>Verkaufspreise= WE+Spanne</t>
        </r>
      </text>
    </comment>
    <comment ref="Q3" authorId="2" shapeId="0" xr:uid="{AB538111-5D3E-45B1-A5C6-6DBBB611DA27}">
      <text>
        <r>
          <rPr>
            <b/>
            <sz val="9"/>
            <color indexed="81"/>
            <rFont val="Tahoma"/>
            <family val="2"/>
          </rPr>
          <t>Adamy:</t>
        </r>
        <r>
          <rPr>
            <sz val="9"/>
            <color indexed="81"/>
            <rFont val="Tahoma"/>
            <family val="2"/>
          </rPr>
          <t xml:space="preserve">
3 Warengruppen: Geschenkartikel, Gürtel, Taschen</t>
        </r>
      </text>
    </comment>
    <comment ref="D6" authorId="3" shapeId="0" xr:uid="{C386FE04-D1C7-41A8-97C2-4C8CB2008FD6}">
      <text>
        <r>
          <rPr>
            <b/>
            <sz val="10"/>
            <color indexed="81"/>
            <rFont val="Verdana"/>
            <family val="2"/>
          </rPr>
          <t>Aufschläge= Kosten+Afa+Gewinnx100, geteilt durch Wareneinsatz</t>
        </r>
      </text>
    </comment>
    <comment ref="G6" authorId="3" shapeId="0" xr:uid="{16EB7B50-A59D-4DA8-82A5-9B6ABAEF7670}">
      <text>
        <r>
          <rPr>
            <b/>
            <sz val="10"/>
            <color indexed="81"/>
            <rFont val="Verdana"/>
            <family val="2"/>
          </rPr>
          <t>Aufschläge= Kosten+Afa+Gewinnx100, geteilt durch Wareneinsatz</t>
        </r>
      </text>
    </comment>
    <comment ref="J6" authorId="3" shapeId="0" xr:uid="{6AC2CE04-639A-406D-8847-40112FECF331}">
      <text>
        <r>
          <rPr>
            <b/>
            <sz val="10"/>
            <color indexed="81"/>
            <rFont val="Verdana"/>
            <family val="2"/>
          </rPr>
          <t>Aufschläge= Kosten+Afa+Gewinnx100, geteilt durch Wareneinsatz</t>
        </r>
      </text>
    </comment>
    <comment ref="F12" authorId="0" shapeId="0" xr:uid="{22456C24-9447-48F6-B9B3-DDF5C7F2F35F}">
      <text>
        <r>
          <rPr>
            <b/>
            <sz val="9"/>
            <color indexed="81"/>
            <rFont val="Tahoma"/>
            <family val="2"/>
          </rPr>
          <t>Admin:</t>
        </r>
        <r>
          <rPr>
            <sz val="9"/>
            <color indexed="81"/>
            <rFont val="Tahoma"/>
            <family val="2"/>
          </rPr>
          <t xml:space="preserve">
</t>
        </r>
        <r>
          <rPr>
            <u/>
            <sz val="9"/>
            <color indexed="81"/>
            <rFont val="Tahoma"/>
            <family val="2"/>
          </rPr>
          <t xml:space="preserve">Achtung: </t>
        </r>
        <r>
          <rPr>
            <sz val="9"/>
            <color indexed="81"/>
            <rFont val="Tahoma"/>
            <family val="2"/>
          </rPr>
          <t>Einstandspreis der jeweiligen Jahre einsetzen</t>
        </r>
      </text>
    </comment>
    <comment ref="Q18" authorId="2" shapeId="0" xr:uid="{0D6ED1F9-C0CB-4C81-9474-9544D6A1666E}">
      <text>
        <r>
          <rPr>
            <b/>
            <sz val="9"/>
            <color indexed="81"/>
            <rFont val="Tahoma"/>
            <family val="2"/>
          </rPr>
          <t>Adamy:</t>
        </r>
        <r>
          <rPr>
            <sz val="9"/>
            <color indexed="81"/>
            <rFont val="Tahoma"/>
            <family val="2"/>
          </rPr>
          <t xml:space="preserve">
Zahlen werden dem Controllingergebnis 20.. entnommen</t>
        </r>
      </text>
    </comment>
    <comment ref="G25" authorId="3" shapeId="0" xr:uid="{68E7C022-926B-472D-ADC4-00374AF72914}">
      <text>
        <r>
          <rPr>
            <b/>
            <sz val="10"/>
            <color indexed="81"/>
            <rFont val="Verdana"/>
            <family val="2"/>
          </rPr>
          <t>Der kalkulatorisch notwendige Aufschlag wird automatisch aus der vorhergehenden Kalkulation übernommen.</t>
        </r>
      </text>
    </comment>
    <comment ref="I26" authorId="2" shapeId="0" xr:uid="{E1DD9FDA-CC66-4614-96DA-1D1416995CF7}">
      <text>
        <r>
          <rPr>
            <b/>
            <sz val="9"/>
            <color indexed="81"/>
            <rFont val="Tahoma"/>
            <family val="2"/>
          </rPr>
          <t>Adamy:</t>
        </r>
        <r>
          <rPr>
            <sz val="9"/>
            <color indexed="81"/>
            <rFont val="Tahoma"/>
            <family val="2"/>
          </rPr>
          <t xml:space="preserve">
Angenommene Rabatte</t>
        </r>
      </text>
    </comment>
    <comment ref="J26" authorId="2" shapeId="0" xr:uid="{A5E276B0-D7E9-4292-8069-9466D5B3BBEA}">
      <text>
        <r>
          <rPr>
            <b/>
            <sz val="9"/>
            <color indexed="81"/>
            <rFont val="Tahoma"/>
            <family val="2"/>
          </rPr>
          <t>Adamy:</t>
        </r>
        <r>
          <rPr>
            <sz val="9"/>
            <color indexed="81"/>
            <rFont val="Tahoma"/>
            <family val="2"/>
          </rPr>
          <t xml:space="preserve">
Angenommene Rabatte</t>
        </r>
      </text>
    </comment>
    <comment ref="L35" authorId="2" shapeId="0" xr:uid="{AF315C5C-E5A6-4274-AFB3-9BF8BC376BFA}">
      <text>
        <r>
          <rPr>
            <b/>
            <sz val="9"/>
            <color indexed="81"/>
            <rFont val="Tahoma"/>
            <family val="2"/>
          </rPr>
          <t>Adamy:</t>
        </r>
        <r>
          <rPr>
            <sz val="9"/>
            <color indexed="81"/>
            <rFont val="Tahoma"/>
            <family val="2"/>
          </rPr>
          <t xml:space="preserve">
Ein Durchschnitt aus den 3 Kundengruppen ist nicht gebildet, da ein gleich-großer Umsatzanteil aller Gruppen nicht anzunehmen ist: die derzeitige Verteilung beträgt: A    %/B     %/ C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Rechner</author>
  </authors>
  <commentList>
    <comment ref="B7" authorId="0" shapeId="0" xr:uid="{5A035365-9EB5-4959-908B-2686AB53EF8A}">
      <text>
        <r>
          <rPr>
            <b/>
            <sz val="10"/>
            <color indexed="81"/>
            <rFont val="Tahoma"/>
            <family val="2"/>
          </rPr>
          <t>Tragen Sie hier die einzelnen Leistungen bzw. Arbeitsschritte sowie deren Dauer in Stunden ein.</t>
        </r>
      </text>
    </comment>
    <comment ref="D7" authorId="0" shapeId="0" xr:uid="{4CE3B0BF-48B4-4360-857E-A4D35676E772}">
      <text>
        <r>
          <rPr>
            <b/>
            <sz val="10"/>
            <color indexed="81"/>
            <rFont val="Verdana"/>
            <family val="2"/>
          </rPr>
          <t>Dieses ist der Stundenverkaufssatz aus dem Tabellenblatt GuV 1.Jahr</t>
        </r>
      </text>
    </comment>
    <comment ref="F7" authorId="0" shapeId="0" xr:uid="{79A88A8A-7CA3-4318-9E3B-5C94976155D6}">
      <text>
        <r>
          <rPr>
            <b/>
            <sz val="10"/>
            <color indexed="81"/>
            <rFont val="Verdana"/>
            <family val="2"/>
          </rPr>
          <t>Dieses ist der Stundenverkaufssatz aus dem Tabellenblatt GuV 2.Jahr</t>
        </r>
      </text>
    </comment>
    <comment ref="H7" authorId="0" shapeId="0" xr:uid="{2CD6BAC1-49F8-4212-BBF0-C04D1126E219}">
      <text>
        <r>
          <rPr>
            <b/>
            <sz val="10"/>
            <color indexed="81"/>
            <rFont val="Verdana"/>
            <family val="2"/>
          </rPr>
          <t>Dieses ist der Stundenverkaufssatz aus dem Tabellenblatt GuV 3.Jahr</t>
        </r>
      </text>
    </comment>
    <comment ref="C21" authorId="0" shapeId="0" xr:uid="{562610DB-3695-404B-A597-B4D4A9B491AF}">
      <text>
        <r>
          <rPr>
            <b/>
            <sz val="9"/>
            <color indexed="81"/>
            <rFont val="Tahoma"/>
            <family val="2"/>
          </rPr>
          <t>Der Mehrwertsteuersatz wird automatisch aus dem Tabellenblatt Deckblatt übernommen.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infinitas bei hannoverimpuls</author>
    <author>Admin</author>
  </authors>
  <commentList>
    <comment ref="B10" authorId="0" shapeId="0" xr:uid="{4BF9F98B-26BA-4042-AD6F-C25E82592CE1}">
      <text>
        <r>
          <rPr>
            <b/>
            <sz val="8"/>
            <color indexed="81"/>
            <rFont val="Tahoma"/>
            <family val="2"/>
          </rPr>
          <t>Dieser Wert wird automatisch aus dem Tabellenblatt  Ertragsvorschau 1. Jahr übernommen.</t>
        </r>
      </text>
    </comment>
    <comment ref="B11" authorId="0" shapeId="0" xr:uid="{9F899403-ED0E-43DF-9305-4DD35B33A2A8}">
      <text>
        <r>
          <rPr>
            <b/>
            <sz val="8"/>
            <color indexed="81"/>
            <rFont val="Tahoma"/>
            <family val="2"/>
          </rPr>
          <t>Hier können Sie  unterschiedliche Prozentsätze vom kalkulatorisch notwendigen Stundensatz eingeben</t>
        </r>
        <r>
          <rPr>
            <b/>
            <i/>
            <sz val="8"/>
            <color indexed="81"/>
            <rFont val="Tahoma"/>
            <family val="2"/>
          </rPr>
          <t>, (oder auch freigewählte Stundensätze) um</t>
        </r>
        <r>
          <rPr>
            <b/>
            <sz val="8"/>
            <color indexed="81"/>
            <rFont val="Tahoma"/>
            <family val="2"/>
          </rPr>
          <t xml:space="preserve">  alternative Stundensätze zu ermitteln.</t>
        </r>
      </text>
    </comment>
    <comment ref="B12" authorId="0" shapeId="0" xr:uid="{12A21B79-1B0A-4D68-9335-251241611A94}">
      <text>
        <r>
          <rPr>
            <b/>
            <sz val="8"/>
            <color indexed="81"/>
            <rFont val="Tahoma"/>
            <family val="2"/>
          </rPr>
          <t>Bitte achten Sie darauf, dass Sie Ihren Mindeststundensatz nicht unterschreiten! Diesen können Sie im Tabellenblatt Ertragsv. 1.Jahr Zelle M40 ablesen!</t>
        </r>
      </text>
    </comment>
    <comment ref="B14" authorId="0" shapeId="0" xr:uid="{B6E1ABC2-98C9-4067-87EE-3C32A6011A9B}">
      <text>
        <r>
          <rPr>
            <b/>
            <sz val="8"/>
            <color indexed="81"/>
            <rFont val="Tahoma"/>
            <family val="2"/>
          </rPr>
          <t>Dieser Vergleichswert wird automatisch aus dem Tabellenblatt Einzelkalkulation Handwerk übernommen.</t>
        </r>
      </text>
    </comment>
    <comment ref="B21" authorId="0" shapeId="0" xr:uid="{3CD5BFC7-6E7E-4126-A4A2-CC829AF09AE0}">
      <text>
        <r>
          <rPr>
            <b/>
            <sz val="8"/>
            <color indexed="81"/>
            <rFont val="Tahoma"/>
            <family val="2"/>
          </rPr>
          <t>Wählen Sie für das Produkt 1 einen Stundensatz aus der origen Tabelle aus, mit dem Sie kalkulieren möchten. Geben Sie eine Zahl zwischen 1 und 6 ein.</t>
        </r>
      </text>
    </comment>
    <comment ref="F21" authorId="0" shapeId="0" xr:uid="{C1D0D61E-3DDF-404D-A5FD-247D73DC6FB5}">
      <text>
        <r>
          <rPr>
            <b/>
            <sz val="8"/>
            <color indexed="81"/>
            <rFont val="Tahoma"/>
            <family val="2"/>
          </rPr>
          <t>Wählen Sie für das Produkt 2 einen Stundensatz aus der origen Tabelle aus, mit dem Sie kalkulieren möchten. Geben Sie eine Zahl zwischen 1 und 6 ein</t>
        </r>
      </text>
    </comment>
    <comment ref="B22" authorId="0" shapeId="0" xr:uid="{5EABC4E7-BC8A-4EF3-BD54-B2B7C90EDDA6}">
      <text>
        <r>
          <rPr>
            <b/>
            <sz val="8"/>
            <color indexed="81"/>
            <rFont val="Tahoma"/>
            <family val="2"/>
          </rPr>
          <t>Hier werden die einzelnen Arbeitsschritte des Produktes eingetragen (siehe auch Einzelkalkulation). In der Spalte rechts davon können die Zeitanteile vermerkt werden. Unten werden danach Preise errechnet. (Stundensatz x Zeitbedarf laut  Liste).</t>
        </r>
      </text>
    </comment>
    <comment ref="C22" authorId="1" shapeId="0" xr:uid="{20EFE476-38AC-4483-A7EC-52005B03DF80}">
      <text>
        <r>
          <rPr>
            <b/>
            <sz val="9"/>
            <color indexed="81"/>
            <rFont val="Tahoma"/>
            <family val="2"/>
          </rPr>
          <t>Admin:</t>
        </r>
        <r>
          <rPr>
            <sz val="9"/>
            <color indexed="81"/>
            <rFont val="Tahoma"/>
            <family val="2"/>
          </rPr>
          <t xml:space="preserve">
Die Stunden pro Arbeitsschritt werden mit der Anzahl der beteiligten Personen multipliziert</t>
        </r>
      </text>
    </comment>
    <comment ref="F22" authorId="0" shapeId="0" xr:uid="{DF5EF483-05DE-4C6B-A48A-4B78AA5A8BB7}">
      <text>
        <r>
          <rPr>
            <b/>
            <sz val="8"/>
            <color indexed="81"/>
            <rFont val="Tahoma"/>
            <family val="2"/>
          </rPr>
          <t>Hier werden die einzelnen Arbeitsschritte des Produktes eingetragen (siehe auch Einzelkalkulation). In der Spalte rechts davon können die Zeitanteile vermerkt werden. Unten werden danach Preise errechnet. (Stundensatz x Zeitbedarf laut  Liste).</t>
        </r>
      </text>
    </comment>
    <comment ref="H22" authorId="1" shapeId="0" xr:uid="{BBA62612-8D52-4B2A-B3BA-2FD43EBED913}">
      <text>
        <r>
          <rPr>
            <b/>
            <sz val="9"/>
            <color indexed="81"/>
            <rFont val="Tahoma"/>
            <family val="2"/>
          </rPr>
          <t>Admin:</t>
        </r>
        <r>
          <rPr>
            <sz val="9"/>
            <color indexed="81"/>
            <rFont val="Tahoma"/>
            <family val="2"/>
          </rPr>
          <t xml:space="preserve">
Die Stunden pro Arbeitsschritt werden mit der Anzahl der beteiligten Personen multipliziert</t>
        </r>
      </text>
    </comment>
    <comment ref="K22" authorId="0" shapeId="0" xr:uid="{4D3BB8E4-0D3A-4A80-8867-E00F8D07A8BC}">
      <text>
        <r>
          <rPr>
            <b/>
            <sz val="8"/>
            <color indexed="81"/>
            <rFont val="Tahoma"/>
            <family val="2"/>
          </rPr>
          <t>Hier werden die einzelnen Arbeitsschritte des Produktes eingetragen (siehe auch Einzelkalkulation). In den Spalten rechts davon tragen Sie die einzelnen Stundensätze je Arbeitsschritt und die Zeitanteile je Arbeitsschritt ein. Unten werden danach Preise errechnet. (Stundensatz x Zeitbedarf laut  Liste).</t>
        </r>
      </text>
    </comment>
    <comment ref="M22" authorId="1" shapeId="0" xr:uid="{BBC6C65E-F009-4082-AB58-FEAF8D3E3E54}">
      <text>
        <r>
          <rPr>
            <b/>
            <sz val="9"/>
            <color indexed="81"/>
            <rFont val="Tahoma"/>
            <family val="2"/>
          </rPr>
          <t>Admin:</t>
        </r>
        <r>
          <rPr>
            <sz val="9"/>
            <color indexed="81"/>
            <rFont val="Tahoma"/>
            <family val="2"/>
          </rPr>
          <t xml:space="preserve">
Die Stunden pro Arbeitsschritt werden mit der Anzahl der beteiligten Personen multipliziert</t>
        </r>
      </text>
    </comment>
    <comment ref="N22" authorId="0" shapeId="0" xr:uid="{356B3778-F704-4305-89A5-055EE2AC25E1}">
      <text>
        <r>
          <rPr>
            <b/>
            <sz val="8"/>
            <color indexed="81"/>
            <rFont val="Tahoma"/>
            <family val="2"/>
          </rPr>
          <t>Hier im Produkt 3 kann jeder einzelne Arbeitsschritt unterschiedlich bepreist werden. Wählen Sie für jeden Ihrer Arbeitsschritte einen Ihrer Stundensätze aus und geben Sie eine Zahl zwischen 1 und 6 aus der obrigen Tabelle ein.</t>
        </r>
      </text>
    </comment>
    <comment ref="B48" authorId="0" shapeId="0" xr:uid="{DEAFA522-EE01-4511-9740-F05366542D42}">
      <text>
        <r>
          <rPr>
            <sz val="10"/>
            <rFont val="Arial"/>
          </rPr>
          <t/>
        </r>
      </text>
    </comment>
    <comment ref="D48" authorId="0" shapeId="0" xr:uid="{876D8A56-4306-4653-B1CC-5FC60CA31BBD}">
      <text>
        <r>
          <rPr>
            <b/>
            <sz val="8"/>
            <color indexed="81"/>
            <rFont val="Tahoma"/>
            <family val="2"/>
          </rPr>
          <t>Hier wird automatisch der Stundensatz übertragen, den Sie für die Kalkkulation des Produktes 1 in der Zelle C21 gewählt haben.</t>
        </r>
      </text>
    </comment>
    <comment ref="I48" authorId="0" shapeId="0" xr:uid="{3FF013C0-4142-41CE-9616-A02494D879F1}">
      <text>
        <r>
          <rPr>
            <b/>
            <sz val="8"/>
            <color indexed="81"/>
            <rFont val="Tahoma"/>
            <family val="2"/>
          </rPr>
          <t>Hier wird automatisch der Stundensatz übertragen, den Sie für die Kalkkulation des Produktes 2 in der Zelle G21 gewählt haben.</t>
        </r>
      </text>
    </comment>
    <comment ref="P55" authorId="1" shapeId="0" xr:uid="{D4AF3C79-4EC1-4DDF-98FE-1110646D4423}">
      <text>
        <r>
          <rPr>
            <b/>
            <sz val="9"/>
            <color indexed="81"/>
            <rFont val="Tahoma"/>
            <family val="2"/>
          </rPr>
          <t>Admin:</t>
        </r>
        <r>
          <rPr>
            <sz val="9"/>
            <color indexed="81"/>
            <rFont val="Tahoma"/>
            <family val="2"/>
          </rPr>
          <t xml:space="preserve">
Durchschnitts-Stundensatz im Vergleich (Zelle L10)</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Admin</author>
    <author>Adamy</author>
  </authors>
  <commentList>
    <comment ref="A21" authorId="0" shapeId="0" xr:uid="{09FB8EA2-07F7-489E-BBB0-915611A82E94}">
      <text>
        <r>
          <rPr>
            <b/>
            <sz val="9"/>
            <color indexed="81"/>
            <rFont val="Tahoma"/>
            <family val="2"/>
          </rPr>
          <t>Admin:</t>
        </r>
        <r>
          <rPr>
            <sz val="9"/>
            <color indexed="81"/>
            <rFont val="Tahoma"/>
            <family val="2"/>
          </rPr>
          <t xml:space="preserve">
Der Anrechnungsbetrag wird bei Einzelfirmen und Personengesellschaften auf der Gesellschafterebene (privat) wirksam</t>
        </r>
      </text>
    </comment>
    <comment ref="F23" authorId="1" shapeId="0" xr:uid="{8F844C8D-9670-4420-91E2-C57D6AFEF7E2}">
      <text>
        <r>
          <rPr>
            <b/>
            <sz val="9"/>
            <color indexed="81"/>
            <rFont val="Tahoma"/>
            <family val="2"/>
          </rPr>
          <t>Adamy:</t>
        </r>
        <r>
          <rPr>
            <sz val="9"/>
            <color indexed="81"/>
            <rFont val="Tahoma"/>
            <family val="2"/>
          </rPr>
          <t xml:space="preserve">
Der Anrechnungsbetrag soll eigentlich die zu zahlenden Einkommensteuer verringern. Da dies bei der Ermittlung der Steuer in % im Tabellenblatt Vorschau nicht leicht möglich ist, wird ein Vereinfachung angewandt, die darin besteht, die ermittelte GewerbeSteuer zu kürzen. Kleinere Ungenauigkeiten im Planungsvorgang hinsichtlich der Gesamtsteuerbelastung  werden hierbei in Kauf genommen ( Solidaritätszuschlag, Einkoimmensteuer Splittungtabelle und Kirchensteuer) </t>
        </r>
      </text>
    </comment>
  </commentList>
</comments>
</file>

<file path=xl/sharedStrings.xml><?xml version="1.0" encoding="utf-8"?>
<sst xmlns="http://schemas.openxmlformats.org/spreadsheetml/2006/main" count="2086" uniqueCount="1058">
  <si>
    <t>Januar</t>
  </si>
  <si>
    <t>Februar</t>
  </si>
  <si>
    <t>März</t>
  </si>
  <si>
    <t>April</t>
  </si>
  <si>
    <t>Mai</t>
  </si>
  <si>
    <t>Juni</t>
  </si>
  <si>
    <t>Juli</t>
  </si>
  <si>
    <t>August</t>
  </si>
  <si>
    <t>September</t>
  </si>
  <si>
    <t>Oktober</t>
  </si>
  <si>
    <t>November</t>
  </si>
  <si>
    <t>Dezember</t>
  </si>
  <si>
    <t>BUSINESSPLAN ZAHLENTEIL</t>
  </si>
  <si>
    <t>Firmenname:</t>
  </si>
  <si>
    <t>Muster GbR</t>
  </si>
  <si>
    <t>GründerIn:</t>
  </si>
  <si>
    <t>Max Mustermann</t>
  </si>
  <si>
    <t xml:space="preserve">Siehe Unten  &gt;&gt;&gt;&gt;&gt;&gt;&gt;&gt;&gt; </t>
  </si>
  <si>
    <t>Stand:</t>
  </si>
  <si>
    <t>geplantes Jahr der Gründung :</t>
  </si>
  <si>
    <t>geplanter Monat der Gründung:</t>
  </si>
  <si>
    <t>Jan.</t>
  </si>
  <si>
    <t>Umsatzsteuersatz:</t>
  </si>
  <si>
    <t>INHALT</t>
  </si>
  <si>
    <t>Deckblatt</t>
  </si>
  <si>
    <t>Seite 0</t>
  </si>
  <si>
    <t>Gewinn- u. Verlustrechnung 1. Geschäftsjahr</t>
  </si>
  <si>
    <t>Seite 1</t>
  </si>
  <si>
    <t>Gewinn- u. Verlustrechnung 2. Geschäftsjahr</t>
  </si>
  <si>
    <t>Seite 2</t>
  </si>
  <si>
    <t>Gewinn- u. Verlustrechnung 3. Geschäftsjahr</t>
  </si>
  <si>
    <t>Seite 3</t>
  </si>
  <si>
    <t xml:space="preserve"> Businessplan relevant</t>
  </si>
  <si>
    <t>Umsatzplanung 1.-3. Geschäftsjahr</t>
  </si>
  <si>
    <t xml:space="preserve">Seite 4  </t>
  </si>
  <si>
    <t>Liquiditätsrechnung 1.-3. Jahr</t>
  </si>
  <si>
    <t>Seite 5</t>
  </si>
  <si>
    <t xml:space="preserve">Privatentnahmen </t>
  </si>
  <si>
    <t xml:space="preserve">Seite 6 </t>
  </si>
  <si>
    <t>Finanzen_AfA_Investitionen</t>
  </si>
  <si>
    <t>Seite 7</t>
  </si>
  <si>
    <t>ArbStd_MA</t>
  </si>
  <si>
    <t xml:space="preserve">Seite 8 </t>
  </si>
  <si>
    <t>Einzelkalkulation Gastronomie</t>
  </si>
  <si>
    <t>Seite 9</t>
  </si>
  <si>
    <t>Einzelkalkulation Handwerk</t>
  </si>
  <si>
    <t xml:space="preserve">Seite 10 </t>
  </si>
  <si>
    <t>Einzelkalkulation Handel</t>
  </si>
  <si>
    <t>Seite 11</t>
  </si>
  <si>
    <t xml:space="preserve"> Kalkulationsteil</t>
  </si>
  <si>
    <t>Einzelkalkulation DL</t>
  </si>
  <si>
    <t>Seite 12</t>
  </si>
  <si>
    <t>Kalkul.Einzelpreise</t>
  </si>
  <si>
    <t>Seite 13</t>
  </si>
  <si>
    <t>Zusammenfassung</t>
  </si>
  <si>
    <t>Seite 14</t>
  </si>
  <si>
    <t>Febr.</t>
  </si>
  <si>
    <t>Aug.</t>
  </si>
  <si>
    <t>Sept.</t>
  </si>
  <si>
    <t>Okt.</t>
  </si>
  <si>
    <t>Nov.</t>
  </si>
  <si>
    <t>Dez.</t>
  </si>
  <si>
    <t xml:space="preserve">Jan. </t>
  </si>
  <si>
    <t xml:space="preserve">Okt. </t>
  </si>
  <si>
    <t>Memo</t>
  </si>
  <si>
    <t>Es ist nicht genug zu wissen, man muss es auch anwenden! Es ist nicht genug zu wollen, man muß es auch tun!                            Johann Wolfgang von Goethe</t>
  </si>
  <si>
    <r>
      <t xml:space="preserve">An:                                 </t>
    </r>
    <r>
      <rPr>
        <b/>
        <sz val="11"/>
        <rFont val="Century Gothic"/>
        <family val="2"/>
      </rPr>
      <t xml:space="preserve">    Alle Benutzer der Tabelle</t>
    </r>
  </si>
  <si>
    <r>
      <t xml:space="preserve">Von:                                   </t>
    </r>
    <r>
      <rPr>
        <b/>
        <sz val="12"/>
        <rFont val="Century Gothic"/>
        <family val="2"/>
      </rPr>
      <t xml:space="preserve"> Rüdiger ADAMY</t>
    </r>
  </si>
  <si>
    <t xml:space="preserve">Betreff:                           </t>
  </si>
  <si>
    <t xml:space="preserve">  Finanzplanung, wie ich sie verstehe, heißt:</t>
  </si>
  <si>
    <t>Sinn und Zweck der Planungen ist es, Ihnen einen möglichst genauen und umfassenden Überblick über die künftige Entwicklung der Unternehmung, über Kosten, Erlöse und Gewinne zu geben.</t>
  </si>
  <si>
    <t>► 1</t>
  </si>
  <si>
    <t>► 2</t>
  </si>
  <si>
    <t>Die vorliegende Planungstabelle, (auch Umsatz- und Ertragsvorschau genannt) ist Teil der Gesamtplanung eines Unternehmens, sie besteht aus 2 Gruppen von Datenblättern. Zum einen: Finanzplanung; darunter verstehen man die Kostenplanung, die Umsatzplanung, die Liquiditätsplanung und die Kapitalbedarfsplanung (für die notwendigen Investitionen)</t>
  </si>
  <si>
    <t>► 3</t>
  </si>
  <si>
    <t xml:space="preserve">Zum zweiten erhalten Sie eine wichtige Basis für die Gesamtkalkulation, danach für die Einzelkalkulation von Preisen und Dienstleistungen (in verschiedener Art für  Handwerk, Handel, Dienstleistung und Gastronomie. </t>
  </si>
  <si>
    <t>► 4</t>
  </si>
  <si>
    <t xml:space="preserve">Sie beginnen mit der Kostenplanung, danach folgt  die Umsatzplanung ( ausgehend von Einzelleistunen je Tag, Woche oder Monat und soweit nötig mit dem dazu gehörenden Zeitbedarf). Zum Schluß sollten Sie die Umsatzplanung mit einem Marketing+Aktivitätenplan unterlegen, im dem Sie beschreiben, wie Sie zu Kunden und Abschlüssen kommen. Alle hieraus gewonnenen Daten bilden die Grundlage zur Erstellung der Liquidtätsrechnung . </t>
  </si>
  <si>
    <r>
      <rPr>
        <b/>
        <sz val="12"/>
        <rFont val="Century Gothic"/>
        <family val="2"/>
      </rPr>
      <t>►</t>
    </r>
    <r>
      <rPr>
        <b/>
        <sz val="12"/>
        <rFont val="Calibri"/>
        <family val="2"/>
      </rPr>
      <t xml:space="preserve"> </t>
    </r>
    <r>
      <rPr>
        <b/>
        <sz val="12"/>
        <rFont val="Century Gothic"/>
        <family val="2"/>
      </rPr>
      <t>5</t>
    </r>
  </si>
  <si>
    <r>
      <t xml:space="preserve">Zum Abschluß dieser Planungsschritte sind Sie in der Lage, ausgehend von </t>
    </r>
    <r>
      <rPr>
        <b/>
        <sz val="12"/>
        <rFont val="Century Gothic"/>
        <family val="2"/>
      </rPr>
      <t xml:space="preserve">Ihren eigenen Zahlen eine Kalkulation Ihrer Preise zu machen. </t>
    </r>
    <r>
      <rPr>
        <sz val="12"/>
        <rFont val="Century Gothic"/>
        <family val="2"/>
      </rPr>
      <t>Dann können Sie prüfen, wie Ihre Situation am Markt ist. Die Planungstabelle ist ein Werkzeug mit dessen Hilfe Sie zuverlässig erkennen können, ob Sie rentabel arbeiten, wo Spielräume im täglichen Preiskampf sind, und wo Ihre Stärken und Schwächen liegen!</t>
    </r>
  </si>
  <si>
    <t xml:space="preserve">                   Tipps und Hinweise zur Kunden/Auftragsakquisition</t>
  </si>
  <si>
    <t>Umsatzplanung bei der Gründung ist der wohl schwierigste und anspruchsvollste Teil der Finanzplanung, weil keine Vergleichswerte noch Erfahrungen vorhanden sind! Trotzdem ist es notwendig dies zu tun, und dabei kaufmännische Vorsicht walten zu lassen.</t>
  </si>
  <si>
    <t>►1</t>
  </si>
  <si>
    <t>►2</t>
  </si>
  <si>
    <t>Eine möglichst zutreffende Planung wird durch folgende Fakten untermauert: 1) welche Daten und Erkenntnisse hat die Markterkundung gebracht? 2) welche Akquisitionswege habe ich für mein Gewerk als richtig erkannt und festgelegt? 3) Welche Ansprache mache ich bei Kunden und Nichtkunden?</t>
  </si>
  <si>
    <t xml:space="preserve">Das beigefügte Rechentool geht davon aus, daß Ansprachen regelmäßig in gewisser Anzahl gemacht werden; und daß davon nur Teilmengen für weiterführende Akquisition und für Auftragserteilung in Frage kommen </t>
  </si>
  <si>
    <t>►3</t>
  </si>
  <si>
    <t>Sie erhalten bei Nutzung und Einstellung der Datei auf Ihre Werte wichtige Hindweise zur Anzahl der Ansprachen (neutral ausgedrückt, also Telefonate, Mails, Briefe usw) und zum Zeitbedarf!</t>
  </si>
  <si>
    <t>►4</t>
  </si>
  <si>
    <t>Alle Maßnahmen und Aktionen sollten dann in einem Aktivitäten- und Marketingplan zusammengefasst werden und in monatlichen Teilen abgearbeitet werden!</t>
  </si>
  <si>
    <t>►5</t>
  </si>
  <si>
    <t xml:space="preserve">                    Erläuterungen von Fachbegriffen in den Tabellenblättern</t>
  </si>
  <si>
    <t>Ertragsvorschau</t>
  </si>
  <si>
    <t>Stundenverkaufssatz</t>
  </si>
  <si>
    <t xml:space="preserve">Mindeststundensatz:  </t>
  </si>
  <si>
    <t>`+1)</t>
  </si>
  <si>
    <t>PRIVATE KOSTEN</t>
  </si>
  <si>
    <t xml:space="preserve"> PRIVATE KOSTEN</t>
  </si>
  <si>
    <t>+2)</t>
  </si>
  <si>
    <t>GEWERBLICHE KOSTEN + WARENEINSATZ</t>
  </si>
  <si>
    <t>`+3)</t>
  </si>
  <si>
    <t xml:space="preserve">3% RISIKOZUSCHLAG UNTERNEHM. TÄTIGKEIT (SOZIALE SICHERUNG) </t>
  </si>
  <si>
    <t>+4)</t>
  </si>
  <si>
    <t>10% EIGENKAPITALVERZINSUNG</t>
  </si>
  <si>
    <t>`+5)</t>
  </si>
  <si>
    <t>KALKULATORISCHE STEUERN</t>
  </si>
  <si>
    <t>+6)</t>
  </si>
  <si>
    <t xml:space="preserve">5% REINGEWINNANSPRUCH </t>
  </si>
  <si>
    <t>`+7)</t>
  </si>
  <si>
    <t>2% GARANTIE UND GEWÄHRLEISTUNG</t>
  </si>
  <si>
    <t>+8)</t>
  </si>
  <si>
    <t>RISIKOZUSCHLAG FÜR SAISON-/SONDERVERKÄUFE / NACHLÄSSE</t>
  </si>
  <si>
    <t>`+9)</t>
  </si>
  <si>
    <t>RISIKOZUSCHLAG FÜR UMSATZLOSE ZEIT</t>
  </si>
  <si>
    <t>dividiert durch Prod. Stunden</t>
  </si>
  <si>
    <t>dividiert durch Anzahl Prod.  MA</t>
  </si>
  <si>
    <t>dividiert durch Prod.  MA</t>
  </si>
  <si>
    <t>Liquiditätsplan</t>
  </si>
  <si>
    <t>Vorsteuer:</t>
  </si>
  <si>
    <t>Material/Waren</t>
  </si>
  <si>
    <t>+</t>
  </si>
  <si>
    <t>Anlageninvestitionen</t>
  </si>
  <si>
    <t>Betriebsausgaben</t>
  </si>
  <si>
    <t>-</t>
  </si>
  <si>
    <t>Kfz Steuer</t>
  </si>
  <si>
    <t>Versicherungen/Beiträge</t>
  </si>
  <si>
    <t>Zinsen</t>
  </si>
  <si>
    <t>Personalkosten</t>
  </si>
  <si>
    <t>multipliziert mit 19%</t>
  </si>
  <si>
    <t>realisierter Stundensatz:</t>
  </si>
  <si>
    <t>Summe Aufwendungen</t>
  </si>
  <si>
    <t>Material</t>
  </si>
  <si>
    <t>Abschreibungen</t>
  </si>
  <si>
    <t>Gewinn/Verlust</t>
  </si>
  <si>
    <t>dividiert durch Anzahl Prod. MA</t>
  </si>
  <si>
    <t>Nettocashflow:</t>
  </si>
  <si>
    <t>Kalk. Steuern</t>
  </si>
  <si>
    <t>Unternehmerlohn</t>
  </si>
  <si>
    <t>Umsatz</t>
  </si>
  <si>
    <t>Liquidität</t>
  </si>
  <si>
    <t>Wareneinsatz</t>
  </si>
  <si>
    <t>Kosten o.WE</t>
  </si>
  <si>
    <t>Prod.Std +MA</t>
  </si>
  <si>
    <t>Privatentnahme</t>
  </si>
  <si>
    <t>Gewinn</t>
  </si>
  <si>
    <t>Kalkulation</t>
  </si>
  <si>
    <t>Controlling</t>
  </si>
  <si>
    <t>ZUSAMMENFÜHRUNG VON ERGEBNISZAHLEN</t>
  </si>
  <si>
    <t>WICHTIGE ERGEBNISZAHLEN</t>
  </si>
  <si>
    <t>Umsätze/Erlöse</t>
  </si>
  <si>
    <t>Wareneinkauf   : Umsatz</t>
  </si>
  <si>
    <t>Mindestumsatz : Umsatz</t>
  </si>
  <si>
    <t>Gewinn             : Umsatz</t>
  </si>
  <si>
    <t>Kosten (o. WE) : Umsatz</t>
  </si>
  <si>
    <t>Durchschn. realisierte Stundensätze</t>
  </si>
  <si>
    <t>Durchschn. notwendige Stundensätze</t>
  </si>
  <si>
    <t>Durchschn.Realisierte Rohaufschläge in %</t>
  </si>
  <si>
    <t>Notwendige Rohaufschläge in %</t>
  </si>
  <si>
    <t>Gewinn vor Steuern</t>
  </si>
  <si>
    <t>Gewinn nach Steuern</t>
  </si>
  <si>
    <t>Entnahmen d. Unternehmerlohn</t>
  </si>
  <si>
    <t>Ergebnis nach Unternehmerlohn</t>
  </si>
  <si>
    <t>Nettocashflow</t>
  </si>
  <si>
    <t>Bereits für Tilgung verplante Beträge</t>
  </si>
  <si>
    <t>Noch verfügbare Finanzmittel</t>
  </si>
  <si>
    <t>Realisierte Stundensätze im Jahresverlauf</t>
  </si>
  <si>
    <t>Aus Vorschau</t>
  </si>
  <si>
    <t xml:space="preserve"> Dezember</t>
  </si>
  <si>
    <t>Realisierte Rohaufschläge um Jahresverlauf</t>
  </si>
  <si>
    <t>Hinweise und Plausibilitäten für Darlehensprogramm Microstarter der   N-Bank</t>
  </si>
  <si>
    <t xml:space="preserve"> PRIVATENTNAHME</t>
  </si>
  <si>
    <t>Bei Kostensprüngen in Folgejahren sollte ein Eingriff in die jeweiligen Formeln erfolgen . Fragen Sie Ihren Berater/Dozenten!</t>
  </si>
  <si>
    <t xml:space="preserve">               Statistische Durchschnittsrechnung 2013 </t>
  </si>
  <si>
    <t>PRIVATENTNAHME</t>
  </si>
  <si>
    <t>4. Jahr</t>
  </si>
  <si>
    <t>ERLÄUTERUNGEN</t>
  </si>
  <si>
    <t>Teuerung:</t>
  </si>
  <si>
    <t>Info</t>
  </si>
  <si>
    <t>%</t>
  </si>
  <si>
    <t>MONAT</t>
  </si>
  <si>
    <t>JAHR</t>
  </si>
  <si>
    <t>Monat</t>
  </si>
  <si>
    <t>Jahr</t>
  </si>
  <si>
    <t>MiStart</t>
  </si>
  <si>
    <t>Miete/Zins-Tilgung</t>
  </si>
  <si>
    <t>nur private Wohnungsmiete</t>
  </si>
  <si>
    <t>Nebenkosten</t>
  </si>
  <si>
    <t>Heizung, Wasser, Strom, GEZ</t>
  </si>
  <si>
    <t>Telefon, Handy, Internet</t>
  </si>
  <si>
    <t>SUMME WOHNKOSTEN</t>
  </si>
  <si>
    <t>Haushaltsgeld</t>
  </si>
  <si>
    <t>Lebensmittel, Getränke</t>
  </si>
  <si>
    <t>Kleidung, Körperpflege</t>
  </si>
  <si>
    <t>Freizeit, Sport, Hobby</t>
  </si>
  <si>
    <t>SUMME LEBENSHALTUNG</t>
  </si>
  <si>
    <t>Krankenversicherung (KV+PV)</t>
  </si>
  <si>
    <t>Welche Risiken sind zu versichern?</t>
  </si>
  <si>
    <t>KV+PV</t>
  </si>
  <si>
    <t>Berufsunfähigkeit, Unfall</t>
  </si>
  <si>
    <t>Altersvorsorge</t>
  </si>
  <si>
    <t>Wie hoch muss die Versorgung sein?</t>
  </si>
  <si>
    <t>RV</t>
  </si>
  <si>
    <t>Regelsätze nach SGB II +10%</t>
  </si>
  <si>
    <t>Sonst. Versicherungen</t>
  </si>
  <si>
    <t>Haftpflicht, Hausrat, Rechtsschutz</t>
  </si>
  <si>
    <t>SUMME VERSICHERUNGEN</t>
  </si>
  <si>
    <t>KfZ-Kosten</t>
  </si>
  <si>
    <t>Steuern, Versicherung, lfd. Kosten</t>
  </si>
  <si>
    <t>Bahncard, ÖPNV</t>
  </si>
  <si>
    <t>SUMME FAHRTKOSTEN</t>
  </si>
  <si>
    <t>Unterhaltsverpflichtungen</t>
  </si>
  <si>
    <t>Private Kredite, Kontoführung</t>
  </si>
  <si>
    <t>Kindergarten, Schule</t>
  </si>
  <si>
    <t>Sonstiges</t>
  </si>
  <si>
    <t>Sonstiges/Kauf v.Möbeln usw</t>
  </si>
  <si>
    <t>Sparen</t>
  </si>
  <si>
    <t>Urlaub, Anschaffungen</t>
  </si>
  <si>
    <t>SUMME SONST. AUSGABEN</t>
  </si>
  <si>
    <t>SUMME AUSGABEN</t>
  </si>
  <si>
    <t>Kindergeld, Unterhalt</t>
  </si>
  <si>
    <t>Netto-Einkommen PartnerIn</t>
  </si>
  <si>
    <t>Nebentätigkeit, Sonstiges</t>
  </si>
  <si>
    <t>SUMME EINKOMMEN</t>
  </si>
  <si>
    <t>SUMME DER PRIVATENTNAHMEN</t>
  </si>
  <si>
    <t xml:space="preserve">ERTRAGSVORSCHAU 1. Planjahr </t>
  </si>
  <si>
    <t>Durchschn. Warenein-satz</t>
  </si>
  <si>
    <t>ALLE ANGABEN NETTO</t>
  </si>
  <si>
    <t>SUMME</t>
  </si>
  <si>
    <t>Branchen-vergl.</t>
  </si>
  <si>
    <t>ERLÄUTERUNGEN / KOMMENTARE</t>
  </si>
  <si>
    <t>Umsatz/ Erlöse</t>
  </si>
  <si>
    <t>./.Materialeinsatz</t>
  </si>
  <si>
    <t>Einkaufsliste erarbeiten!</t>
  </si>
  <si>
    <t>./. Kosten:</t>
  </si>
  <si>
    <t>Raumkosten</t>
  </si>
  <si>
    <t>Beispiel: Büromiete 12% der Wohnung</t>
  </si>
  <si>
    <t>anteilig gem.Nutzung</t>
  </si>
  <si>
    <t>Kraftfahrzeugkosten</t>
  </si>
  <si>
    <t>gem.geschätz.mtl Kilometerleistung</t>
  </si>
  <si>
    <t>Leasing</t>
  </si>
  <si>
    <t>Werbe- und Reisekosten</t>
  </si>
  <si>
    <t>Marketing-Aktivitätenplan erstellt?</t>
  </si>
  <si>
    <t>Telefon, Telefax, Internet</t>
  </si>
  <si>
    <t>Bürobedarf</t>
  </si>
  <si>
    <t>Rechts- und Beratungskosten</t>
  </si>
  <si>
    <t>Steuerberater vorhanden? Beitrag Berufsverb.</t>
  </si>
  <si>
    <t>Was muss versichert werden? Welche Risiken</t>
  </si>
  <si>
    <t>Reparaturen/Instandhaltung</t>
  </si>
  <si>
    <t xml:space="preserve">sonstiger Betriebsaufwand </t>
  </si>
  <si>
    <t>Zinsaufwand</t>
  </si>
  <si>
    <t xml:space="preserve"> Investitiosplanung vorhanden?</t>
  </si>
  <si>
    <t>PersonalkostenAGA</t>
  </si>
  <si>
    <t>Einmalige (Gründungs)kosten</t>
  </si>
  <si>
    <t>Betriebsergebnis</t>
  </si>
  <si>
    <t>./. Abschreibungen</t>
  </si>
  <si>
    <t>Aufgelaufene Werte</t>
  </si>
  <si>
    <t>Kalk. Steuern(ESt/Soli/GeSt)</t>
  </si>
  <si>
    <t>Gewinn/Verlust n.Steuern</t>
  </si>
  <si>
    <t>UnternehmerInnen-Lohn</t>
  </si>
  <si>
    <t xml:space="preserve">  Darstellung Risikobetrag Umsatzlose Zeit</t>
  </si>
  <si>
    <t>in % vom Umsatz</t>
  </si>
  <si>
    <t xml:space="preserve">  Darstellung Risikobetrag Saisonverkäufe</t>
  </si>
  <si>
    <t>in % vom Wareneinkauf</t>
  </si>
  <si>
    <t>Steuern individuell</t>
  </si>
  <si>
    <t>je nach Einkommen für den Mindeststundensatz</t>
  </si>
  <si>
    <t>Steuern Einzelfirma</t>
  </si>
  <si>
    <t>EST</t>
  </si>
  <si>
    <t>Soli</t>
  </si>
  <si>
    <t>GeSt</t>
  </si>
  <si>
    <t>Steuern GmbH</t>
  </si>
  <si>
    <t>KöSt</t>
  </si>
  <si>
    <t>GESAMTKALKULATION</t>
  </si>
  <si>
    <r>
      <rPr>
        <b/>
        <sz val="10"/>
        <rFont val="Verdana"/>
        <family val="2"/>
      </rPr>
      <t>1)</t>
    </r>
    <r>
      <rPr>
        <sz val="10"/>
        <rFont val="Verdana"/>
        <family val="2"/>
      </rPr>
      <t xml:space="preserve"> PRIVATE KOSTEN + </t>
    </r>
    <r>
      <rPr>
        <b/>
        <sz val="10"/>
        <rFont val="Verdana"/>
        <family val="2"/>
      </rPr>
      <t>2)</t>
    </r>
    <r>
      <rPr>
        <sz val="10"/>
        <rFont val="Verdana"/>
        <family val="2"/>
      </rPr>
      <t xml:space="preserve"> GEWERBLICHE KOSTEN + WARENEINSATZ + </t>
    </r>
    <r>
      <rPr>
        <b/>
        <sz val="10"/>
        <rFont val="Verdana"/>
        <family val="2"/>
      </rPr>
      <t>3)</t>
    </r>
    <r>
      <rPr>
        <sz val="10"/>
        <rFont val="Verdana"/>
        <family val="2"/>
      </rPr>
      <t xml:space="preserve"> 3% RISIKOZUSCHLAG UNTERNEHM. TÄTIGKEIT (SOZIALE SICHERUNG) + </t>
    </r>
    <r>
      <rPr>
        <b/>
        <sz val="10"/>
        <rFont val="Verdana"/>
        <family val="2"/>
      </rPr>
      <t>4)</t>
    </r>
    <r>
      <rPr>
        <sz val="10"/>
        <rFont val="Verdana"/>
        <family val="2"/>
      </rPr>
      <t xml:space="preserve"> 10% EIGENKAPITALVERZINSUNG + </t>
    </r>
    <r>
      <rPr>
        <b/>
        <sz val="10"/>
        <rFont val="Verdana"/>
        <family val="2"/>
      </rPr>
      <t>5)</t>
    </r>
    <r>
      <rPr>
        <sz val="10"/>
        <rFont val="Verdana"/>
        <family val="2"/>
      </rPr>
      <t xml:space="preserve"> KALKULATORISCHE STEUERN + </t>
    </r>
    <r>
      <rPr>
        <b/>
        <sz val="10"/>
        <rFont val="Verdana"/>
        <family val="2"/>
      </rPr>
      <t>6)</t>
    </r>
    <r>
      <rPr>
        <sz val="10"/>
        <rFont val="Verdana"/>
        <family val="2"/>
      </rPr>
      <t xml:space="preserve"> 5% REINGEWINNANSPRUCH ) +</t>
    </r>
    <r>
      <rPr>
        <b/>
        <sz val="10"/>
        <rFont val="Verdana"/>
        <family val="2"/>
      </rPr>
      <t>7)</t>
    </r>
    <r>
      <rPr>
        <sz val="10"/>
        <rFont val="Verdana"/>
        <family val="2"/>
      </rPr>
      <t xml:space="preserve"> 2% RISIKOZUSCHLAG FÜR GARANTIE / GEWÄHRLEISTUNG/SCHWUND UND VORSORGE FÜR FORDERUNGSVERLUSTE, +</t>
    </r>
    <r>
      <rPr>
        <b/>
        <sz val="10"/>
        <rFont val="Verdana"/>
        <family val="2"/>
      </rPr>
      <t>8)</t>
    </r>
    <r>
      <rPr>
        <sz val="10"/>
        <rFont val="Verdana"/>
        <family val="2"/>
      </rPr>
      <t xml:space="preserve"> RISIKOZUSCHLAG FÜR SAISON-/SONDERVERKÄUFE / NACHLÄSSE +</t>
    </r>
    <r>
      <rPr>
        <b/>
        <sz val="10"/>
        <rFont val="Verdana"/>
        <family val="2"/>
      </rPr>
      <t>9)</t>
    </r>
    <r>
      <rPr>
        <sz val="10"/>
        <rFont val="Verdana"/>
        <family val="2"/>
      </rPr>
      <t xml:space="preserve"> RISIKOZUSCHLAG FÜR UNTERAUSLASTUNG UND UMSATZLOSE ZEIT</t>
    </r>
  </si>
  <si>
    <t>1)</t>
  </si>
  <si>
    <t xml:space="preserve"> + 2)</t>
  </si>
  <si>
    <t xml:space="preserve"> + 3)</t>
  </si>
  <si>
    <t xml:space="preserve"> + 4)</t>
  </si>
  <si>
    <t xml:space="preserve"> + 5)</t>
  </si>
  <si>
    <t xml:space="preserve"> + 6)</t>
  </si>
  <si>
    <t xml:space="preserve"> + 7)</t>
  </si>
  <si>
    <t xml:space="preserve"> +8)</t>
  </si>
  <si>
    <t xml:space="preserve"> +9)</t>
  </si>
  <si>
    <t>prod. Arbeitstd.</t>
  </si>
  <si>
    <t>Mindestumsatz</t>
  </si>
  <si>
    <t>3)</t>
  </si>
  <si>
    <t xml:space="preserve"> + 2a)</t>
  </si>
  <si>
    <t xml:space="preserve"> +7)</t>
  </si>
  <si>
    <t>Stundensatz</t>
  </si>
  <si>
    <t>4)</t>
  </si>
  <si>
    <t>Mindeststundensatz</t>
  </si>
  <si>
    <t>6)</t>
  </si>
  <si>
    <t>7)</t>
  </si>
  <si>
    <t>relative Stundensatzdifferenz</t>
  </si>
  <si>
    <t>8)</t>
  </si>
  <si>
    <t>Rohaufschlag im Handel %</t>
  </si>
  <si>
    <t>9)</t>
  </si>
  <si>
    <t>Unternehmer/innen-Lohn</t>
  </si>
  <si>
    <t xml:space="preserve">ERTRAGSVORSCHAU  2.Planjahr </t>
  </si>
  <si>
    <t>Die Vorlage dieser Datei wurde zur Verfügung gestellt durch die Wirtschafts-Senioren Hannover</t>
  </si>
  <si>
    <r>
      <rPr>
        <b/>
        <sz val="10"/>
        <rFont val="Verdana"/>
        <family val="2"/>
      </rPr>
      <t>1)</t>
    </r>
    <r>
      <rPr>
        <sz val="10"/>
        <rFont val="Verdana"/>
        <family val="2"/>
      </rPr>
      <t xml:space="preserve"> PRIVATE KOSTEN + </t>
    </r>
    <r>
      <rPr>
        <b/>
        <sz val="10"/>
        <rFont val="Verdana"/>
        <family val="2"/>
      </rPr>
      <t>2)</t>
    </r>
    <r>
      <rPr>
        <sz val="10"/>
        <rFont val="Verdana"/>
        <family val="2"/>
      </rPr>
      <t xml:space="preserve"> GEWERBLICHE KOSTEN + WARENEINSATZ + </t>
    </r>
    <r>
      <rPr>
        <b/>
        <sz val="10"/>
        <rFont val="Verdana"/>
        <family val="2"/>
      </rPr>
      <t>3)</t>
    </r>
    <r>
      <rPr>
        <sz val="10"/>
        <rFont val="Verdana"/>
        <family val="2"/>
      </rPr>
      <t xml:space="preserve"> 3% RISIKOZUSCHLAG UNTERNEHM. TÄTIGKEIT (SOZIALE SICHERUNG) + </t>
    </r>
    <r>
      <rPr>
        <b/>
        <sz val="10"/>
        <rFont val="Verdana"/>
        <family val="2"/>
      </rPr>
      <t>4)</t>
    </r>
    <r>
      <rPr>
        <sz val="10"/>
        <rFont val="Verdana"/>
        <family val="2"/>
      </rPr>
      <t xml:space="preserve"> 10% EIGENKAPITALVERZINSUNG + </t>
    </r>
    <r>
      <rPr>
        <b/>
        <sz val="10"/>
        <rFont val="Verdana"/>
        <family val="2"/>
      </rPr>
      <t>5)</t>
    </r>
    <r>
      <rPr>
        <sz val="10"/>
        <rFont val="Verdana"/>
        <family val="2"/>
      </rPr>
      <t xml:space="preserve"> KALKULATORISCHE STEUERN + </t>
    </r>
    <r>
      <rPr>
        <b/>
        <sz val="10"/>
        <rFont val="Verdana"/>
        <family val="2"/>
      </rPr>
      <t>6)</t>
    </r>
    <r>
      <rPr>
        <sz val="10"/>
        <rFont val="Verdana"/>
        <family val="2"/>
      </rPr>
      <t xml:space="preserve"> 5% REINGEWINNANSPRUCH ) +</t>
    </r>
    <r>
      <rPr>
        <b/>
        <sz val="10"/>
        <rFont val="Verdana"/>
        <family val="2"/>
      </rPr>
      <t>7)</t>
    </r>
    <r>
      <rPr>
        <sz val="10"/>
        <rFont val="Verdana"/>
        <family val="2"/>
      </rPr>
      <t xml:space="preserve"> 2% GARANTIE / GEWÄHRLEISTUNG/ SCHWUND UND VORSORGE FÜR FORDERUNGSVERLUSTE , +</t>
    </r>
    <r>
      <rPr>
        <b/>
        <sz val="10"/>
        <rFont val="Verdana"/>
        <family val="2"/>
      </rPr>
      <t>8)</t>
    </r>
    <r>
      <rPr>
        <sz val="10"/>
        <rFont val="Verdana"/>
        <family val="2"/>
      </rPr>
      <t xml:space="preserve"> RISIKOZUSCHLAG FÜR SAISON-/SONDERVERKÄUFE / NACHLÄSSE +</t>
    </r>
    <r>
      <rPr>
        <b/>
        <sz val="10"/>
        <rFont val="Verdana"/>
        <family val="2"/>
      </rPr>
      <t>9)</t>
    </r>
    <r>
      <rPr>
        <sz val="10"/>
        <rFont val="Verdana"/>
        <family val="2"/>
      </rPr>
      <t xml:space="preserve"> RISIKOZUSCHLAG FÜR UNTERAUSLASTUNG UND UMSATZLOSE ZEIT</t>
    </r>
  </si>
  <si>
    <t xml:space="preserve">ERTRAGSVORSCHAU  3. Planjahr </t>
  </si>
  <si>
    <t>Beitrag Berufsverb.</t>
  </si>
  <si>
    <r>
      <rPr>
        <b/>
        <sz val="10"/>
        <rFont val="Verdana"/>
        <family val="2"/>
      </rPr>
      <t>1)</t>
    </r>
    <r>
      <rPr>
        <sz val="10"/>
        <rFont val="Verdana"/>
        <family val="2"/>
      </rPr>
      <t xml:space="preserve"> PRIVATE KOSTEN + </t>
    </r>
    <r>
      <rPr>
        <b/>
        <sz val="10"/>
        <rFont val="Verdana"/>
        <family val="2"/>
      </rPr>
      <t>2)</t>
    </r>
    <r>
      <rPr>
        <sz val="10"/>
        <rFont val="Verdana"/>
        <family val="2"/>
      </rPr>
      <t xml:space="preserve"> GEWERBLICHE KOSTEN + WARENEINSATZ + </t>
    </r>
    <r>
      <rPr>
        <b/>
        <sz val="10"/>
        <rFont val="Verdana"/>
        <family val="2"/>
      </rPr>
      <t>3)</t>
    </r>
    <r>
      <rPr>
        <sz val="10"/>
        <rFont val="Verdana"/>
        <family val="2"/>
      </rPr>
      <t xml:space="preserve"> 3% RISIKOZUSCHLAG UNTERNEHM. TÄTIGKEIT (SOZIALE SICHERUNG) + </t>
    </r>
    <r>
      <rPr>
        <b/>
        <sz val="10"/>
        <rFont val="Verdana"/>
        <family val="2"/>
      </rPr>
      <t>4)</t>
    </r>
    <r>
      <rPr>
        <sz val="10"/>
        <rFont val="Verdana"/>
        <family val="2"/>
      </rPr>
      <t xml:space="preserve"> 10% EIGENKAPITALVERZINSUNG + </t>
    </r>
    <r>
      <rPr>
        <b/>
        <sz val="10"/>
        <rFont val="Verdana"/>
        <family val="2"/>
      </rPr>
      <t>5)</t>
    </r>
    <r>
      <rPr>
        <sz val="10"/>
        <rFont val="Verdana"/>
        <family val="2"/>
      </rPr>
      <t xml:space="preserve"> KALKULATORISCHE STEUERN + </t>
    </r>
    <r>
      <rPr>
        <b/>
        <sz val="10"/>
        <rFont val="Verdana"/>
        <family val="2"/>
      </rPr>
      <t>6)</t>
    </r>
    <r>
      <rPr>
        <sz val="10"/>
        <rFont val="Verdana"/>
        <family val="2"/>
      </rPr>
      <t xml:space="preserve"> 5% REINGEWINNANSPRUCH ) +</t>
    </r>
    <r>
      <rPr>
        <b/>
        <sz val="10"/>
        <rFont val="Verdana"/>
        <family val="2"/>
      </rPr>
      <t>7)</t>
    </r>
    <r>
      <rPr>
        <sz val="10"/>
        <rFont val="Verdana"/>
        <family val="2"/>
      </rPr>
      <t xml:space="preserve"> 2% GARANTIE/ GEWÄHRLEISTUNG/SCHWUND UND VORSORGE FÜR FORDERUNGSVERLUSTE, +</t>
    </r>
    <r>
      <rPr>
        <b/>
        <sz val="10"/>
        <rFont val="Verdana"/>
        <family val="2"/>
      </rPr>
      <t>8)</t>
    </r>
    <r>
      <rPr>
        <sz val="10"/>
        <rFont val="Verdana"/>
        <family val="2"/>
      </rPr>
      <t xml:space="preserve"> RISIKOZUSCHLAG FÜR SAISON-/SONDERVERKÄUFE / NACHLÄSSE  +</t>
    </r>
    <r>
      <rPr>
        <b/>
        <sz val="10"/>
        <rFont val="Verdana"/>
        <family val="2"/>
      </rPr>
      <t>9)</t>
    </r>
    <r>
      <rPr>
        <sz val="10"/>
        <rFont val="Verdana"/>
        <family val="2"/>
      </rPr>
      <t xml:space="preserve"> RISIKOZUSCHLAG FÜR UNTERAUSLASTUNG UND UMSATZLOSE ZEIT</t>
    </r>
  </si>
  <si>
    <t>Bei länger laufenden Aufträgen (mehr als ein Monat) können die Stunden oder die Umsätze aufgeteilt werden, oder das Produkt gestückelt werden!</t>
  </si>
  <si>
    <t>UMSATZPLANUNG</t>
  </si>
  <si>
    <t>1. GESCHÄFTSJAHR</t>
  </si>
  <si>
    <t>SUMME PRODUKTE / DL</t>
  </si>
  <si>
    <t>SUMME DER EINZEL- UMSÄTZE</t>
  </si>
  <si>
    <t>UMSATZ- STRUKTUR IN %</t>
  </si>
  <si>
    <t>STRUKTUR DER EINKAUFSPREISE    (Handel+Gastronomie)</t>
  </si>
  <si>
    <t>Prod.Std./Monat_Soll</t>
  </si>
  <si>
    <t>LeistungStd. Ist</t>
  </si>
  <si>
    <t>Einzel- preis</t>
  </si>
  <si>
    <t>Prod. Stunden</t>
  </si>
  <si>
    <t>verk. Stück</t>
  </si>
  <si>
    <t>Prod.Std. gesamt</t>
  </si>
  <si>
    <t>Einzelpreis</t>
  </si>
  <si>
    <t>EK Gesamt</t>
  </si>
  <si>
    <t>Webseite Teil I</t>
  </si>
  <si>
    <t>Webseite Teil II</t>
  </si>
  <si>
    <t>Damenschnitt</t>
  </si>
  <si>
    <t>Dauerwelle</t>
  </si>
  <si>
    <t>Produkt 5</t>
  </si>
  <si>
    <t>Leistung 1</t>
  </si>
  <si>
    <t>Leistung 2</t>
  </si>
  <si>
    <t>Leistung 3</t>
  </si>
  <si>
    <t>Leistung 4</t>
  </si>
  <si>
    <t>Leistung 5</t>
  </si>
  <si>
    <t>2. GESCHÄFTSJAHR</t>
  </si>
  <si>
    <t>Produkt 1</t>
  </si>
  <si>
    <t>Produkt 2</t>
  </si>
  <si>
    <t>Produkt 3</t>
  </si>
  <si>
    <t>Produkt 4</t>
  </si>
  <si>
    <t>3. GESCHÄFTSJAHR</t>
  </si>
  <si>
    <t>Besonderer Hinweis</t>
  </si>
  <si>
    <t>Beschreiben Sie hier unter welchen Voraussetzungen Sie die Umsatzplanung gemacht haben! z.B.:
Art und Umfang der Anlaufphase? 
Wie entwickelt sich die Umsatzstruktur?
Wie beeinflusst die Konjunktur ihre Umsatzplanung? 
Wie ist die Branchenentwicklung? Gibt es hohen Konkurrenzdruck? 
Gibt es Preisdruck usw.?</t>
  </si>
  <si>
    <t>LIQUIDITÄTSPLANUNG Jahr 1</t>
  </si>
  <si>
    <t>Bei Umsatzeingang bar "0" eintragen, bei Eingang nach 30 Tagen "1", bei Eingang nach 60 Tagen "2" eintragen, bei Eingang nach 45 Tagen "3" eintragen</t>
  </si>
  <si>
    <t>MWSt aus Deckblatt</t>
  </si>
  <si>
    <t>Summe</t>
  </si>
  <si>
    <t>EINZAHLUNGEN</t>
  </si>
  <si>
    <t xml:space="preserve"> + Umsatz</t>
  </si>
  <si>
    <t xml:space="preserve"> + Einzahlungen-Eigenkapital</t>
  </si>
  <si>
    <t xml:space="preserve"> + Kredite / Darlehen</t>
  </si>
  <si>
    <t xml:space="preserve"> + Gründungszuschuß</t>
  </si>
  <si>
    <t xml:space="preserve"> + MwSt </t>
  </si>
  <si>
    <t xml:space="preserve"> = Summe Liquiditätszugang</t>
  </si>
  <si>
    <t>AUSZAHLUNGEN</t>
  </si>
  <si>
    <t xml:space="preserve"> + Anlageninvestition</t>
  </si>
  <si>
    <t xml:space="preserve"> + Vorsteuer</t>
  </si>
  <si>
    <t xml:space="preserve"> + Material/Wareneinkaurf</t>
  </si>
  <si>
    <t xml:space="preserve"> + Betriebsausgaben (PK+SK)</t>
  </si>
  <si>
    <t xml:space="preserve"> + Kredittilgung</t>
  </si>
  <si>
    <t xml:space="preserve"> + Sonst(z.B. Warenerstausstattung)</t>
  </si>
  <si>
    <t xml:space="preserve"> + MwSt Zahllast</t>
  </si>
  <si>
    <t xml:space="preserve"> + Steuern</t>
  </si>
  <si>
    <t xml:space="preserve"> + UnternehmerInnen- Lohn</t>
  </si>
  <si>
    <t xml:space="preserve"> + sonstige Auszahlungen</t>
  </si>
  <si>
    <t xml:space="preserve"> = Summe Liquiditätsabgang</t>
  </si>
  <si>
    <t>Liquiditätssaldo</t>
  </si>
  <si>
    <t>Liquiditätssaldo (kumuliert)</t>
  </si>
  <si>
    <t>Kontokorrentlinie</t>
  </si>
  <si>
    <t>Saldo</t>
  </si>
  <si>
    <t>LIQUIDITÄTSPLANUNG Jahr 2</t>
  </si>
  <si>
    <t>Bei Umsatzeingang bar "0" eintragen,bei Eingang nach 30 Tagen "1", bei Eingang nach 60 Tagen "2" eintragen,bei Eingang nach 45 Tagen "3" eintragen</t>
  </si>
  <si>
    <t xml:space="preserve"> + Sonst</t>
  </si>
  <si>
    <t>LIQUIDITÄTSPLANUNG Jahr 3</t>
  </si>
  <si>
    <t xml:space="preserve"> +Sonst.</t>
  </si>
  <si>
    <t>FINANZEN / LEASING / ABSCHREIBUNGEN</t>
  </si>
  <si>
    <t>INVESTITIONEN</t>
  </si>
  <si>
    <t>Investitionsbetrag</t>
  </si>
  <si>
    <t>Abschrei-bungsjahre</t>
  </si>
  <si>
    <t>AfA Satz in %</t>
  </si>
  <si>
    <t>AfA Betrag pro Monat</t>
  </si>
  <si>
    <t>Investion-Leasing betrag</t>
  </si>
  <si>
    <t>Leasing Rate p.M.</t>
  </si>
  <si>
    <t>Leasingsatz p.M. in %</t>
  </si>
  <si>
    <t>Kommentare / Erläuterungen</t>
  </si>
  <si>
    <t>Unternehmenskauf</t>
  </si>
  <si>
    <t>Grundstücke</t>
  </si>
  <si>
    <t>Gebäude</t>
  </si>
  <si>
    <t>Maschinen/ Anlagen/ Geräte</t>
  </si>
  <si>
    <t>als Beispiel aufgelistet</t>
  </si>
  <si>
    <t>Betriebsausst/Werkstatteinr.</t>
  </si>
  <si>
    <t>Fahrzeuge (PKW etc.)</t>
  </si>
  <si>
    <t>Fahrzeuge (LKW etc.)</t>
  </si>
  <si>
    <t>Büroausst. / Möbel/Theken</t>
  </si>
  <si>
    <t>Büromaschinen</t>
  </si>
  <si>
    <t>DV/Laptop / PC/</t>
  </si>
  <si>
    <t>GWG 2018</t>
  </si>
  <si>
    <t>&lt; 410€; ab 1.1.2018 €800,00</t>
  </si>
  <si>
    <t>GWG Pool 2018</t>
  </si>
  <si>
    <t>&gt; 250€ &lt; 1000€</t>
  </si>
  <si>
    <t>ImmaterielleVG/Lizenzen</t>
  </si>
  <si>
    <t>Gründungskosten</t>
  </si>
  <si>
    <t>Beratungen</t>
  </si>
  <si>
    <t>Notar/Handelsregister/ HWK</t>
  </si>
  <si>
    <t>Markteinführung</t>
  </si>
  <si>
    <t>Mietsicherheit / Provision</t>
  </si>
  <si>
    <t>Betriebsmittel</t>
  </si>
  <si>
    <t>Roh-Hilfs-Betriebsstoffe</t>
  </si>
  <si>
    <t>Material-Warenlager</t>
  </si>
  <si>
    <t>unfertige Erzeugn./Leistungen</t>
  </si>
  <si>
    <t>Sonstige</t>
  </si>
  <si>
    <t>Gesamt</t>
  </si>
  <si>
    <t>FINANZIERUNG</t>
  </si>
  <si>
    <t>FINANZMITTEL</t>
  </si>
  <si>
    <t>LAUFZEIT IN JAHREN</t>
  </si>
  <si>
    <t>ZINSATZ IN %</t>
  </si>
  <si>
    <t>ZINSAUFWAND 1. PJ p.M.</t>
  </si>
  <si>
    <t>TILGUNG</t>
  </si>
  <si>
    <t>ZINSAUFWAND 2. PJ p.M.</t>
  </si>
  <si>
    <t>ZINSAUFWAND 3. PJ p.M.</t>
  </si>
  <si>
    <t>Kapitalherkunft</t>
  </si>
  <si>
    <t>Eigenkapital (bar)</t>
  </si>
  <si>
    <t>Eigenleistung (unbar)</t>
  </si>
  <si>
    <t>Sachleistung/Sacheinlage (unbar)</t>
  </si>
  <si>
    <t>KK Hausbank</t>
  </si>
  <si>
    <t>unbefristet</t>
  </si>
  <si>
    <t>Darlehen Hausbank</t>
  </si>
  <si>
    <t>Darlehen Familie</t>
  </si>
  <si>
    <t>MicroSTARTer</t>
  </si>
  <si>
    <r>
      <rPr>
        <b/>
        <sz val="10"/>
        <color indexed="10"/>
        <rFont val="Arial"/>
        <family val="2"/>
      </rPr>
      <t>Ø</t>
    </r>
    <r>
      <rPr>
        <b/>
        <sz val="10"/>
        <color indexed="10"/>
        <rFont val="Verdana"/>
        <family val="2"/>
      </rPr>
      <t xml:space="preserve"> monatl. Zins bzw. Ø monatl Tilgung</t>
    </r>
  </si>
  <si>
    <t>ZINS- UND TILGUNGSRECHNER (STAND 01.07.2015)</t>
  </si>
  <si>
    <t>Geschäftsplan Antrag</t>
  </si>
  <si>
    <t>MikroSTARTer Niedersachsen</t>
  </si>
  <si>
    <t>Bitte beachten Sie: Diese Kalkulation stellt kein verbindliches Angebot der NBank dar. Es handelt sich lediglich um eine Beispielrechnung.</t>
  </si>
  <si>
    <t>Kreditsumme</t>
  </si>
  <si>
    <t xml:space="preserve">Laufzeit in Jahren </t>
  </si>
  <si>
    <t>Zinssatz (nominal)</t>
  </si>
  <si>
    <t>p.a.</t>
  </si>
  <si>
    <t>Tilgung</t>
  </si>
  <si>
    <t>1.-6. Monat</t>
  </si>
  <si>
    <t>7-18. Monat</t>
  </si>
  <si>
    <r>
      <t xml:space="preserve">p.M. </t>
    </r>
    <r>
      <rPr>
        <sz val="7"/>
        <color indexed="8"/>
        <rFont val="Arial"/>
        <family val="2"/>
      </rPr>
      <t>des zugesagten Darl.</t>
    </r>
  </si>
  <si>
    <t>ab 19. Monat (gerundet)</t>
  </si>
  <si>
    <r>
      <t xml:space="preserve">p.M. </t>
    </r>
    <r>
      <rPr>
        <sz val="7"/>
        <color indexed="8"/>
        <rFont val="Arial"/>
        <family val="2"/>
      </rPr>
      <t>verteilt auf Restlaufzeit</t>
    </r>
  </si>
  <si>
    <t>Rate</t>
  </si>
  <si>
    <t>Restschuld</t>
  </si>
  <si>
    <t>1.Quartal</t>
  </si>
  <si>
    <t>2.Quartal</t>
  </si>
  <si>
    <t>3.Quartal</t>
  </si>
  <si>
    <t>4.Quartal</t>
  </si>
  <si>
    <t>1.Planjahr</t>
  </si>
  <si>
    <t>2.Planjahr</t>
  </si>
  <si>
    <t>3.Planjahr</t>
  </si>
  <si>
    <t>zurück</t>
  </si>
  <si>
    <t>Geschäftsplanrechnung Antrag Mikrostarter</t>
  </si>
  <si>
    <t>Angaben in €</t>
  </si>
  <si>
    <t>1. Quartal</t>
  </si>
  <si>
    <t>2. Quartal</t>
  </si>
  <si>
    <t xml:space="preserve"> 3. Quartal </t>
  </si>
  <si>
    <t xml:space="preserve"> 4. Quartal </t>
  </si>
  <si>
    <t>Summe 1.GJ</t>
  </si>
  <si>
    <t>2.GJ</t>
  </si>
  <si>
    <t>3.GJ</t>
  </si>
  <si>
    <t>Umsatzerlöse</t>
  </si>
  <si>
    <t>Aufwand Waren-/ Material, Fremdleistungen</t>
  </si>
  <si>
    <t>Rohertrag</t>
  </si>
  <si>
    <t>sonstige betriebliche Erträge</t>
  </si>
  <si>
    <t>Personalaufwand</t>
  </si>
  <si>
    <t>Fahrzeugkosten</t>
  </si>
  <si>
    <t>Versicherungen</t>
  </si>
  <si>
    <t>Werbung/Vertrieb</t>
  </si>
  <si>
    <t>weitere betriebliche Aufwendungen</t>
  </si>
  <si>
    <t>EE-Steuern</t>
  </si>
  <si>
    <t>außerordentliche Erträge</t>
  </si>
  <si>
    <t>außerordentliche Aufwendungen</t>
  </si>
  <si>
    <t>Jahresergebnis</t>
  </si>
  <si>
    <t>vereinfachter Cash-Flow</t>
  </si>
  <si>
    <t>Zins u. Tilgung MikroSTARTer</t>
  </si>
  <si>
    <t>Tilgung weitere Kredite</t>
  </si>
  <si>
    <t>geplante Entnahmen</t>
  </si>
  <si>
    <t>Ergebnis</t>
  </si>
  <si>
    <t>ERMITTLUNG DER PRODUKTIVEN STUNDEN</t>
  </si>
  <si>
    <t>ERMITTLUNG VERKAUFBARER STUNDEN</t>
  </si>
  <si>
    <t>1a)</t>
  </si>
  <si>
    <t>verfügbare Arbeitsstd. je Tag</t>
  </si>
  <si>
    <t>Anzahl Tage</t>
  </si>
  <si>
    <t>- Wochenenden</t>
  </si>
  <si>
    <t>- Feiertage</t>
  </si>
  <si>
    <t>- Urlaubstage</t>
  </si>
  <si>
    <t>- Krankheit</t>
  </si>
  <si>
    <t>Anzahl Arbeitstage</t>
  </si>
  <si>
    <t>Anzahl mögliche Arbeits-Std.</t>
  </si>
  <si>
    <t>- Tage Akquisition, Networking</t>
  </si>
  <si>
    <t>- Tage Verwaltung, Organisation</t>
  </si>
  <si>
    <t>- Tage Fortbildung</t>
  </si>
  <si>
    <t>- Tage Besprechung, Vorbereitung</t>
  </si>
  <si>
    <t>- Tage Sonst. oder saisonale Unterauslastung</t>
  </si>
  <si>
    <t>Summe nicht verkaufb. Stunden</t>
  </si>
  <si>
    <t>Anzahl verkaufbare Stunden</t>
  </si>
  <si>
    <t>Auslastung in Prozent</t>
  </si>
  <si>
    <t>1b)</t>
  </si>
  <si>
    <t>1. JAHR</t>
  </si>
  <si>
    <t>2. JAHR</t>
  </si>
  <si>
    <t>3.JAHR</t>
  </si>
  <si>
    <t xml:space="preserve">bei Durchschn. Auslastung von mehreren Mitgründern-Mitarbeitern </t>
  </si>
  <si>
    <t>Anzahl ver-kaufbarer Stunden/ Monat</t>
  </si>
  <si>
    <t>durchschnittl. verkaufbare Stunden/ Monat</t>
  </si>
  <si>
    <t>verkaufbare Std produkt Mitgründer(arbeiter 1)</t>
  </si>
  <si>
    <t>verkaufbare Std produkt Mitgründer(arbeiter 2)</t>
  </si>
  <si>
    <t>Anzahl MA 1. Jahr</t>
  </si>
  <si>
    <t>verkaufbare Std produkt Mitgründer(arbeiter 3)</t>
  </si>
  <si>
    <t>Anzahl MA 2. Jahr</t>
  </si>
  <si>
    <t>verkaufbare Std produkt Mitgründer(arbeiter 4)</t>
  </si>
  <si>
    <t>Anzahl MA 3. Jahr</t>
  </si>
  <si>
    <t>verkaufbare Std produkt Mitgründer(arbeiter 5)</t>
  </si>
  <si>
    <t>Anzahl verkaufbare Stunden als Durchschnitt</t>
  </si>
  <si>
    <t>2.</t>
  </si>
  <si>
    <t>ERMITTLUNG PRODUKTIVEN MITARBEITER</t>
  </si>
  <si>
    <t>Anzahl der Mitarbeiter</t>
  </si>
  <si>
    <t>Mitarbeitender Inhaber</t>
  </si>
  <si>
    <t>Meister</t>
  </si>
  <si>
    <t>Gesellen - Mitarbeiter Produktion</t>
  </si>
  <si>
    <t>Auszubildende Produktion</t>
  </si>
  <si>
    <t>Mitarbeiter Büro</t>
  </si>
  <si>
    <t>Auszubildende Büro</t>
  </si>
  <si>
    <t>Mitarbeiter Sonstige</t>
  </si>
  <si>
    <t>Gesamtzahl Mitarbeiter</t>
  </si>
  <si>
    <t>Produktive Mitarbeiter</t>
  </si>
  <si>
    <t>3.</t>
  </si>
  <si>
    <t>ERMITTLUNG DER PERSONALKOSTEN / PERSONALNEBENKOSTEN</t>
  </si>
  <si>
    <t>Angestellte</t>
  </si>
  <si>
    <t>Mini Job</t>
  </si>
  <si>
    <t>Arbeitgeberanteil Sozialbeiträge</t>
  </si>
  <si>
    <t>Krankenversicherung (durchschnittlich)</t>
  </si>
  <si>
    <t>BeitrBemessGrenze 2020 € 4688</t>
  </si>
  <si>
    <t xml:space="preserve">Pflegeversicherung </t>
  </si>
  <si>
    <t>ab 1.1.2020</t>
  </si>
  <si>
    <t>Umlage KV (U1+U2 )durchschnittlich</t>
  </si>
  <si>
    <t xml:space="preserve">Rentenversicherung </t>
  </si>
  <si>
    <t>BeitrBemessGrenze 2020 € 6900</t>
  </si>
  <si>
    <t>Arbeitslosenversicherung</t>
  </si>
  <si>
    <t>Berufsgenossenschaft-Insolvenzgeldumlage</t>
  </si>
  <si>
    <t>Zusatzversorgungskasse</t>
  </si>
  <si>
    <t>Berufsgenossenschaft_Gefahrenklasse x</t>
  </si>
  <si>
    <t>Beispiel Gefahrenklasse 1</t>
  </si>
  <si>
    <t>Summe Arbeitgeberanteil Sozialbeiträge</t>
  </si>
  <si>
    <t>4.</t>
  </si>
  <si>
    <t>LÖHNE UND GEHÄLTER 1. JAHR</t>
  </si>
  <si>
    <t>Verdienst  pro Monat</t>
  </si>
  <si>
    <t>Urlaubs-, Weih.-Geld</t>
  </si>
  <si>
    <t>Sonst.</t>
  </si>
  <si>
    <t>Jahres-summe</t>
  </si>
  <si>
    <t>zuzügl.Sozial beiträge</t>
  </si>
  <si>
    <t>Geschäftsführer GmbH</t>
  </si>
  <si>
    <t>Summe Personalkosten im Jahr</t>
  </si>
  <si>
    <t>Summe Personalkosten im Monat</t>
  </si>
  <si>
    <t>Mini Jobs</t>
  </si>
  <si>
    <t>Achtung: ab 1.1.2013 bis 450€ möglich</t>
  </si>
  <si>
    <t>Summe Mini Jobs im Jahr</t>
  </si>
  <si>
    <t>Summe Mini Jobs im Monat</t>
  </si>
  <si>
    <t>5.</t>
  </si>
  <si>
    <t>LÖHNE UND GEHÄLTER 2. JAHR</t>
  </si>
  <si>
    <t>6.</t>
  </si>
  <si>
    <t>LÖHNE UND GEHÄLTER 3. JAHR</t>
  </si>
  <si>
    <t>Anzahl der Mini Jobs</t>
  </si>
  <si>
    <t xml:space="preserve">3)Ermittlung der umsatzlosen </t>
  </si>
  <si>
    <t>VZ Stellen</t>
  </si>
  <si>
    <t>TZ Stellen50%</t>
  </si>
  <si>
    <t>Mini Jobs25%</t>
  </si>
  <si>
    <t>Azubis</t>
  </si>
  <si>
    <t>Inhaber</t>
  </si>
  <si>
    <t>Std.</t>
  </si>
  <si>
    <r>
      <rPr>
        <b/>
        <sz val="12"/>
        <rFont val="Verdana"/>
        <family val="2"/>
      </rPr>
      <t>(unproduktiven) Zeiten</t>
    </r>
    <r>
      <rPr>
        <b/>
        <sz val="10"/>
        <rFont val="Verdana"/>
        <family val="2"/>
      </rPr>
      <t xml:space="preserve"> : Std pro Monat</t>
    </r>
  </si>
  <si>
    <t>Summen</t>
  </si>
  <si>
    <t>Saisonausfallstunden</t>
  </si>
  <si>
    <t>Stunden der ferienbedingten Unterauslastung</t>
  </si>
  <si>
    <t xml:space="preserve">Seminare - Fortbildung an neuen Maschinen </t>
  </si>
  <si>
    <t xml:space="preserve">und in neuer Organsiation </t>
  </si>
  <si>
    <t>Stunden für Aquisitionen ohne Abschluß</t>
  </si>
  <si>
    <t>Stunden für Besprechungen ohne Abschluß</t>
  </si>
  <si>
    <t>Umsatzlose Zeiten durch Verwaltung</t>
  </si>
  <si>
    <t xml:space="preserve">Umsatzlose Zeiten durch </t>
  </si>
  <si>
    <t>Entwicklung und Einführung  neuer Produkte</t>
  </si>
  <si>
    <t xml:space="preserve">Umsatzlose Zeiten durch über lange </t>
  </si>
  <si>
    <t>Einarbeitungszeiten/Qualifizierung</t>
  </si>
  <si>
    <t>Langzeitkranke - Anzahl x Stunden</t>
  </si>
  <si>
    <t>Umsatzlose Zeiten durch Sonstiges</t>
  </si>
  <si>
    <t>Summe nicht verkaufbare Std ( umsatzlose Zeit)</t>
  </si>
  <si>
    <t>Summe der Unterlastung in Prozent</t>
  </si>
  <si>
    <t>Anzahl mögl. Arbeitsstunden (D14) pro Monat</t>
  </si>
  <si>
    <t>4) Ermittlung der verkaufbaren Stunden im Mehrpersonenbetrieb</t>
  </si>
  <si>
    <t>KALKULATION GASTRONOMIE</t>
  </si>
  <si>
    <t>Kalkulation des Verkaufspreises</t>
  </si>
  <si>
    <t xml:space="preserve">Einkaufspreis/ Beispiel </t>
  </si>
  <si>
    <t>Kalkulations-aufschl. Soll-Vollkosten</t>
  </si>
  <si>
    <t>Verkaufs preis</t>
  </si>
  <si>
    <t xml:space="preserve">Einkaufspreis / Beispiel </t>
  </si>
  <si>
    <t>Verkaufspreis</t>
  </si>
  <si>
    <t>Einkaufspreis / Beispiel</t>
  </si>
  <si>
    <t>Bezeichnung des Menues:</t>
  </si>
  <si>
    <t>Wildschwein mit Pfifferlingen, Kartoffeln und Salat</t>
  </si>
  <si>
    <t>realisierter Aufschlag</t>
  </si>
  <si>
    <t>Zutaten</t>
  </si>
  <si>
    <t>Menge</t>
  </si>
  <si>
    <t>Einheit</t>
  </si>
  <si>
    <t>Preis/Einh</t>
  </si>
  <si>
    <t>Waren-Einstands preis</t>
  </si>
  <si>
    <t>Kalkulations- aufschlag Soll</t>
  </si>
  <si>
    <t>Verkaufs- preis</t>
  </si>
  <si>
    <t>kalkulierter notw. Aufschlag</t>
  </si>
  <si>
    <t>Kalkulation Basis I
Wareneinkauf</t>
  </si>
  <si>
    <t>Fleisch</t>
  </si>
  <si>
    <t>kg</t>
  </si>
  <si>
    <t>Kartoffeln</t>
  </si>
  <si>
    <t>Realisierte Aufschlag aus nebenstehender Einzelkalkulation</t>
  </si>
  <si>
    <t>EK</t>
  </si>
  <si>
    <t>Pfifferlinge</t>
  </si>
  <si>
    <t>VK</t>
  </si>
  <si>
    <t>Eier</t>
  </si>
  <si>
    <t>Stück</t>
  </si>
  <si>
    <t>Mehl</t>
  </si>
  <si>
    <t>RASch %</t>
  </si>
  <si>
    <t>Öl</t>
  </si>
  <si>
    <t>Liter</t>
  </si>
  <si>
    <t>Salat</t>
  </si>
  <si>
    <t>Köpfe</t>
  </si>
  <si>
    <t>Zwiebeln</t>
  </si>
  <si>
    <t>Gurke</t>
  </si>
  <si>
    <t>Rote Grütze</t>
  </si>
  <si>
    <t>Sahne</t>
  </si>
  <si>
    <t>Produkt x</t>
  </si>
  <si>
    <t>Summe / Waren:</t>
  </si>
  <si>
    <t>Kalkulation Basis II
Stundensatz</t>
  </si>
  <si>
    <t>Tätigkeiten</t>
  </si>
  <si>
    <t>Zeiteinsatz
 in Stunden</t>
  </si>
  <si>
    <t>kalk. 
Durchschnitts-
stundensatz</t>
  </si>
  <si>
    <t>Einkaufszeit</t>
  </si>
  <si>
    <t>Vorbereiten</t>
  </si>
  <si>
    <t>Kochen</t>
  </si>
  <si>
    <t>usw.</t>
  </si>
  <si>
    <t>Summe:</t>
  </si>
  <si>
    <t>Summe / Arbeitszeit:</t>
  </si>
  <si>
    <t>Kalkulation Basis III
Preiskalkulation incl. Skonti und Rabatte</t>
  </si>
  <si>
    <t>Verkaufspreis netto I</t>
  </si>
  <si>
    <t xml:space="preserve">Kundenskonto </t>
  </si>
  <si>
    <t>% v. ZVP</t>
  </si>
  <si>
    <t>Zielverkaufspreis (ZVP)</t>
  </si>
  <si>
    <t>Kundenrabatt</t>
  </si>
  <si>
    <t>% v. VK II</t>
  </si>
  <si>
    <t>Verkaufspreis netto II</t>
  </si>
  <si>
    <t>Summe (Angebotspreis netto incl. Skonti und Rabatte):</t>
  </si>
  <si>
    <t>Kalkulations Basis IV
Zusätzliche kalk. 
Kosten</t>
  </si>
  <si>
    <t>Kostenpositionen</t>
  </si>
  <si>
    <t>Preis</t>
  </si>
  <si>
    <t>Tischschmuck</t>
  </si>
  <si>
    <t>Getränke</t>
  </si>
  <si>
    <t>usw</t>
  </si>
  <si>
    <t>Summe (zusätzliche Kosten):</t>
  </si>
  <si>
    <t>Summe Basis I bisIV</t>
  </si>
  <si>
    <t>Summe mit Mehrwertsteuer:</t>
  </si>
  <si>
    <t>Angebotspreis:</t>
  </si>
  <si>
    <t>angenommene Anzahl der Menues:</t>
  </si>
  <si>
    <t>Angebotspreis pro Menue:</t>
  </si>
  <si>
    <t>Preise aus Markterkundung:</t>
  </si>
  <si>
    <t>KALKULATION HANDWERK</t>
  </si>
  <si>
    <t>Waren  Gattungen</t>
  </si>
  <si>
    <t>Anzahl in Stunden</t>
  </si>
  <si>
    <t>Stunden-   satz</t>
  </si>
  <si>
    <t>Einkaufs- preis</t>
  </si>
  <si>
    <t xml:space="preserve">realisierter Stundensatz </t>
  </si>
  <si>
    <t>Kalkul. notwend.</t>
  </si>
  <si>
    <t xml:space="preserve">Verhältnisrechnung zwischen </t>
  </si>
  <si>
    <t>Std.-Sätze zu Handelsergebnis in € :</t>
  </si>
  <si>
    <t>Aufschlag Waren</t>
  </si>
  <si>
    <t>Offener Stundensatz</t>
  </si>
  <si>
    <t>Angebotsstundensatz</t>
  </si>
  <si>
    <t>Summe / Ware</t>
  </si>
  <si>
    <t>Kalkulations Basis II
Stundensatz</t>
  </si>
  <si>
    <t>z.B. Messen</t>
  </si>
  <si>
    <t>z.B. Sägen</t>
  </si>
  <si>
    <t>z.B. Hobeln</t>
  </si>
  <si>
    <t>weitere Arbeits-</t>
  </si>
  <si>
    <t xml:space="preserve">schritte </t>
  </si>
  <si>
    <t>Summe / Stuneneinsatz:</t>
  </si>
  <si>
    <t>Versicher.</t>
  </si>
  <si>
    <t>Frachten</t>
  </si>
  <si>
    <t>Summe Basis I bisIV:</t>
  </si>
  <si>
    <t>ANGEBOTSPREIS:</t>
  </si>
  <si>
    <t>KALKULATION HANDEL</t>
  </si>
  <si>
    <t>Preiskalkulation incl. Skonti und Rabatte</t>
  </si>
  <si>
    <t>Einkaufspreis</t>
  </si>
  <si>
    <t xml:space="preserve">Kalkulationszuschlag </t>
  </si>
  <si>
    <t>% v. EK</t>
  </si>
  <si>
    <t>% v.EK</t>
  </si>
  <si>
    <t>Kundenskonto</t>
  </si>
  <si>
    <t xml:space="preserve">Kundenrabatt </t>
  </si>
  <si>
    <t>% v.VK II</t>
  </si>
  <si>
    <t>Umsatzsteuer</t>
  </si>
  <si>
    <t xml:space="preserve">% </t>
  </si>
  <si>
    <t>Angebotspreis ( brutto)</t>
  </si>
  <si>
    <t>SORTIMENTSKALKULATION</t>
  </si>
  <si>
    <t>1. Jahr</t>
  </si>
  <si>
    <t>2. Jahr</t>
  </si>
  <si>
    <t>3. Jahr</t>
  </si>
  <si>
    <t>Kalk.notwend.Aufschl</t>
  </si>
  <si>
    <t>Produkt</t>
  </si>
  <si>
    <t>Einkaufs preis</t>
  </si>
  <si>
    <t>Aufschlag</t>
  </si>
  <si>
    <t>Artikel 1</t>
  </si>
  <si>
    <t>Artikel 2</t>
  </si>
  <si>
    <t>Artikel 3</t>
  </si>
  <si>
    <t>Artikel 4</t>
  </si>
  <si>
    <t>Artikel 5</t>
  </si>
  <si>
    <t xml:space="preserve">VERGLEICHSPREISE  </t>
  </si>
  <si>
    <t>MWSt.</t>
  </si>
  <si>
    <t>Endpreis</t>
  </si>
  <si>
    <t>Artikel 6</t>
  </si>
  <si>
    <t xml:space="preserve">                           EINZEL - KALKULATION HANDEL</t>
  </si>
  <si>
    <t xml:space="preserve">                      NACHKALKULATION - HANDEL</t>
  </si>
  <si>
    <t xml:space="preserve">Verkaufs-preis </t>
  </si>
  <si>
    <t>Verkaufs-preis</t>
  </si>
  <si>
    <t>Beispielrechnung:</t>
  </si>
  <si>
    <t>Rückwärtskalkulation</t>
  </si>
  <si>
    <t>Basis:  Controllingrechnung 20..</t>
  </si>
  <si>
    <t xml:space="preserve">         wichtige Zahlen</t>
  </si>
  <si>
    <t>Verkaufspreis Brutto</t>
  </si>
  <si>
    <t>MWSt</t>
  </si>
  <si>
    <t>Verkaufspreis Netto</t>
  </si>
  <si>
    <t>Kundenskonti</t>
  </si>
  <si>
    <t>Zielverkaufspreis</t>
  </si>
  <si>
    <t>Beispielrechnung mit vorgerechneten Rabatten und Skonti</t>
  </si>
  <si>
    <t>Rabatte/Vertreterboni</t>
  </si>
  <si>
    <t>Barverkaufspreis</t>
  </si>
  <si>
    <t>Risiko,Steuer,Gewinn</t>
  </si>
  <si>
    <t>Selbstkostenpreis</t>
  </si>
  <si>
    <t>Betriebskosten</t>
  </si>
  <si>
    <t>Rechn. Einkaufspreis</t>
  </si>
  <si>
    <t>Tatsächl. EK Satz</t>
  </si>
  <si>
    <t>Verkaufspreis ( brutto)</t>
  </si>
  <si>
    <t>Tatsächlicher Gewinn/Verlust aus diesem Geschäft</t>
  </si>
  <si>
    <t xml:space="preserve">Handelsspanne </t>
  </si>
  <si>
    <t>SORTIMENTSKALKULATION  Beispiel bei nicht vorgerechneten Rabatten und Skonti</t>
  </si>
  <si>
    <t>Akunde</t>
  </si>
  <si>
    <t>Bkunde</t>
  </si>
  <si>
    <t>Ckunde</t>
  </si>
  <si>
    <t>Gürtel</t>
  </si>
  <si>
    <t>Taschen</t>
  </si>
  <si>
    <t>Trolley</t>
  </si>
  <si>
    <t>Real Rohaufschlag je Gruppe</t>
  </si>
  <si>
    <t>Notwendiger Mindestaufschlag:</t>
  </si>
  <si>
    <t>Basis: bereinigte Zahlen 2012</t>
  </si>
  <si>
    <t>Basis: bereinigte Zahlen 2013</t>
  </si>
  <si>
    <t>cirka</t>
  </si>
  <si>
    <t>unbereinigt</t>
  </si>
  <si>
    <t>KALKULATION DIENSTLEISTUNG</t>
  </si>
  <si>
    <t>Preiskalkulation-Leistungsbeschreibung</t>
  </si>
  <si>
    <t>Art / Beschreibung</t>
  </si>
  <si>
    <t>Stunden</t>
  </si>
  <si>
    <t>Vorbereitung / Kundengespräche</t>
  </si>
  <si>
    <t>Diverse/ Kreativer Input für den jew.Auftrag</t>
  </si>
  <si>
    <t>Unterlagen erstellen / anpassen</t>
  </si>
  <si>
    <t>Auftragsausführung / Leistung erbringen</t>
  </si>
  <si>
    <t>Schlußbespr.mit Kunden / Rechnungslegung</t>
  </si>
  <si>
    <t>SonstigesFahrt</t>
  </si>
  <si>
    <t>Angebots- / Verkaufspreis (netto):</t>
  </si>
  <si>
    <t>Mehrwertsteuer</t>
  </si>
  <si>
    <t>Angebots- / Rechnungssumme</t>
  </si>
  <si>
    <t xml:space="preserve">PRODUKTKALKULATION_PREISLISTE        </t>
  </si>
  <si>
    <t>Anmerkung:</t>
  </si>
  <si>
    <t>- Bevor eine Preisliste entstehen kann, ist eine Produktbeschreibung darzustellen, die Struktur und das Produktprofil zu entwickeln</t>
  </si>
  <si>
    <t>- Basis für diese Kalkulation sind zum einen die notwendigen Rohaufschläge sowie die kalkulierten Stundensätze</t>
  </si>
  <si>
    <t>- Es ist möglich, im Produkt 1 und 2 unterschiedliche Preise einzusetzen.</t>
  </si>
  <si>
    <t>- im Produkt 3 kann jeder Arbeitsschritt unterschiedlich bepreist werden.</t>
  </si>
  <si>
    <t>Kalkulation alternativer Stundensätze</t>
  </si>
  <si>
    <t>Kalkulatorisch notwendiger Stundensatz</t>
  </si>
  <si>
    <t>%-Satz vom kalk. notw. Stundensatz</t>
  </si>
  <si>
    <t>Alternative Stundensätze</t>
  </si>
  <si>
    <t>Preis aus Markterkundung</t>
  </si>
  <si>
    <t>Produkt/DL 1</t>
  </si>
  <si>
    <t>Produkt/DL 2</t>
  </si>
  <si>
    <t>Produkt/DL 3</t>
  </si>
  <si>
    <t>Name</t>
  </si>
  <si>
    <t>Besonderheit</t>
  </si>
  <si>
    <t>Profil</t>
  </si>
  <si>
    <t>Potentieller Nutzer</t>
  </si>
  <si>
    <t>Potenzieller Nutzer</t>
  </si>
  <si>
    <t>Arbeitsschritt</t>
  </si>
  <si>
    <t>Pers</t>
  </si>
  <si>
    <t>Std</t>
  </si>
  <si>
    <t>Vorbereitung</t>
  </si>
  <si>
    <t>Arbeitsschritt 1</t>
  </si>
  <si>
    <t>Arbeitschritt 2</t>
  </si>
  <si>
    <t>Arbeitsschritt 2</t>
  </si>
  <si>
    <t>Arbeitschritt 3</t>
  </si>
  <si>
    <t>Arbeitsschritt 3</t>
  </si>
  <si>
    <t>Arbeitschritt 4</t>
  </si>
  <si>
    <t>Arbeitsschritt 4</t>
  </si>
  <si>
    <t>Arbeitschritt 5</t>
  </si>
  <si>
    <t>Arbeitsschritt 5</t>
  </si>
  <si>
    <t>Arbeitschritt 6</t>
  </si>
  <si>
    <t>Arbeitsschritt 6</t>
  </si>
  <si>
    <t>Arbeitschritt 7</t>
  </si>
  <si>
    <t>Arbeitsschritt 7</t>
  </si>
  <si>
    <t>Arbeitschritt 8</t>
  </si>
  <si>
    <t>Arbeitsschritt 8</t>
  </si>
  <si>
    <t>Arbeitschritt 9</t>
  </si>
  <si>
    <t>Arbeitsschritt 9</t>
  </si>
  <si>
    <t>Arbeitschritt 10</t>
  </si>
  <si>
    <t>Arbeitsschritt 10</t>
  </si>
  <si>
    <t>Arbeitschritt 11</t>
  </si>
  <si>
    <t>Arbeitsschritt 11</t>
  </si>
  <si>
    <t>Arbeitschritt 12</t>
  </si>
  <si>
    <t>Arbeitsschritt 12</t>
  </si>
  <si>
    <t>Arbeitschritt 13</t>
  </si>
  <si>
    <t>Arbeitsschritt 13</t>
  </si>
  <si>
    <t>Arbeitschritt 14</t>
  </si>
  <si>
    <t>Arbeitsschritt 14</t>
  </si>
  <si>
    <t>Arbeitschritt 15</t>
  </si>
  <si>
    <t>Arbeitsschritt 15</t>
  </si>
  <si>
    <t>Arbeitschritt 16</t>
  </si>
  <si>
    <t>Arbeitsschritt 16</t>
  </si>
  <si>
    <t>Arbeitschritt 17</t>
  </si>
  <si>
    <t>Arbeitsschritt 17</t>
  </si>
  <si>
    <t>Arbeitschritt 18</t>
  </si>
  <si>
    <t>Arbeitsschritt 18</t>
  </si>
  <si>
    <t>Arbeitschritt 19</t>
  </si>
  <si>
    <t>Arbeitsschritt 19</t>
  </si>
  <si>
    <t>Arbeitschritt 20</t>
  </si>
  <si>
    <t>Arbeitsschritt 20</t>
  </si>
  <si>
    <t>Arbeitschritt 21</t>
  </si>
  <si>
    <t>Arbeitsschritt 21</t>
  </si>
  <si>
    <t>Arbeitschritt 22</t>
  </si>
  <si>
    <t>Arbeitsschritt 22</t>
  </si>
  <si>
    <t>Arbeitschritt 23</t>
  </si>
  <si>
    <t>Arbeitsschritt 23</t>
  </si>
  <si>
    <t>Arbeitschritt 24</t>
  </si>
  <si>
    <t>Arbeitsschritt 24</t>
  </si>
  <si>
    <t>Stunden Summe</t>
  </si>
  <si>
    <t>individuell pro Arbeitschritt</t>
  </si>
  <si>
    <t>Zuschlag für Waren</t>
  </si>
  <si>
    <t>Endpreise + MWSt</t>
  </si>
  <si>
    <t>In Planung einbezogen</t>
  </si>
  <si>
    <t>OH-spezifische Kosten einer Finanzplanung</t>
  </si>
  <si>
    <t>Stand: 30.3.2016</t>
  </si>
  <si>
    <t>€ einmalig/Stck,</t>
  </si>
  <si>
    <t>€ monatlich</t>
  </si>
  <si>
    <t>Sonstige Kosten</t>
  </si>
  <si>
    <t>Einmalkosten</t>
  </si>
  <si>
    <t>●</t>
  </si>
  <si>
    <t>Rechtsberatung Homepage</t>
  </si>
  <si>
    <t>800 - 1500 €</t>
  </si>
  <si>
    <t>Design und Aufbau Homepage</t>
  </si>
  <si>
    <t>8500 - 20.000 €</t>
  </si>
  <si>
    <t>unbegrenzte Artikel</t>
  </si>
  <si>
    <t>Lfd. Kosten</t>
  </si>
  <si>
    <t>Paket, Verpackung,Rechnung</t>
  </si>
  <si>
    <t>ca. 0,85</t>
  </si>
  <si>
    <t>Verpackung, Aufkleber, Karton</t>
  </si>
  <si>
    <t>1. Absatzabhängig</t>
  </si>
  <si>
    <t>Werbeaufdruckdruck pro Paket</t>
  </si>
  <si>
    <t>Porto pro Paket</t>
  </si>
  <si>
    <t>3 bis 5</t>
  </si>
  <si>
    <t>Kosten bei Abschluss eines Rahmenvertrags mit einem Dienstleister</t>
  </si>
  <si>
    <t>Paketbeileger</t>
  </si>
  <si>
    <t>Bei Auflage 1000 Stck</t>
  </si>
  <si>
    <t>Porto Retoure</t>
  </si>
  <si>
    <t>Retourenquoten zwischen 20 und 50 %</t>
  </si>
  <si>
    <t>Transaktionskosten Plattform</t>
  </si>
  <si>
    <t>7-15 %</t>
  </si>
  <si>
    <t>Prozentsatz vom Verkaufspreis ( zum Beispiel Amazon)</t>
  </si>
  <si>
    <t>Kosten Payment-Provider</t>
  </si>
  <si>
    <t>3-5 %</t>
  </si>
  <si>
    <t>Prozentsatz vom Verkaufspreis ( Dienstleister für Bezahlsysteme wie Paypal)</t>
  </si>
  <si>
    <t>2. Absatzunabhängig</t>
  </si>
  <si>
    <t>Hosting (ext. Server)</t>
  </si>
  <si>
    <t>30-100</t>
  </si>
  <si>
    <t>Shop-Software</t>
  </si>
  <si>
    <t>50-100</t>
  </si>
  <si>
    <t>Bei SaaS Lösungen/transaktionsabhängig</t>
  </si>
  <si>
    <t>SW für Buchhaltung, WaWi etc.</t>
  </si>
  <si>
    <t>SW Wartungskosten</t>
  </si>
  <si>
    <t>Händlerbund</t>
  </si>
  <si>
    <t>ca. 10 / 40 mit Abmahnschutz</t>
  </si>
  <si>
    <t>Lfd. Anpassung rechtl. Änderungen, Rechtsberatung bei Angriffen</t>
  </si>
  <si>
    <t>Trusted Shop Gebühren</t>
  </si>
  <si>
    <t>Nutzung Newsletter SW</t>
  </si>
  <si>
    <t>kostenlos bis 2000 Empfänger z.B. Mailchimp</t>
  </si>
  <si>
    <t>Grundgebühr Payment-Provider</t>
  </si>
  <si>
    <t>30/oder keine</t>
  </si>
  <si>
    <t>ca. 1,75 pro Transaktion</t>
  </si>
  <si>
    <t xml:space="preserve">                              Kapitalbedarfsplan - Finanzierungsübersicht</t>
  </si>
  <si>
    <t>Anschaffungskosten 
(Anschaffungspreis o. MWSt., zzgl. Anschaffungsnebenkosten, abzgl. Skonti u. Rabatte)</t>
  </si>
  <si>
    <t>AfA Sätze</t>
  </si>
  <si>
    <t>AfA Beträge</t>
  </si>
  <si>
    <t>Für den Erwerb und die Neuerrichtung eines Unternehmens</t>
  </si>
  <si>
    <t>o. MWSt.</t>
  </si>
  <si>
    <t>m. MWSt.</t>
  </si>
  <si>
    <t>I.</t>
  </si>
  <si>
    <t>Unternehmensübernahme</t>
  </si>
  <si>
    <t>Kaufpreis für das gesamte Unternehmen</t>
  </si>
  <si>
    <t>II.</t>
  </si>
  <si>
    <t xml:space="preserve">Investitionen zur Herstellung der Leistungsbereitschaft </t>
  </si>
  <si>
    <t>1.</t>
  </si>
  <si>
    <t>Immaterielle Vermögensgegenstände</t>
  </si>
  <si>
    <t>Einmalige Gebühren f. Patente, Lizenzen, gewerbl. Schutzrechte, Franchise u.ä.</t>
  </si>
  <si>
    <t>Geschäfts- und Firmenwert</t>
  </si>
  <si>
    <t>Software</t>
  </si>
  <si>
    <t>Sachanlagen</t>
  </si>
  <si>
    <t>Grund und Boden</t>
  </si>
  <si>
    <t>Grundstückseinrichtungen</t>
  </si>
  <si>
    <t>Aus- und Umbaumaßnahmen, Modernisierungen, Renovierungen</t>
  </si>
  <si>
    <t>Anlagen der Energieversorgung</t>
  </si>
  <si>
    <t xml:space="preserve">Maschinen der mechanischen Materialbearbeitung, </t>
  </si>
  <si>
    <t xml:space="preserve"> - verarbeitung und - umwandlung</t>
  </si>
  <si>
    <t>Anlagen der Materiallagerung und  - bereitstellung</t>
  </si>
  <si>
    <t xml:space="preserve">Anlagen für Arbeitssicherheit und Umweltschutz </t>
  </si>
  <si>
    <t>Transportanlagen (Krananlagen)</t>
  </si>
  <si>
    <t>Versuchsanlagen</t>
  </si>
  <si>
    <t>Kleinmaschinen und - geräte</t>
  </si>
  <si>
    <t>Geringwertige Anlagen und Maschinen</t>
  </si>
  <si>
    <t>Betriebsausstattung</t>
  </si>
  <si>
    <t>Werkstätteneinrichtung</t>
  </si>
  <si>
    <t>Werkzeuge, Modelle, Prüf- und Messmittel</t>
  </si>
  <si>
    <t>Lagereinrichtungen</t>
  </si>
  <si>
    <t>Geräte und Einrichtungen des innerbetriebl.Transports</t>
  </si>
  <si>
    <t>Firmenfahrzeuge</t>
  </si>
  <si>
    <t>GWGs der Betriebsausstattung</t>
  </si>
  <si>
    <t>Geschäftsausstattung</t>
  </si>
  <si>
    <t>Büromaschinen, Organisationsmittel und Kommunikat-</t>
  </si>
  <si>
    <t>tionseinrichtungen</t>
  </si>
  <si>
    <t>Büromöbel u.ä. Geschäftsausstattung, GWGs</t>
  </si>
  <si>
    <t>Reserve für Unvorhergesehenes, Folgeinvestitionen etc.</t>
  </si>
  <si>
    <t>III.</t>
  </si>
  <si>
    <t>Material- und Warenlager</t>
  </si>
  <si>
    <t>RHB-Stoffe, Fremdbauteile</t>
  </si>
  <si>
    <t>Handelswaren</t>
  </si>
  <si>
    <t>Unfertige Erzeugnisse</t>
  </si>
  <si>
    <t>Fertige Erzeugnisse, Waren</t>
  </si>
  <si>
    <t>Übernommenes Vorräte-/ Warenlager</t>
  </si>
  <si>
    <t>IV.</t>
  </si>
  <si>
    <t>Sonstiger Mittelbedarf für die Anlaufphase</t>
  </si>
  <si>
    <t>Roh-, Hilfs- und Betriebsstoffe, Fremdbauteile, Waren</t>
  </si>
  <si>
    <t>Bezogene Leistungen für Erzeugnisse u.a. Umsatzleistungen</t>
  </si>
  <si>
    <t>Fremdkräfte</t>
  </si>
  <si>
    <t>Lohn- und Gehaltskosten, Soziale Abgaben</t>
  </si>
  <si>
    <t>Werbemaßnahmen</t>
  </si>
  <si>
    <t>Sonstige besondere Belastungen d. Anlaufphase  (betriebliche Anlaufkosten)</t>
  </si>
  <si>
    <t>V.</t>
  </si>
  <si>
    <t>Beratungskosten</t>
  </si>
  <si>
    <t>Anwalts- und Notarkosten</t>
  </si>
  <si>
    <t>Anmeldungskosten</t>
  </si>
  <si>
    <t>Genehmigungskosten</t>
  </si>
  <si>
    <t>Raumbeschaffungskosten</t>
  </si>
  <si>
    <t>Aus- und Fortbildungskosten</t>
  </si>
  <si>
    <t>Markteinführungskosten</t>
  </si>
  <si>
    <t>Summe aus I., II., (Investitionsmittel)</t>
  </si>
  <si>
    <t>Summe aus III, IV., V. (Betriebsmittel)</t>
  </si>
  <si>
    <t>Summe Gesamtinvestitionen</t>
  </si>
  <si>
    <t>jährlich</t>
  </si>
  <si>
    <t>monatlich</t>
  </si>
  <si>
    <t>Finanzierungsmittel</t>
  </si>
  <si>
    <t>Betrag</t>
  </si>
  <si>
    <t>Satz</t>
  </si>
  <si>
    <t>Zinsen p.a.</t>
  </si>
  <si>
    <t>Tilgung p.a.</t>
  </si>
  <si>
    <t>I</t>
  </si>
  <si>
    <t>Eigenkapital Bar</t>
  </si>
  <si>
    <t>Sachwerte/Eigenleistung</t>
  </si>
  <si>
    <t>Beteiligungskapital</t>
  </si>
  <si>
    <t>Gesamt Eigenkapital</t>
  </si>
  <si>
    <t>II</t>
  </si>
  <si>
    <t>Förderdarlehen</t>
  </si>
  <si>
    <t>Hausbankdarlehen I</t>
  </si>
  <si>
    <t>Hausbankdarlehen II</t>
  </si>
  <si>
    <t>Private Darlehen</t>
  </si>
  <si>
    <t>Gesamt Fremdkapital</t>
  </si>
  <si>
    <r>
      <t xml:space="preserve">Gewerbesteuer Muster Berechnung: </t>
    </r>
    <r>
      <rPr>
        <b/>
        <sz val="10"/>
        <rFont val="Arial"/>
        <family val="2"/>
      </rPr>
      <t xml:space="preserve"> Einzelfirma                            GmbH</t>
    </r>
  </si>
  <si>
    <t>Multipliaktor</t>
  </si>
  <si>
    <t xml:space="preserve">Gewinn </t>
  </si>
  <si>
    <t>Zurechnungen 25% aus</t>
  </si>
  <si>
    <t xml:space="preserve"> +Zinsen</t>
  </si>
  <si>
    <t xml:space="preserve"> +Mieten 20% Bewegl. AV</t>
  </si>
  <si>
    <t xml:space="preserve"> +Mieten 50% Immobil. AV</t>
  </si>
  <si>
    <t>sofern Summe &gt;100T€</t>
  </si>
  <si>
    <t xml:space="preserve"> Freibetrag</t>
  </si>
  <si>
    <t>Maßgebl.Gewerbeetrag</t>
  </si>
  <si>
    <t>Steuermeßbetrag (bundeseinhl)</t>
  </si>
  <si>
    <t>GeSt = Steuermeßbetr x Hebesatz</t>
  </si>
  <si>
    <t>Anrechnungsbetrag Einkommensteuer = Steuermeßbetrag x 3,8</t>
  </si>
  <si>
    <t>Gewerbesteuer</t>
  </si>
  <si>
    <t>Telef.Akquiese!A1</t>
  </si>
  <si>
    <t>Sie erhalten bie Nutzung und Einstellung der Datei auf Ihre Werte wichtige Hindweise zur Anzahl der Ansprachen (neutral ausgedrückt, also Telefonate, Mails, Briefe usw) und zum Zeitbedarf!</t>
  </si>
  <si>
    <t xml:space="preserve">                                   Auftrags - Akquisition per Telefon oder andere Medien</t>
  </si>
  <si>
    <t>1.Emittlung der benötigten Aufträge pro Monat</t>
  </si>
  <si>
    <t>Wieviel Umsatz möchten Sie pro Monat erzielen</t>
  </si>
  <si>
    <t>Wie groß ist typischer Weise der Umsatz eines Autrages</t>
  </si>
  <si>
    <t xml:space="preserve"> = Sie benötigen also pro Monat so viel neue Aufträge</t>
  </si>
  <si>
    <t>2. Ermittlung der benötigten Akquisitionen pro Monate</t>
  </si>
  <si>
    <t xml:space="preserve">Wieviele Angebote müssen sie abgeben um einen Auftrag zu </t>
  </si>
  <si>
    <t>erhalten</t>
  </si>
  <si>
    <t>Wieviele konkrete Projekt/Verkausgespräche müssen sie führen um zu einer Angebotsabgabe aufgefordert zu werden</t>
  </si>
  <si>
    <t>Wieviel Akq Telefonate müssen sie machen um ein konkretes Projekt/Verkaufsgespräch zu führen</t>
  </si>
  <si>
    <t>Telefongespräche mit Bestandskunden je Monat</t>
  </si>
  <si>
    <t>Telefonate insgesamt</t>
  </si>
  <si>
    <t>3. Emittlung der Telefonate je Arbeitstag</t>
  </si>
  <si>
    <t>Wenn Sie sich an jedem Arbeitstag Zeit dafür nehmen</t>
  </si>
  <si>
    <t>sind das ( bei 20 Arbeitstagen je Monat) täglich</t>
  </si>
  <si>
    <t>4. Ermittlung der Telefongespräche mit Bestandskunden</t>
  </si>
  <si>
    <t xml:space="preserve">Wenn Sie jeden Monat </t>
  </si>
  <si>
    <t xml:space="preserve">Telefongespräche mit </t>
  </si>
  <si>
    <t xml:space="preserve">Bestandskunden führen, dann Bleiben pro Tag noch </t>
  </si>
  <si>
    <t>Telefonate für Neukunden.</t>
  </si>
  <si>
    <t>5. Ermittlung der benötigten Zeit pro Tag</t>
  </si>
  <si>
    <t xml:space="preserve">Wenn ein Telefonat im Durchschnitt 10 Min. dauert, dann bindet die  </t>
  </si>
  <si>
    <t xml:space="preserve">Telefonakquise </t>
  </si>
  <si>
    <t>Minuten</t>
  </si>
  <si>
    <t>Verfahrensweg in der Tabelle für die Ermittlung von Stundensätzen usw</t>
  </si>
  <si>
    <t>Kosten +++</t>
  </si>
  <si>
    <t>/Produktive Std</t>
  </si>
  <si>
    <t>/Produktive MA</t>
  </si>
  <si>
    <t>&gt;&gt;&gt;&gt;&gt;&gt;&gt;</t>
  </si>
  <si>
    <t>Stundensätze</t>
  </si>
  <si>
    <t>Sonst. Komponenten</t>
  </si>
  <si>
    <t>Produkte****</t>
  </si>
  <si>
    <t>&gt;&gt;&gt;&gt;&gt;&gt;&gt;&gt;</t>
  </si>
  <si>
    <t>Preise</t>
  </si>
  <si>
    <t>Zeiteinheiten---</t>
  </si>
  <si>
    <t>Arbeitsschritte</t>
  </si>
  <si>
    <t>Mengen ***</t>
  </si>
  <si>
    <t>Umsätze</t>
  </si>
  <si>
    <t>Verfahrensweg für die Ermittlung von Rohaufschlägen</t>
  </si>
  <si>
    <t>Sonst.Komponenten</t>
  </si>
  <si>
    <t>geteilt</t>
  </si>
  <si>
    <t>Wareneinsatz %</t>
  </si>
  <si>
    <t>Aktive Akquisitionsvorgänge</t>
  </si>
  <si>
    <t>Kontakt</t>
  </si>
  <si>
    <t>Bespre chung</t>
  </si>
  <si>
    <t>Angebot</t>
  </si>
  <si>
    <t>Nachfassen mit Bewertung</t>
  </si>
  <si>
    <t>Autrag</t>
  </si>
  <si>
    <t>Geschäftsfeld I</t>
  </si>
  <si>
    <t>Müller</t>
  </si>
  <si>
    <t>Datum</t>
  </si>
  <si>
    <t>Datum (2)</t>
  </si>
  <si>
    <t>Auftrag 1</t>
  </si>
  <si>
    <t>Auftrag 2</t>
  </si>
  <si>
    <t>Kunde 2</t>
  </si>
  <si>
    <t>Geschäftsfeld II</t>
  </si>
  <si>
    <t>Schulze</t>
  </si>
  <si>
    <t>Autrag 1</t>
  </si>
  <si>
    <t>Autrag 2</t>
  </si>
  <si>
    <t xml:space="preserve">Legende für Bewertung      </t>
  </si>
  <si>
    <t>1 Autrag</t>
  </si>
  <si>
    <t xml:space="preserve">2 Hohes </t>
  </si>
  <si>
    <t>Interesse</t>
  </si>
  <si>
    <t>Profil und Leistungsbreite des Verkäufers/Beraters</t>
  </si>
  <si>
    <t>3 Interesse</t>
  </si>
  <si>
    <t>Faires Geschäftsgebahren</t>
  </si>
  <si>
    <t xml:space="preserve">4 Kein </t>
  </si>
  <si>
    <t>Unbürokratische und flexible Reaktion auf Kundenwünsche</t>
  </si>
  <si>
    <t>5.Ablehnung</t>
  </si>
  <si>
    <t>Vertraut mit Problemen des Kunden(Betriebes)</t>
  </si>
  <si>
    <t>Hat umfangreiche Branchen - Fachkenntnisse</t>
  </si>
  <si>
    <t>Schnelle und zuverlässige Abwicklung des Tagesgeschäftes</t>
  </si>
  <si>
    <t>Ist initiativ bei der Ansprache von (Neu) Kunden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</si>
</sst>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6" formatCode="#,##0\ &quot;€&quot;;[Red]\-#,##0\ &quot;€&quot;"/>
    <numFmt numFmtId="42" formatCode="_-* #,##0\ &quot;€&quot;_-;\-* #,##0\ &quot;€&quot;_-;_-* &quot;-&quot;\ &quot;€&quot;_-;_-@_-"/>
    <numFmt numFmtId="44" formatCode="_-* #,##0.00\ &quot;€&quot;_-;\-* #,##0.00\ &quot;€&quot;_-;_-* &quot;-&quot;??\ &quot;€&quot;_-;_-@_-"/>
    <numFmt numFmtId="164" formatCode="_-* #,##0\ _€_-;\-* #,##0\ _€_-;_-* &quot;-&quot;\ _€_-;_-@_-"/>
    <numFmt numFmtId="165" formatCode="#,##0.00\ &quot;€&quot;"/>
    <numFmt numFmtId="166" formatCode="#,##0.0"/>
    <numFmt numFmtId="167" formatCode="0.0000"/>
    <numFmt numFmtId="168" formatCode="0.000"/>
    <numFmt numFmtId="169" formatCode="0.0"/>
    <numFmt numFmtId="170" formatCode="#,##0_ ;[Red]\-#,##0\ "/>
    <numFmt numFmtId="171" formatCode="0.0%"/>
    <numFmt numFmtId="172" formatCode="#,##0.00\ _D_M"/>
    <numFmt numFmtId="173" formatCode="#,##0.00\ [$€-1]"/>
    <numFmt numFmtId="174" formatCode="#,##0.00\ [$€-407];[Red]\-#,##0.00\ [$€-407]"/>
    <numFmt numFmtId="175" formatCode="#,##0.00\ _€"/>
    <numFmt numFmtId="176" formatCode="#,##0.00_ ;[Red]\-#,##0.00\ "/>
    <numFmt numFmtId="177" formatCode="#,##0.0000"/>
    <numFmt numFmtId="178" formatCode="#,##0\ &quot;€&quot;"/>
    <numFmt numFmtId="179" formatCode="d/m/yy"/>
    <numFmt numFmtId="180" formatCode="_-* #,##0.00\ &quot;Euro&quot;_-;\-* #,##0.00\ &quot;Euro&quot;_-;_-* &quot;&quot;??\ _-;_-_-"/>
    <numFmt numFmtId="181" formatCode="_-* #,##0.00\ &quot;sfr&quot;_-;\-* #,##0.00\ &quot;sfr&quot;_-;_-* &quot;&quot;??\ _-;_-_-"/>
    <numFmt numFmtId="182" formatCode="#,##0.00\ &quot;DM&quot;_-;_*#,##0.00\ &quot;DM&quot;_-;_-* &quot;&quot;??_-;_-_-"/>
    <numFmt numFmtId="183" formatCode="#,##0.00_ ;\-#,##0.00\ "/>
    <numFmt numFmtId="184" formatCode="d/m/yy;@"/>
    <numFmt numFmtId="185" formatCode="dd/mm/yy;@"/>
    <numFmt numFmtId="186" formatCode="0.00_ ;[Red]\-0.00\ "/>
    <numFmt numFmtId="187" formatCode="0.00\ \€"/>
    <numFmt numFmtId="188" formatCode="_-* #,##0.00\ _D_M_-;\-* #,##0.00\ _D_M_-;_-* &quot;-&quot;??\ _D_M_-;_-@_-"/>
  </numFmts>
  <fonts count="122">
    <font>
      <sz val="10"/>
      <name val="Arial"/>
    </font>
    <font>
      <sz val="10"/>
      <name val="Arial"/>
      <family val="2"/>
    </font>
    <font>
      <b/>
      <sz val="10"/>
      <name val="Arial"/>
      <family val="2"/>
    </font>
    <font>
      <sz val="12"/>
      <name val="Arial"/>
      <family val="2"/>
    </font>
    <font>
      <sz val="12"/>
      <color indexed="9"/>
      <name val="Arial"/>
      <family val="2"/>
    </font>
    <font>
      <sz val="10"/>
      <name val="Arial"/>
      <family val="2"/>
    </font>
    <font>
      <b/>
      <sz val="10"/>
      <color indexed="9"/>
      <name val="Arial"/>
      <family val="2"/>
    </font>
    <font>
      <b/>
      <sz val="12"/>
      <name val="Arial"/>
      <family val="2"/>
    </font>
    <font>
      <sz val="11"/>
      <name val="Arial"/>
      <family val="2"/>
    </font>
    <font>
      <sz val="8"/>
      <name val="Arial"/>
      <family val="2"/>
    </font>
    <font>
      <b/>
      <sz val="14"/>
      <name val="Arial"/>
      <family val="2"/>
    </font>
    <font>
      <sz val="10"/>
      <name val="Arial"/>
      <family val="2"/>
    </font>
    <font>
      <sz val="10"/>
      <name val="Anivers"/>
    </font>
    <font>
      <sz val="14"/>
      <name val="Arial"/>
      <family val="2"/>
    </font>
    <font>
      <sz val="10"/>
      <name val="Verdana"/>
      <family val="2"/>
    </font>
    <font>
      <b/>
      <sz val="10"/>
      <name val="Verdana"/>
      <family val="2"/>
    </font>
    <font>
      <sz val="10"/>
      <color indexed="23"/>
      <name val="Verdana"/>
      <family val="2"/>
    </font>
    <font>
      <b/>
      <sz val="10"/>
      <color indexed="23"/>
      <name val="Verdana"/>
      <family val="2"/>
    </font>
    <font>
      <b/>
      <sz val="12"/>
      <name val="Verdana"/>
      <family val="2"/>
    </font>
    <font>
      <sz val="14"/>
      <name val="Verdana"/>
      <family val="2"/>
    </font>
    <font>
      <b/>
      <sz val="6"/>
      <name val="Verdana"/>
      <family val="2"/>
    </font>
    <font>
      <sz val="12"/>
      <name val="Verdana"/>
      <family val="2"/>
    </font>
    <font>
      <sz val="12"/>
      <color indexed="9"/>
      <name val="Verdana"/>
      <family val="2"/>
    </font>
    <font>
      <b/>
      <sz val="10"/>
      <color indexed="9"/>
      <name val="Verdana"/>
      <family val="2"/>
    </font>
    <font>
      <b/>
      <sz val="11"/>
      <name val="Verdana"/>
      <family val="2"/>
    </font>
    <font>
      <sz val="11"/>
      <name val="Verdana"/>
      <family val="2"/>
    </font>
    <font>
      <sz val="10"/>
      <color indexed="9"/>
      <name val="Verdana"/>
      <family val="2"/>
    </font>
    <font>
      <b/>
      <sz val="14"/>
      <name val="Verdana"/>
      <family val="2"/>
    </font>
    <font>
      <b/>
      <sz val="8"/>
      <name val="Verdana"/>
      <family val="2"/>
    </font>
    <font>
      <sz val="8"/>
      <name val="Verdana"/>
      <family val="2"/>
    </font>
    <font>
      <sz val="8"/>
      <color indexed="8"/>
      <name val="Calibri"/>
      <family val="2"/>
    </font>
    <font>
      <sz val="8"/>
      <name val="Arial"/>
      <family val="2"/>
    </font>
    <font>
      <b/>
      <sz val="10"/>
      <color indexed="81"/>
      <name val="Verdana"/>
      <family val="2"/>
    </font>
    <font>
      <sz val="10"/>
      <color indexed="81"/>
      <name val="Verdana"/>
      <family val="2"/>
    </font>
    <font>
      <b/>
      <sz val="10"/>
      <color indexed="81"/>
      <name val="Tahoma"/>
      <family val="2"/>
    </font>
    <font>
      <b/>
      <sz val="10"/>
      <color indexed="81"/>
      <name val="University Roman LET"/>
    </font>
    <font>
      <b/>
      <sz val="9"/>
      <color indexed="81"/>
      <name val="Tahoma"/>
      <family val="2"/>
    </font>
    <font>
      <b/>
      <sz val="10"/>
      <color indexed="14"/>
      <name val="Verdana"/>
      <family val="2"/>
    </font>
    <font>
      <b/>
      <sz val="8"/>
      <color indexed="81"/>
      <name val="Tahoma"/>
      <family val="2"/>
    </font>
    <font>
      <sz val="9"/>
      <color indexed="81"/>
      <name val="Tahoma"/>
      <family val="2"/>
    </font>
    <font>
      <b/>
      <sz val="14"/>
      <color indexed="12"/>
      <name val="Times New Roman"/>
      <family val="1"/>
    </font>
    <font>
      <sz val="9"/>
      <name val="Arial"/>
      <family val="2"/>
    </font>
    <font>
      <sz val="10"/>
      <name val="Arial"/>
      <family val="2"/>
    </font>
    <font>
      <b/>
      <sz val="9"/>
      <name val="Verdana"/>
      <family val="2"/>
    </font>
    <font>
      <u/>
      <sz val="9"/>
      <color indexed="81"/>
      <name val="Tahoma"/>
      <family val="2"/>
    </font>
    <font>
      <u val="double"/>
      <sz val="9"/>
      <color indexed="81"/>
      <name val="Tahoma"/>
      <family val="2"/>
    </font>
    <font>
      <i/>
      <sz val="9"/>
      <color indexed="81"/>
      <name val="Tahoma"/>
      <family val="2"/>
    </font>
    <font>
      <sz val="9"/>
      <name val="Verdana"/>
      <family val="2"/>
    </font>
    <font>
      <b/>
      <sz val="9"/>
      <name val="Arial"/>
      <family val="2"/>
    </font>
    <font>
      <u/>
      <sz val="10"/>
      <name val="Verdana"/>
      <family val="2"/>
    </font>
    <font>
      <b/>
      <i/>
      <sz val="8"/>
      <color indexed="81"/>
      <name val="Tahoma"/>
      <family val="2"/>
    </font>
    <font>
      <sz val="10"/>
      <name val="Arial"/>
      <family val="2"/>
    </font>
    <font>
      <b/>
      <sz val="11"/>
      <color indexed="81"/>
      <name val="Tahoma"/>
      <family val="2"/>
    </font>
    <font>
      <b/>
      <u/>
      <sz val="11"/>
      <color indexed="81"/>
      <name val="Tahoma"/>
      <family val="2"/>
    </font>
    <font>
      <b/>
      <sz val="14"/>
      <color indexed="8"/>
      <name val="Verdana"/>
      <family val="2"/>
    </font>
    <font>
      <sz val="11"/>
      <color indexed="8"/>
      <name val="Verdana"/>
      <family val="2"/>
    </font>
    <font>
      <b/>
      <sz val="11"/>
      <name val="Arial"/>
      <family val="2"/>
    </font>
    <font>
      <sz val="11"/>
      <name val="Calibri"/>
      <family val="2"/>
    </font>
    <font>
      <sz val="30"/>
      <name val="Calibri"/>
      <family val="2"/>
    </font>
    <font>
      <b/>
      <sz val="12"/>
      <name val="Calibri"/>
      <family val="2"/>
    </font>
    <font>
      <sz val="12"/>
      <name val="Calibri"/>
      <family val="2"/>
    </font>
    <font>
      <i/>
      <sz val="10"/>
      <name val="Verdana"/>
      <family val="2"/>
    </font>
    <font>
      <sz val="12"/>
      <color indexed="81"/>
      <name val="Tahoma"/>
      <family val="2"/>
    </font>
    <font>
      <sz val="11"/>
      <name val="Cambria"/>
      <family val="1"/>
    </font>
    <font>
      <b/>
      <sz val="11"/>
      <name val="Cambria"/>
      <family val="1"/>
    </font>
    <font>
      <b/>
      <sz val="14"/>
      <name val="Cambria"/>
      <family val="1"/>
    </font>
    <font>
      <b/>
      <i/>
      <sz val="10"/>
      <color indexed="40"/>
      <name val="Arial"/>
      <family val="2"/>
    </font>
    <font>
      <sz val="10"/>
      <name val="Arial"/>
      <family val="2"/>
    </font>
    <font>
      <i/>
      <sz val="11"/>
      <name val="Arial"/>
      <family val="2"/>
    </font>
    <font>
      <sz val="10"/>
      <color indexed="81"/>
      <name val="Tahoma"/>
      <family val="2"/>
    </font>
    <font>
      <sz val="7"/>
      <color indexed="8"/>
      <name val="Arial"/>
      <family val="2"/>
    </font>
    <font>
      <sz val="8"/>
      <color indexed="81"/>
      <name val="Tahoma"/>
      <family val="2"/>
    </font>
    <font>
      <sz val="9"/>
      <color indexed="81"/>
      <name val="Arial"/>
      <family val="2"/>
    </font>
    <font>
      <b/>
      <sz val="10"/>
      <color indexed="10"/>
      <name val="Verdana"/>
      <family val="2"/>
    </font>
    <font>
      <b/>
      <sz val="10"/>
      <color indexed="10"/>
      <name val="Arial"/>
      <family val="2"/>
    </font>
    <font>
      <b/>
      <i/>
      <sz val="10"/>
      <name val="Arial"/>
      <family val="2"/>
    </font>
    <font>
      <b/>
      <sz val="9"/>
      <name val="Century Gothic"/>
      <family val="2"/>
    </font>
    <font>
      <b/>
      <sz val="11"/>
      <name val="Century Gothic"/>
      <family val="2"/>
    </font>
    <font>
      <sz val="10"/>
      <name val="Century Gothic"/>
      <family val="2"/>
    </font>
    <font>
      <b/>
      <sz val="12"/>
      <name val="Century Gothic"/>
      <family val="2"/>
    </font>
    <font>
      <sz val="12"/>
      <name val="Century Gothic"/>
      <family val="2"/>
    </font>
    <font>
      <b/>
      <sz val="9"/>
      <color indexed="81"/>
      <name val="Verdana"/>
      <family val="2"/>
    </font>
    <font>
      <sz val="10"/>
      <name val="Arial"/>
      <family val="2"/>
    </font>
    <font>
      <sz val="11"/>
      <color theme="1"/>
      <name val="Calibri"/>
      <family val="2"/>
      <scheme val="minor"/>
    </font>
    <font>
      <b/>
      <sz val="11"/>
      <color theme="1"/>
      <name val="Calibri"/>
      <family val="2"/>
      <scheme val="minor"/>
    </font>
    <font>
      <u/>
      <sz val="11"/>
      <color theme="10"/>
      <name val="Calibri"/>
      <family val="2"/>
      <scheme val="minor"/>
    </font>
    <font>
      <u/>
      <sz val="9"/>
      <color theme="10"/>
      <name val="Arial"/>
      <family val="2"/>
    </font>
    <font>
      <sz val="10"/>
      <color theme="9" tint="0.39997558519241921"/>
      <name val="Arial"/>
      <family val="2"/>
    </font>
    <font>
      <b/>
      <sz val="14"/>
      <color theme="9" tint="0.39997558519241921"/>
      <name val="Arial"/>
      <family val="2"/>
    </font>
    <font>
      <b/>
      <sz val="10"/>
      <color theme="9" tint="0.39997558519241921"/>
      <name val="Arial"/>
      <family val="2"/>
    </font>
    <font>
      <sz val="10"/>
      <color rgb="FFFF0000"/>
      <name val="Arial"/>
      <family val="2"/>
    </font>
    <font>
      <sz val="10"/>
      <color rgb="FFFF0000"/>
      <name val="Verdana"/>
      <family val="2"/>
    </font>
    <font>
      <b/>
      <sz val="10"/>
      <color rgb="FFFF0000"/>
      <name val="Verdana"/>
      <family val="2"/>
    </font>
    <font>
      <b/>
      <sz val="12"/>
      <color rgb="FF00B050"/>
      <name val="Verdana"/>
      <family val="2"/>
    </font>
    <font>
      <sz val="10"/>
      <color rgb="FF00B050"/>
      <name val="Verdana"/>
      <family val="2"/>
    </font>
    <font>
      <b/>
      <sz val="11"/>
      <color theme="1"/>
      <name val="Century Gothic"/>
      <family val="2"/>
    </font>
    <font>
      <sz val="10"/>
      <color theme="3" tint="-0.249977111117893"/>
      <name val="Arial"/>
      <family val="2"/>
    </font>
    <font>
      <sz val="10"/>
      <color theme="1"/>
      <name val="Arial"/>
      <family val="2"/>
    </font>
    <font>
      <sz val="11"/>
      <color theme="1"/>
      <name val="Arial"/>
      <family val="2"/>
    </font>
    <font>
      <sz val="9"/>
      <color theme="1"/>
      <name val="Arial"/>
      <family val="2"/>
    </font>
    <font>
      <b/>
      <sz val="9"/>
      <color rgb="FFFF9900"/>
      <name val="Arial "/>
    </font>
    <font>
      <sz val="11"/>
      <color rgb="FFFF9900"/>
      <name val="Calibri"/>
      <family val="2"/>
      <scheme val="minor"/>
    </font>
    <font>
      <sz val="20"/>
      <color theme="1"/>
      <name val="Times New Roman"/>
      <family val="1"/>
    </font>
    <font>
      <b/>
      <sz val="11"/>
      <color rgb="FF0000FF"/>
      <name val="Arial"/>
      <family val="2"/>
    </font>
    <font>
      <b/>
      <u/>
      <sz val="9"/>
      <color rgb="FF1C356F"/>
      <name val="Arial"/>
      <family val="2"/>
    </font>
    <font>
      <b/>
      <sz val="9"/>
      <color rgb="FF1C356F"/>
      <name val="Arial"/>
      <family val="2"/>
    </font>
    <font>
      <b/>
      <sz val="9"/>
      <color theme="1"/>
      <name val="Arial"/>
      <family val="2"/>
    </font>
    <font>
      <b/>
      <sz val="20"/>
      <color rgb="FF1C356F"/>
      <name val="Times New Roman"/>
      <family val="1"/>
    </font>
    <font>
      <sz val="11"/>
      <color rgb="FF1C356F"/>
      <name val="Calibri"/>
      <family val="2"/>
      <scheme val="minor"/>
    </font>
    <font>
      <b/>
      <u/>
      <sz val="12"/>
      <color theme="10"/>
      <name val="Arial"/>
      <family val="2"/>
    </font>
    <font>
      <b/>
      <sz val="11"/>
      <color rgb="FF000000"/>
      <name val="Calibri"/>
      <family val="2"/>
      <charset val="1"/>
    </font>
    <font>
      <b/>
      <sz val="11"/>
      <color rgb="FF000000"/>
      <name val="Calibri"/>
      <family val="2"/>
    </font>
    <font>
      <i/>
      <sz val="10"/>
      <color rgb="FF00B050"/>
      <name val="Arial"/>
      <family val="2"/>
    </font>
    <font>
      <sz val="10"/>
      <color rgb="FF00B050"/>
      <name val="Arial"/>
      <family val="2"/>
    </font>
    <font>
      <b/>
      <sz val="16"/>
      <color theme="1"/>
      <name val="Century Gothic"/>
      <family val="2"/>
    </font>
    <font>
      <b/>
      <sz val="16"/>
      <color theme="1"/>
      <name val="Calibri"/>
      <family val="2"/>
      <scheme val="minor"/>
    </font>
    <font>
      <b/>
      <sz val="12"/>
      <color theme="1"/>
      <name val="Century Gothic"/>
      <family val="2"/>
    </font>
    <font>
      <sz val="14"/>
      <color theme="1"/>
      <name val="Verdana"/>
      <family val="2"/>
    </font>
    <font>
      <b/>
      <sz val="14"/>
      <color theme="1"/>
      <name val="Verdana"/>
      <family val="2"/>
    </font>
    <font>
      <sz val="20"/>
      <color theme="3" tint="-0.249977111117893"/>
      <name val="Arial"/>
      <family val="2"/>
    </font>
    <font>
      <b/>
      <sz val="9"/>
      <color rgb="FFFF9900"/>
      <name val="Arial"/>
      <family val="2"/>
    </font>
    <font>
      <sz val="9"/>
      <color rgb="FF1C356F"/>
      <name val="Arial"/>
      <family val="2"/>
    </font>
  </fonts>
  <fills count="38">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indexed="55"/>
        <bgColor indexed="64"/>
      </patternFill>
    </fill>
    <fill>
      <patternFill patternType="solid">
        <fgColor indexed="22"/>
        <bgColor indexed="64"/>
      </patternFill>
    </fill>
    <fill>
      <patternFill patternType="solid">
        <fgColor indexed="47"/>
        <bgColor indexed="64"/>
      </patternFill>
    </fill>
    <fill>
      <patternFill patternType="solid">
        <fgColor indexed="52"/>
        <bgColor indexed="64"/>
      </patternFill>
    </fill>
    <fill>
      <patternFill patternType="solid">
        <fgColor indexed="51"/>
        <bgColor indexed="64"/>
      </patternFill>
    </fill>
    <fill>
      <patternFill patternType="solid">
        <fgColor indexed="13"/>
        <bgColor indexed="64"/>
      </patternFill>
    </fill>
    <fill>
      <patternFill patternType="solid">
        <fgColor indexed="44"/>
        <bgColor indexed="64"/>
      </patternFill>
    </fill>
    <fill>
      <patternFill patternType="solid">
        <fgColor indexed="15"/>
        <bgColor indexed="64"/>
      </patternFill>
    </fill>
    <fill>
      <patternFill patternType="solid">
        <fgColor indexed="46"/>
        <bgColor indexed="64"/>
      </patternFill>
    </fill>
    <fill>
      <patternFill patternType="solid">
        <fgColor indexed="34"/>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theme="9" tint="0.39994506668294322"/>
        <bgColor indexed="64"/>
      </patternFill>
    </fill>
    <fill>
      <patternFill patternType="solid">
        <fgColor theme="0"/>
        <bgColor indexed="64"/>
      </patternFill>
    </fill>
    <fill>
      <patternFill patternType="solid">
        <fgColor theme="9" tint="0.39997558519241921"/>
        <bgColor indexed="40"/>
      </patternFill>
    </fill>
    <fill>
      <patternFill patternType="solid">
        <fgColor theme="9" tint="0.59996337778862885"/>
        <bgColor indexed="64"/>
      </patternFill>
    </fill>
    <fill>
      <patternFill patternType="solid">
        <fgColor theme="0" tint="-0.249977111117893"/>
        <bgColor indexed="40"/>
      </patternFill>
    </fill>
    <fill>
      <patternFill patternType="solid">
        <fgColor rgb="FFF2F2F2"/>
        <bgColor indexed="64"/>
      </patternFill>
    </fill>
    <fill>
      <patternFill patternType="solid">
        <fgColor rgb="FFFFFF00"/>
        <bgColor indexed="64"/>
      </patternFill>
    </fill>
    <fill>
      <patternFill patternType="solid">
        <fgColor theme="4" tint="0.39994506668294322"/>
        <bgColor indexed="64"/>
      </patternFill>
    </fill>
    <fill>
      <patternFill patternType="solid">
        <fgColor theme="3" tint="0.59996337778862885"/>
        <bgColor indexed="64"/>
      </patternFill>
    </fill>
    <fill>
      <patternFill patternType="solid">
        <fgColor theme="8" tint="0.39994506668294322"/>
        <bgColor indexed="64"/>
      </patternFill>
    </fill>
    <fill>
      <patternFill patternType="solid">
        <fgColor theme="1"/>
        <bgColor indexed="64"/>
      </patternFill>
    </fill>
    <fill>
      <patternFill patternType="solid">
        <fgColor rgb="FFB8D0EE"/>
        <bgColor indexed="64"/>
      </patternFill>
    </fill>
    <fill>
      <patternFill patternType="solid">
        <fgColor rgb="FFE9EFF7"/>
        <bgColor indexed="64"/>
      </patternFill>
    </fill>
    <fill>
      <patternFill patternType="solid">
        <fgColor rgb="FFE8EBF1"/>
        <bgColor indexed="64"/>
      </patternFill>
    </fill>
    <fill>
      <patternFill patternType="solid">
        <fgColor rgb="FFEDEBC7"/>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rgb="FFD9D9D9"/>
        <bgColor rgb="FFC0C0C0"/>
      </patternFill>
    </fill>
  </fills>
  <borders count="547">
    <border>
      <left/>
      <right/>
      <top/>
      <bottom/>
      <diagonal/>
    </border>
    <border>
      <left/>
      <right style="thick">
        <color indexed="22"/>
      </right>
      <top/>
      <bottom/>
      <diagonal/>
    </border>
    <border>
      <left style="dotted">
        <color indexed="55"/>
      </left>
      <right style="dotted">
        <color indexed="55"/>
      </right>
      <top style="dotted">
        <color indexed="55"/>
      </top>
      <bottom style="dotted">
        <color indexed="55"/>
      </bottom>
      <diagonal/>
    </border>
    <border>
      <left style="dotted">
        <color indexed="55"/>
      </left>
      <right style="medium">
        <color indexed="55"/>
      </right>
      <top style="dotted">
        <color indexed="55"/>
      </top>
      <bottom style="dotted">
        <color indexed="55"/>
      </bottom>
      <diagonal/>
    </border>
    <border>
      <left style="dotted">
        <color indexed="55"/>
      </left>
      <right style="medium">
        <color indexed="55"/>
      </right>
      <top style="medium">
        <color indexed="55"/>
      </top>
      <bottom style="dotted">
        <color indexed="55"/>
      </bottom>
      <diagonal/>
    </border>
    <border>
      <left style="dotted">
        <color indexed="55"/>
      </left>
      <right style="medium">
        <color indexed="55"/>
      </right>
      <top style="dotted">
        <color indexed="55"/>
      </top>
      <bottom style="medium">
        <color indexed="55"/>
      </bottom>
      <diagonal/>
    </border>
    <border>
      <left/>
      <right style="medium">
        <color indexed="55"/>
      </right>
      <top/>
      <bottom style="dotted">
        <color indexed="55"/>
      </bottom>
      <diagonal/>
    </border>
    <border>
      <left/>
      <right style="medium">
        <color indexed="55"/>
      </right>
      <top style="dotted">
        <color indexed="55"/>
      </top>
      <bottom style="dotted">
        <color indexed="55"/>
      </bottom>
      <diagonal/>
    </border>
    <border>
      <left style="dotted">
        <color indexed="55"/>
      </left>
      <right style="dotted">
        <color indexed="55"/>
      </right>
      <top/>
      <bottom style="dotted">
        <color indexed="55"/>
      </bottom>
      <diagonal/>
    </border>
    <border>
      <left/>
      <right style="medium">
        <color indexed="55"/>
      </right>
      <top style="dotted">
        <color indexed="55"/>
      </top>
      <bottom style="medium">
        <color indexed="55"/>
      </bottom>
      <diagonal/>
    </border>
    <border>
      <left style="medium">
        <color indexed="23"/>
      </left>
      <right style="dashed">
        <color indexed="22"/>
      </right>
      <top style="dashed">
        <color indexed="22"/>
      </top>
      <bottom style="dashed">
        <color indexed="22"/>
      </bottom>
      <diagonal/>
    </border>
    <border>
      <left style="medium">
        <color indexed="23"/>
      </left>
      <right style="dashed">
        <color indexed="22"/>
      </right>
      <top/>
      <bottom style="dashed">
        <color indexed="22"/>
      </bottom>
      <diagonal/>
    </border>
    <border>
      <left style="dashed">
        <color indexed="22"/>
      </left>
      <right/>
      <top/>
      <bottom style="dashed">
        <color indexed="22"/>
      </bottom>
      <diagonal/>
    </border>
    <border>
      <left style="dashed">
        <color indexed="22"/>
      </left>
      <right/>
      <top style="dashed">
        <color indexed="22"/>
      </top>
      <bottom style="dashed">
        <color indexed="22"/>
      </bottom>
      <diagonal/>
    </border>
    <border>
      <left/>
      <right style="dotted">
        <color indexed="55"/>
      </right>
      <top style="dotted">
        <color indexed="55"/>
      </top>
      <bottom style="dotted">
        <color indexed="55"/>
      </bottom>
      <diagonal/>
    </border>
    <border>
      <left/>
      <right style="medium">
        <color indexed="55"/>
      </right>
      <top/>
      <bottom/>
      <diagonal/>
    </border>
    <border>
      <left style="medium">
        <color indexed="55"/>
      </left>
      <right style="thin">
        <color indexed="55"/>
      </right>
      <top style="medium">
        <color indexed="55"/>
      </top>
      <bottom style="thin">
        <color indexed="55"/>
      </bottom>
      <diagonal/>
    </border>
    <border>
      <left style="medium">
        <color indexed="55"/>
      </left>
      <right style="dotted">
        <color indexed="55"/>
      </right>
      <top style="medium">
        <color indexed="55"/>
      </top>
      <bottom style="dotted">
        <color indexed="55"/>
      </bottom>
      <diagonal/>
    </border>
    <border>
      <left style="medium">
        <color indexed="55"/>
      </left>
      <right style="dotted">
        <color indexed="55"/>
      </right>
      <top style="dotted">
        <color indexed="55"/>
      </top>
      <bottom style="dotted">
        <color indexed="55"/>
      </bottom>
      <diagonal/>
    </border>
    <border>
      <left style="medium">
        <color indexed="55"/>
      </left>
      <right style="dotted">
        <color indexed="55"/>
      </right>
      <top style="dotted">
        <color indexed="55"/>
      </top>
      <bottom style="medium">
        <color indexed="55"/>
      </bottom>
      <diagonal/>
    </border>
    <border>
      <left style="thin">
        <color indexed="55"/>
      </left>
      <right/>
      <top/>
      <bottom/>
      <diagonal/>
    </border>
    <border>
      <left style="dotted">
        <color indexed="55"/>
      </left>
      <right/>
      <top style="dotted">
        <color indexed="55"/>
      </top>
      <bottom style="dotted">
        <color indexed="55"/>
      </bottom>
      <diagonal/>
    </border>
    <border>
      <left/>
      <right style="dotted">
        <color indexed="55"/>
      </right>
      <top style="dotted">
        <color indexed="55"/>
      </top>
      <bottom/>
      <diagonal/>
    </border>
    <border>
      <left style="dotted">
        <color indexed="55"/>
      </left>
      <right style="dotted">
        <color indexed="55"/>
      </right>
      <top style="dotted">
        <color indexed="55"/>
      </top>
      <bottom/>
      <diagonal/>
    </border>
    <border>
      <left style="dotted">
        <color indexed="55"/>
      </left>
      <right/>
      <top style="dotted">
        <color indexed="55"/>
      </top>
      <bottom/>
      <diagonal/>
    </border>
    <border>
      <left style="dashed">
        <color indexed="55"/>
      </left>
      <right style="dashed">
        <color indexed="55"/>
      </right>
      <top style="dashed">
        <color indexed="55"/>
      </top>
      <bottom style="dashed">
        <color indexed="55"/>
      </bottom>
      <diagonal/>
    </border>
    <border>
      <left style="thin">
        <color indexed="55"/>
      </left>
      <right style="dashed">
        <color indexed="55"/>
      </right>
      <top style="thin">
        <color indexed="55"/>
      </top>
      <bottom style="thin">
        <color indexed="55"/>
      </bottom>
      <diagonal/>
    </border>
    <border>
      <left style="dashed">
        <color indexed="55"/>
      </left>
      <right style="dashed">
        <color indexed="55"/>
      </right>
      <top style="thin">
        <color indexed="55"/>
      </top>
      <bottom style="thin">
        <color indexed="55"/>
      </bottom>
      <diagonal/>
    </border>
    <border>
      <left style="dashed">
        <color indexed="55"/>
      </left>
      <right style="thin">
        <color indexed="55"/>
      </right>
      <top style="thin">
        <color indexed="55"/>
      </top>
      <bottom style="thin">
        <color indexed="55"/>
      </bottom>
      <diagonal/>
    </border>
    <border>
      <left style="thin">
        <color indexed="55"/>
      </left>
      <right style="dashed">
        <color indexed="55"/>
      </right>
      <top style="thin">
        <color indexed="55"/>
      </top>
      <bottom style="dashed">
        <color indexed="55"/>
      </bottom>
      <diagonal/>
    </border>
    <border>
      <left style="dashed">
        <color indexed="55"/>
      </left>
      <right style="dashed">
        <color indexed="55"/>
      </right>
      <top style="thin">
        <color indexed="55"/>
      </top>
      <bottom style="dashed">
        <color indexed="55"/>
      </bottom>
      <diagonal/>
    </border>
    <border>
      <left style="dashed">
        <color indexed="55"/>
      </left>
      <right style="thin">
        <color indexed="55"/>
      </right>
      <top style="thin">
        <color indexed="55"/>
      </top>
      <bottom style="dashed">
        <color indexed="55"/>
      </bottom>
      <diagonal/>
    </border>
    <border>
      <left style="thin">
        <color indexed="55"/>
      </left>
      <right style="dashed">
        <color indexed="55"/>
      </right>
      <top style="dashed">
        <color indexed="55"/>
      </top>
      <bottom style="dashed">
        <color indexed="55"/>
      </bottom>
      <diagonal/>
    </border>
    <border>
      <left style="dashed">
        <color indexed="55"/>
      </left>
      <right style="thin">
        <color indexed="55"/>
      </right>
      <top style="dashed">
        <color indexed="55"/>
      </top>
      <bottom style="dashed">
        <color indexed="55"/>
      </bottom>
      <diagonal/>
    </border>
    <border>
      <left style="thin">
        <color indexed="55"/>
      </left>
      <right style="dashed">
        <color indexed="55"/>
      </right>
      <top style="dashed">
        <color indexed="55"/>
      </top>
      <bottom style="thin">
        <color indexed="55"/>
      </bottom>
      <diagonal/>
    </border>
    <border>
      <left style="dashed">
        <color indexed="55"/>
      </left>
      <right style="dashed">
        <color indexed="55"/>
      </right>
      <top style="dashed">
        <color indexed="55"/>
      </top>
      <bottom style="thin">
        <color indexed="55"/>
      </bottom>
      <diagonal/>
    </border>
    <border>
      <left style="thin">
        <color indexed="55"/>
      </left>
      <right style="dotted">
        <color indexed="55"/>
      </right>
      <top style="dotted">
        <color indexed="55"/>
      </top>
      <bottom style="dotted">
        <color indexed="55"/>
      </bottom>
      <diagonal/>
    </border>
    <border>
      <left style="thin">
        <color indexed="55"/>
      </left>
      <right style="dotted">
        <color indexed="55"/>
      </right>
      <top style="dotted">
        <color indexed="55"/>
      </top>
      <bottom/>
      <diagonal/>
    </border>
    <border>
      <left style="medium">
        <color indexed="55"/>
      </left>
      <right style="thin">
        <color indexed="55"/>
      </right>
      <top style="medium">
        <color indexed="55"/>
      </top>
      <bottom style="dashed">
        <color indexed="55"/>
      </bottom>
      <diagonal/>
    </border>
    <border>
      <left style="thin">
        <color indexed="55"/>
      </left>
      <right style="thin">
        <color indexed="55"/>
      </right>
      <top/>
      <bottom/>
      <diagonal/>
    </border>
    <border>
      <left style="thin">
        <color indexed="55"/>
      </left>
      <right style="medium">
        <color indexed="55"/>
      </right>
      <top/>
      <bottom/>
      <diagonal/>
    </border>
    <border>
      <left style="medium">
        <color indexed="55"/>
      </left>
      <right style="thin">
        <color indexed="55"/>
      </right>
      <top style="dashed">
        <color indexed="55"/>
      </top>
      <bottom style="dashed">
        <color indexed="55"/>
      </bottom>
      <diagonal/>
    </border>
    <border>
      <left style="medium">
        <color indexed="55"/>
      </left>
      <right style="thin">
        <color indexed="55"/>
      </right>
      <top style="dashed">
        <color indexed="55"/>
      </top>
      <bottom style="dotted">
        <color indexed="55"/>
      </bottom>
      <diagonal/>
    </border>
    <border>
      <left style="medium">
        <color indexed="55"/>
      </left>
      <right style="thin">
        <color indexed="55"/>
      </right>
      <top style="dotted">
        <color indexed="55"/>
      </top>
      <bottom style="dashed">
        <color indexed="55"/>
      </bottom>
      <diagonal/>
    </border>
    <border>
      <left/>
      <right style="medium">
        <color indexed="55"/>
      </right>
      <top style="thin">
        <color indexed="55"/>
      </top>
      <bottom style="double">
        <color indexed="55"/>
      </bottom>
      <diagonal/>
    </border>
    <border>
      <left style="medium">
        <color indexed="55"/>
      </left>
      <right/>
      <top/>
      <bottom/>
      <diagonal/>
    </border>
    <border>
      <left style="medium">
        <color indexed="55"/>
      </left>
      <right style="thin">
        <color indexed="55"/>
      </right>
      <top/>
      <bottom style="medium">
        <color indexed="55"/>
      </bottom>
      <diagonal/>
    </border>
    <border>
      <left/>
      <right style="medium">
        <color indexed="55"/>
      </right>
      <top/>
      <bottom style="medium">
        <color indexed="55"/>
      </bottom>
      <diagonal/>
    </border>
    <border>
      <left/>
      <right/>
      <top/>
      <bottom style="medium">
        <color indexed="55"/>
      </bottom>
      <diagonal/>
    </border>
    <border>
      <left style="thin">
        <color indexed="55"/>
      </left>
      <right style="thin">
        <color indexed="55"/>
      </right>
      <top style="dotted">
        <color indexed="55"/>
      </top>
      <bottom style="dotted">
        <color indexed="55"/>
      </bottom>
      <diagonal/>
    </border>
    <border>
      <left style="thin">
        <color indexed="55"/>
      </left>
      <right style="medium">
        <color indexed="55"/>
      </right>
      <top style="dotted">
        <color indexed="55"/>
      </top>
      <bottom style="dotted">
        <color indexed="55"/>
      </bottom>
      <diagonal/>
    </border>
    <border>
      <left style="thin">
        <color indexed="55"/>
      </left>
      <right style="thin">
        <color indexed="55"/>
      </right>
      <top style="dotted">
        <color indexed="55"/>
      </top>
      <bottom/>
      <diagonal/>
    </border>
    <border>
      <left style="thin">
        <color indexed="55"/>
      </left>
      <right style="medium">
        <color indexed="55"/>
      </right>
      <top style="dotted">
        <color indexed="55"/>
      </top>
      <bottom/>
      <diagonal/>
    </border>
    <border>
      <left/>
      <right/>
      <top style="thin">
        <color indexed="55"/>
      </top>
      <bottom style="double">
        <color indexed="55"/>
      </bottom>
      <diagonal/>
    </border>
    <border>
      <left/>
      <right style="thin">
        <color indexed="55"/>
      </right>
      <top/>
      <bottom/>
      <diagonal/>
    </border>
    <border>
      <left/>
      <right style="thin">
        <color indexed="55"/>
      </right>
      <top style="thin">
        <color indexed="55"/>
      </top>
      <bottom/>
      <diagonal/>
    </border>
    <border>
      <left style="dashed">
        <color indexed="22"/>
      </left>
      <right style="dashed">
        <color indexed="22"/>
      </right>
      <top/>
      <bottom style="dashed">
        <color indexed="22"/>
      </bottom>
      <diagonal/>
    </border>
    <border>
      <left style="dashed">
        <color indexed="22"/>
      </left>
      <right/>
      <top style="dashed">
        <color indexed="22"/>
      </top>
      <bottom/>
      <diagonal/>
    </border>
    <border>
      <left style="thick">
        <color indexed="55"/>
      </left>
      <right style="dotted">
        <color indexed="55"/>
      </right>
      <top style="dotted">
        <color indexed="55"/>
      </top>
      <bottom style="dotted">
        <color indexed="55"/>
      </bottom>
      <diagonal/>
    </border>
    <border>
      <left style="thick">
        <color indexed="55"/>
      </left>
      <right style="dotted">
        <color indexed="55"/>
      </right>
      <top style="dotted">
        <color indexed="55"/>
      </top>
      <bottom/>
      <diagonal/>
    </border>
    <border>
      <left style="dashed">
        <color indexed="55"/>
      </left>
      <right style="thin">
        <color indexed="55"/>
      </right>
      <top style="dashed">
        <color indexed="55"/>
      </top>
      <bottom style="thin">
        <color indexed="55"/>
      </bottom>
      <diagonal/>
    </border>
    <border>
      <left/>
      <right/>
      <top style="medium">
        <color indexed="55"/>
      </top>
      <bottom/>
      <diagonal/>
    </border>
    <border>
      <left/>
      <right style="thin">
        <color indexed="55"/>
      </right>
      <top style="medium">
        <color indexed="55"/>
      </top>
      <bottom/>
      <diagonal/>
    </border>
    <border>
      <left style="thin">
        <color indexed="55"/>
      </left>
      <right/>
      <top style="medium">
        <color indexed="55"/>
      </top>
      <bottom/>
      <diagonal/>
    </border>
    <border>
      <left/>
      <right style="medium">
        <color indexed="55"/>
      </right>
      <top style="medium">
        <color indexed="55"/>
      </top>
      <bottom style="thin">
        <color indexed="55"/>
      </bottom>
      <diagonal/>
    </border>
    <border>
      <left/>
      <right style="medium">
        <color indexed="55"/>
      </right>
      <top/>
      <bottom style="thin">
        <color indexed="55"/>
      </bottom>
      <diagonal/>
    </border>
    <border>
      <left style="medium">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style="medium">
        <color indexed="55"/>
      </left>
      <right style="thin">
        <color indexed="55"/>
      </right>
      <top style="thin">
        <color indexed="55"/>
      </top>
      <bottom style="double">
        <color indexed="55"/>
      </bottom>
      <diagonal/>
    </border>
    <border>
      <left style="medium">
        <color indexed="55"/>
      </left>
      <right style="thin">
        <color indexed="55"/>
      </right>
      <top/>
      <bottom style="double">
        <color indexed="55"/>
      </bottom>
      <diagonal/>
    </border>
    <border>
      <left style="thin">
        <color indexed="55"/>
      </left>
      <right style="thin">
        <color indexed="55"/>
      </right>
      <top/>
      <bottom style="double">
        <color indexed="55"/>
      </bottom>
      <diagonal/>
    </border>
    <border>
      <left style="medium">
        <color indexed="55"/>
      </left>
      <right/>
      <top style="double">
        <color indexed="55"/>
      </top>
      <bottom/>
      <diagonal/>
    </border>
    <border>
      <left style="thin">
        <color indexed="55"/>
      </left>
      <right style="medium">
        <color indexed="55"/>
      </right>
      <top/>
      <bottom style="double">
        <color indexed="55"/>
      </bottom>
      <diagonal/>
    </border>
    <border>
      <left/>
      <right style="medium">
        <color indexed="55"/>
      </right>
      <top style="medium">
        <color indexed="55"/>
      </top>
      <bottom/>
      <diagonal/>
    </border>
    <border>
      <left style="medium">
        <color indexed="55"/>
      </left>
      <right/>
      <top/>
      <bottom style="medium">
        <color indexed="55"/>
      </bottom>
      <diagonal/>
    </border>
    <border>
      <left/>
      <right style="thin">
        <color indexed="64"/>
      </right>
      <top/>
      <bottom/>
      <diagonal/>
    </border>
    <border>
      <left/>
      <right style="thin">
        <color indexed="55"/>
      </right>
      <top style="dotted">
        <color indexed="55"/>
      </top>
      <bottom style="dotted">
        <color indexed="55"/>
      </bottom>
      <diagonal/>
    </border>
    <border>
      <left/>
      <right style="thin">
        <color indexed="64"/>
      </right>
      <top style="medium">
        <color indexed="55"/>
      </top>
      <bottom style="medium">
        <color indexed="55"/>
      </bottom>
      <diagonal/>
    </border>
    <border>
      <left/>
      <right/>
      <top style="medium">
        <color indexed="55"/>
      </top>
      <bottom style="medium">
        <color indexed="55"/>
      </bottom>
      <diagonal/>
    </border>
    <border>
      <left/>
      <right style="thin">
        <color indexed="55"/>
      </right>
      <top style="dotted">
        <color indexed="55"/>
      </top>
      <bottom/>
      <diagonal/>
    </border>
    <border>
      <left style="medium">
        <color indexed="55"/>
      </left>
      <right/>
      <top style="thin">
        <color indexed="55"/>
      </top>
      <bottom style="double">
        <color indexed="55"/>
      </bottom>
      <diagonal/>
    </border>
    <border>
      <left/>
      <right style="thin">
        <color indexed="55"/>
      </right>
      <top style="thin">
        <color indexed="55"/>
      </top>
      <bottom style="double">
        <color indexed="55"/>
      </bottom>
      <diagonal/>
    </border>
    <border>
      <left/>
      <right style="thin">
        <color indexed="64"/>
      </right>
      <top/>
      <bottom style="thin">
        <color indexed="64"/>
      </bottom>
      <diagonal/>
    </border>
    <border>
      <left/>
      <right/>
      <top/>
      <bottom style="thin">
        <color indexed="64"/>
      </bottom>
      <diagonal/>
    </border>
    <border>
      <left/>
      <right style="thin">
        <color indexed="55"/>
      </right>
      <top/>
      <bottom style="double">
        <color indexed="55"/>
      </bottom>
      <diagonal/>
    </border>
    <border>
      <left/>
      <right style="thin">
        <color indexed="64"/>
      </right>
      <top style="thin">
        <color indexed="64"/>
      </top>
      <bottom style="medium">
        <color indexed="55"/>
      </bottom>
      <diagonal/>
    </border>
    <border>
      <left style="thin">
        <color indexed="64"/>
      </left>
      <right/>
      <top style="thin">
        <color indexed="64"/>
      </top>
      <bottom style="medium">
        <color indexed="55"/>
      </bottom>
      <diagonal/>
    </border>
    <border>
      <left style="medium">
        <color indexed="55"/>
      </left>
      <right/>
      <top style="medium">
        <color indexed="55"/>
      </top>
      <bottom/>
      <diagonal/>
    </border>
    <border>
      <left style="thin">
        <color indexed="55"/>
      </left>
      <right style="thin">
        <color indexed="55"/>
      </right>
      <top style="medium">
        <color indexed="55"/>
      </top>
      <bottom/>
      <diagonal/>
    </border>
    <border>
      <left style="thin">
        <color indexed="55"/>
      </left>
      <right style="thick">
        <color indexed="55"/>
      </right>
      <top style="medium">
        <color indexed="55"/>
      </top>
      <bottom/>
      <diagonal/>
    </border>
    <border>
      <left style="thin">
        <color indexed="55"/>
      </left>
      <right style="medium">
        <color indexed="55"/>
      </right>
      <top style="medium">
        <color indexed="55"/>
      </top>
      <bottom style="thin">
        <color indexed="55"/>
      </bottom>
      <diagonal/>
    </border>
    <border>
      <left style="medium">
        <color indexed="55"/>
      </left>
      <right/>
      <top/>
      <bottom style="thin">
        <color indexed="55"/>
      </bottom>
      <diagonal/>
    </border>
    <border>
      <left/>
      <right style="medium">
        <color indexed="55"/>
      </right>
      <top style="thin">
        <color indexed="55"/>
      </top>
      <bottom/>
      <diagonal/>
    </border>
    <border>
      <left style="medium">
        <color indexed="55"/>
      </left>
      <right style="medium">
        <color indexed="55"/>
      </right>
      <top style="dashed">
        <color indexed="55"/>
      </top>
      <bottom style="dashed">
        <color indexed="55"/>
      </bottom>
      <diagonal/>
    </border>
    <border>
      <left style="medium">
        <color indexed="64"/>
      </left>
      <right style="medium">
        <color indexed="64"/>
      </right>
      <top style="medium">
        <color indexed="64"/>
      </top>
      <bottom style="medium">
        <color indexed="64"/>
      </bottom>
      <diagonal/>
    </border>
    <border>
      <left/>
      <right/>
      <top style="double">
        <color indexed="55"/>
      </top>
      <bottom style="medium">
        <color indexed="55"/>
      </bottom>
      <diagonal/>
    </border>
    <border>
      <left style="medium">
        <color indexed="55"/>
      </left>
      <right style="medium">
        <color indexed="55"/>
      </right>
      <top style="medium">
        <color indexed="55"/>
      </top>
      <bottom style="medium">
        <color indexed="55"/>
      </bottom>
      <diagonal/>
    </border>
    <border>
      <left/>
      <right style="dotted">
        <color indexed="55"/>
      </right>
      <top/>
      <bottom style="dotted">
        <color indexed="55"/>
      </bottom>
      <diagonal/>
    </border>
    <border>
      <left style="dotted">
        <color indexed="55"/>
      </left>
      <right style="dotted">
        <color indexed="55"/>
      </right>
      <top/>
      <bottom/>
      <diagonal/>
    </border>
    <border>
      <left style="thick">
        <color indexed="23"/>
      </left>
      <right/>
      <top style="thick">
        <color indexed="23"/>
      </top>
      <bottom/>
      <diagonal/>
    </border>
    <border>
      <left style="thick">
        <color indexed="23"/>
      </left>
      <right/>
      <top/>
      <bottom/>
      <diagonal/>
    </border>
    <border>
      <left/>
      <right style="thick">
        <color indexed="23"/>
      </right>
      <top/>
      <bottom/>
      <diagonal/>
    </border>
    <border>
      <left style="medium">
        <color indexed="55"/>
      </left>
      <right/>
      <top style="medium">
        <color indexed="55"/>
      </top>
      <bottom style="medium">
        <color indexed="55"/>
      </bottom>
      <diagonal/>
    </border>
    <border>
      <left/>
      <right style="medium">
        <color indexed="55"/>
      </right>
      <top style="medium">
        <color indexed="55"/>
      </top>
      <bottom style="medium">
        <color indexed="55"/>
      </bottom>
      <diagonal/>
    </border>
    <border>
      <left/>
      <right/>
      <top style="medium">
        <color indexed="55"/>
      </top>
      <bottom style="double">
        <color indexed="55"/>
      </bottom>
      <diagonal/>
    </border>
    <border>
      <left/>
      <right/>
      <top style="thin">
        <color indexed="55"/>
      </top>
      <bottom style="thin">
        <color indexed="55"/>
      </bottom>
      <diagonal/>
    </border>
    <border>
      <left style="thick">
        <color indexed="23"/>
      </left>
      <right/>
      <top/>
      <bottom style="thick">
        <color indexed="23"/>
      </bottom>
      <diagonal/>
    </border>
    <border>
      <left/>
      <right/>
      <top/>
      <bottom style="thick">
        <color indexed="23"/>
      </bottom>
      <diagonal/>
    </border>
    <border>
      <left/>
      <right style="thick">
        <color indexed="23"/>
      </right>
      <top/>
      <bottom style="thick">
        <color indexed="23"/>
      </bottom>
      <diagonal/>
    </border>
    <border>
      <left style="medium">
        <color indexed="23"/>
      </left>
      <right/>
      <top style="medium">
        <color indexed="23"/>
      </top>
      <bottom/>
      <diagonal/>
    </border>
    <border>
      <left/>
      <right/>
      <top style="medium">
        <color indexed="23"/>
      </top>
      <bottom/>
      <diagonal/>
    </border>
    <border>
      <left style="medium">
        <color indexed="23"/>
      </left>
      <right/>
      <top/>
      <bottom/>
      <diagonal/>
    </border>
    <border>
      <left/>
      <right style="medium">
        <color indexed="23"/>
      </right>
      <top/>
      <bottom/>
      <diagonal/>
    </border>
    <border>
      <left style="medium">
        <color indexed="23"/>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23"/>
      </bottom>
      <diagonal/>
    </border>
    <border>
      <left style="medium">
        <color indexed="23"/>
      </left>
      <right/>
      <top/>
      <bottom style="medium">
        <color indexed="23"/>
      </bottom>
      <diagonal/>
    </border>
    <border>
      <left/>
      <right style="medium">
        <color indexed="23"/>
      </right>
      <top/>
      <bottom style="medium">
        <color indexed="23"/>
      </bottom>
      <diagonal/>
    </border>
    <border>
      <left style="dashed">
        <color indexed="64"/>
      </left>
      <right/>
      <top style="dashed">
        <color indexed="64"/>
      </top>
      <bottom style="dashed">
        <color indexed="64"/>
      </bottom>
      <diagonal/>
    </border>
    <border>
      <left style="thick">
        <color indexed="55"/>
      </left>
      <right/>
      <top style="thick">
        <color indexed="55"/>
      </top>
      <bottom/>
      <diagonal/>
    </border>
    <border>
      <left/>
      <right/>
      <top style="thick">
        <color indexed="55"/>
      </top>
      <bottom/>
      <diagonal/>
    </border>
    <border>
      <left/>
      <right style="thick">
        <color indexed="55"/>
      </right>
      <top style="thick">
        <color indexed="55"/>
      </top>
      <bottom/>
      <diagonal/>
    </border>
    <border>
      <left style="thick">
        <color indexed="55"/>
      </left>
      <right/>
      <top/>
      <bottom/>
      <diagonal/>
    </border>
    <border>
      <left/>
      <right style="thick">
        <color indexed="55"/>
      </right>
      <top/>
      <bottom/>
      <diagonal/>
    </border>
    <border>
      <left/>
      <right/>
      <top/>
      <bottom style="thick">
        <color indexed="55"/>
      </bottom>
      <diagonal/>
    </border>
    <border>
      <left/>
      <right style="thick">
        <color indexed="55"/>
      </right>
      <top/>
      <bottom style="thick">
        <color indexed="55"/>
      </bottom>
      <diagonal/>
    </border>
    <border>
      <left style="dashed">
        <color indexed="55"/>
      </left>
      <right style="thick">
        <color indexed="55"/>
      </right>
      <top style="dashed">
        <color indexed="55"/>
      </top>
      <bottom style="dashed">
        <color indexed="55"/>
      </bottom>
      <diagonal/>
    </border>
    <border>
      <left style="dashed">
        <color indexed="55"/>
      </left>
      <right style="dashed">
        <color indexed="55"/>
      </right>
      <top style="dashed">
        <color indexed="55"/>
      </top>
      <bottom/>
      <diagonal/>
    </border>
    <border>
      <left style="thin">
        <color indexed="55"/>
      </left>
      <right style="thin">
        <color indexed="55"/>
      </right>
      <top style="thin">
        <color indexed="55"/>
      </top>
      <bottom style="thin">
        <color indexed="55"/>
      </bottom>
      <diagonal/>
    </border>
    <border>
      <left/>
      <right style="thin">
        <color indexed="55"/>
      </right>
      <top/>
      <bottom style="thin">
        <color indexed="55"/>
      </bottom>
      <diagonal/>
    </border>
    <border>
      <left style="medium">
        <color indexed="55"/>
      </left>
      <right/>
      <top style="thin">
        <color indexed="55"/>
      </top>
      <bottom style="thin">
        <color indexed="55"/>
      </bottom>
      <diagonal/>
    </border>
    <border>
      <left style="thin">
        <color indexed="55"/>
      </left>
      <right style="medium">
        <color indexed="55"/>
      </right>
      <top/>
      <bottom style="thin">
        <color indexed="55"/>
      </bottom>
      <diagonal/>
    </border>
    <border>
      <left style="thin">
        <color indexed="55"/>
      </left>
      <right style="medium">
        <color indexed="55"/>
      </right>
      <top style="thin">
        <color indexed="55"/>
      </top>
      <bottom style="thin">
        <color indexed="55"/>
      </bottom>
      <diagonal/>
    </border>
    <border>
      <left style="medium">
        <color indexed="55"/>
      </left>
      <right style="thin">
        <color indexed="55"/>
      </right>
      <top style="thin">
        <color indexed="55"/>
      </top>
      <bottom style="medium">
        <color indexed="55"/>
      </bottom>
      <diagonal/>
    </border>
    <border>
      <left style="dotted">
        <color indexed="55"/>
      </left>
      <right style="medium">
        <color indexed="55"/>
      </right>
      <top style="dotted">
        <color indexed="55"/>
      </top>
      <bottom/>
      <diagonal/>
    </border>
    <border>
      <left style="medium">
        <color indexed="55"/>
      </left>
      <right/>
      <top style="medium">
        <color indexed="55"/>
      </top>
      <bottom style="double">
        <color indexed="55"/>
      </bottom>
      <diagonal/>
    </border>
    <border>
      <left/>
      <right style="thin">
        <color indexed="55"/>
      </right>
      <top style="medium">
        <color indexed="55"/>
      </top>
      <bottom style="double">
        <color indexed="55"/>
      </bottom>
      <diagonal/>
    </border>
    <border>
      <left style="thin">
        <color indexed="55"/>
      </left>
      <right/>
      <top style="medium">
        <color indexed="55"/>
      </top>
      <bottom style="double">
        <color indexed="55"/>
      </bottom>
      <diagonal/>
    </border>
    <border>
      <left/>
      <right style="medium">
        <color indexed="55"/>
      </right>
      <top style="medium">
        <color indexed="55"/>
      </top>
      <bottom style="double">
        <color indexed="55"/>
      </bottom>
      <diagonal/>
    </border>
    <border>
      <left style="dotted">
        <color indexed="55"/>
      </left>
      <right style="dotted">
        <color indexed="55"/>
      </right>
      <top style="medium">
        <color indexed="55"/>
      </top>
      <bottom style="double">
        <color indexed="55"/>
      </bottom>
      <diagonal/>
    </border>
    <border>
      <left style="thick">
        <color indexed="55"/>
      </left>
      <right style="dashed">
        <color indexed="55"/>
      </right>
      <top style="dashed">
        <color indexed="55"/>
      </top>
      <bottom style="dashed">
        <color indexed="55"/>
      </bottom>
      <diagonal/>
    </border>
    <border>
      <left style="medium">
        <color indexed="55"/>
      </left>
      <right/>
      <top style="dashed">
        <color indexed="55"/>
      </top>
      <bottom style="dashed">
        <color indexed="55"/>
      </bottom>
      <diagonal/>
    </border>
    <border>
      <left style="dashed">
        <color indexed="22"/>
      </left>
      <right style="dashed">
        <color indexed="22"/>
      </right>
      <top style="dashed">
        <color indexed="22"/>
      </top>
      <bottom style="dashed">
        <color indexed="22"/>
      </bottom>
      <diagonal/>
    </border>
    <border>
      <left style="medium">
        <color indexed="55"/>
      </left>
      <right/>
      <top style="dashed">
        <color indexed="55"/>
      </top>
      <bottom/>
      <diagonal/>
    </border>
    <border>
      <left style="dashed">
        <color indexed="22"/>
      </left>
      <right style="dashed">
        <color indexed="22"/>
      </right>
      <top style="dashed">
        <color indexed="22"/>
      </top>
      <bottom/>
      <diagonal/>
    </border>
    <border>
      <left style="thick">
        <color indexed="55"/>
      </left>
      <right/>
      <top/>
      <bottom style="thin">
        <color indexed="55"/>
      </bottom>
      <diagonal/>
    </border>
    <border>
      <left/>
      <right/>
      <top/>
      <bottom style="thin">
        <color indexed="55"/>
      </bottom>
      <diagonal/>
    </border>
    <border>
      <left/>
      <right style="medium">
        <color indexed="55"/>
      </right>
      <top style="thin">
        <color indexed="55"/>
      </top>
      <bottom style="thin">
        <color indexed="55"/>
      </bottom>
      <diagonal/>
    </border>
    <border>
      <left style="medium">
        <color indexed="55"/>
      </left>
      <right/>
      <top style="thin">
        <color indexed="55"/>
      </top>
      <bottom style="medium">
        <color indexed="55"/>
      </bottom>
      <diagonal/>
    </border>
    <border>
      <left style="thin">
        <color indexed="55"/>
      </left>
      <right style="thin">
        <color indexed="55"/>
      </right>
      <top style="thin">
        <color indexed="55"/>
      </top>
      <bottom style="medium">
        <color indexed="55"/>
      </bottom>
      <diagonal/>
    </border>
    <border>
      <left style="thin">
        <color indexed="55"/>
      </left>
      <right style="medium">
        <color indexed="55"/>
      </right>
      <top style="thin">
        <color indexed="55"/>
      </top>
      <bottom style="medium">
        <color indexed="55"/>
      </bottom>
      <diagonal/>
    </border>
    <border>
      <left style="thick">
        <color indexed="55"/>
      </left>
      <right/>
      <top/>
      <bottom style="thick">
        <color indexed="55"/>
      </bottom>
      <diagonal/>
    </border>
    <border>
      <left style="dotted">
        <color indexed="55"/>
      </left>
      <right style="dotted">
        <color indexed="55"/>
      </right>
      <top style="dotted">
        <color indexed="55"/>
      </top>
      <bottom style="medium">
        <color indexed="55"/>
      </bottom>
      <diagonal/>
    </border>
    <border>
      <left style="thin">
        <color indexed="55"/>
      </left>
      <right style="medium">
        <color indexed="55"/>
      </right>
      <top style="thin">
        <color indexed="55"/>
      </top>
      <bottom/>
      <diagonal/>
    </border>
    <border>
      <left/>
      <right style="thin">
        <color indexed="55"/>
      </right>
      <top style="thin">
        <color indexed="55"/>
      </top>
      <bottom style="thin">
        <color indexed="55"/>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style="thin">
        <color indexed="55"/>
      </left>
      <right style="medium">
        <color indexed="55"/>
      </right>
      <top style="thin">
        <color indexed="55"/>
      </top>
      <bottom style="double">
        <color indexed="55"/>
      </bottom>
      <diagonal/>
    </border>
    <border>
      <left/>
      <right style="thin">
        <color indexed="55"/>
      </right>
      <top/>
      <bottom style="medium">
        <color indexed="55"/>
      </bottom>
      <diagonal/>
    </border>
    <border>
      <left style="thin">
        <color indexed="55"/>
      </left>
      <right style="medium">
        <color indexed="55"/>
      </right>
      <top/>
      <bottom style="medium">
        <color indexed="55"/>
      </bottom>
      <diagonal/>
    </border>
    <border>
      <left style="medium">
        <color indexed="55"/>
      </left>
      <right style="thin">
        <color indexed="55"/>
      </right>
      <top/>
      <bottom style="thin">
        <color indexed="55"/>
      </bottom>
      <diagonal/>
    </border>
    <border>
      <left/>
      <right style="medium">
        <color indexed="55"/>
      </right>
      <top style="thin">
        <color indexed="55"/>
      </top>
      <bottom style="medium">
        <color indexed="55"/>
      </bottom>
      <diagonal/>
    </border>
    <border>
      <left style="thin">
        <color indexed="55"/>
      </left>
      <right/>
      <top/>
      <bottom style="thin">
        <color indexed="55"/>
      </bottom>
      <diagonal/>
    </border>
    <border>
      <left/>
      <right/>
      <top style="thin">
        <color indexed="55"/>
      </top>
      <bottom style="medium">
        <color indexed="55"/>
      </bottom>
      <diagonal/>
    </border>
    <border>
      <left/>
      <right style="dashed">
        <color indexed="22"/>
      </right>
      <top style="dashed">
        <color indexed="22"/>
      </top>
      <bottom style="dashed">
        <color indexed="22"/>
      </bottom>
      <diagonal/>
    </border>
    <border>
      <left/>
      <right style="dashed">
        <color indexed="22"/>
      </right>
      <top style="dashed">
        <color indexed="22"/>
      </top>
      <bottom/>
      <diagonal/>
    </border>
    <border>
      <left style="thick">
        <color indexed="55"/>
      </left>
      <right style="dashed">
        <color indexed="22"/>
      </right>
      <top style="dashed">
        <color indexed="22"/>
      </top>
      <bottom style="dashed">
        <color indexed="22"/>
      </bottom>
      <diagonal/>
    </border>
    <border>
      <left style="thick">
        <color indexed="55"/>
      </left>
      <right style="dashed">
        <color indexed="22"/>
      </right>
      <top style="dashed">
        <color indexed="22"/>
      </top>
      <bottom/>
      <diagonal/>
    </border>
    <border>
      <left style="thick">
        <color indexed="55"/>
      </left>
      <right/>
      <top style="thin">
        <color indexed="55"/>
      </top>
      <bottom style="thin">
        <color indexed="55"/>
      </bottom>
      <diagonal/>
    </border>
    <border>
      <left/>
      <right style="thick">
        <color indexed="55"/>
      </right>
      <top style="thin">
        <color indexed="55"/>
      </top>
      <bottom style="thin">
        <color indexed="55"/>
      </bottom>
      <diagonal/>
    </border>
    <border>
      <left style="thick">
        <color indexed="55"/>
      </left>
      <right/>
      <top style="medium">
        <color indexed="55"/>
      </top>
      <bottom/>
      <diagonal/>
    </border>
    <border>
      <left/>
      <right style="thick">
        <color indexed="55"/>
      </right>
      <top style="medium">
        <color indexed="55"/>
      </top>
      <bottom/>
      <diagonal/>
    </border>
    <border>
      <left style="medium">
        <color indexed="55"/>
      </left>
      <right style="dotted">
        <color indexed="55"/>
      </right>
      <top style="dotted">
        <color indexed="55"/>
      </top>
      <bottom/>
      <diagonal/>
    </border>
    <border>
      <left style="medium">
        <color indexed="55"/>
      </left>
      <right style="medium">
        <color indexed="55"/>
      </right>
      <top style="dashed">
        <color indexed="55"/>
      </top>
      <bottom style="medium">
        <color indexed="55"/>
      </bottom>
      <diagonal/>
    </border>
    <border>
      <left style="dashed">
        <color indexed="55"/>
      </left>
      <right style="dashed">
        <color indexed="55"/>
      </right>
      <top style="dashed">
        <color indexed="55"/>
      </top>
      <bottom style="medium">
        <color indexed="55"/>
      </bottom>
      <diagonal/>
    </border>
    <border>
      <left style="dotted">
        <color indexed="55"/>
      </left>
      <right style="thick">
        <color indexed="55"/>
      </right>
      <top style="dotted">
        <color indexed="55"/>
      </top>
      <bottom style="dotted">
        <color indexed="55"/>
      </bottom>
      <diagonal/>
    </border>
    <border>
      <left style="dotted">
        <color indexed="55"/>
      </left>
      <right/>
      <top/>
      <bottom style="dotted">
        <color indexed="55"/>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55"/>
      </left>
      <right style="thin">
        <color indexed="55"/>
      </right>
      <top style="double">
        <color indexed="55"/>
      </top>
      <bottom style="double">
        <color indexed="55"/>
      </bottom>
      <diagonal/>
    </border>
    <border>
      <left style="dashed">
        <color indexed="64"/>
      </left>
      <right style="thin">
        <color indexed="55"/>
      </right>
      <top style="thin">
        <color indexed="55"/>
      </top>
      <bottom style="thin">
        <color indexed="55"/>
      </bottom>
      <diagonal/>
    </border>
    <border>
      <left style="dashed">
        <color indexed="64"/>
      </left>
      <right style="medium">
        <color indexed="55"/>
      </right>
      <top style="dashed">
        <color indexed="64"/>
      </top>
      <bottom style="medium">
        <color indexed="55"/>
      </bottom>
      <diagonal/>
    </border>
    <border>
      <left style="thin">
        <color indexed="64"/>
      </left>
      <right style="thin">
        <color indexed="64"/>
      </right>
      <top/>
      <bottom/>
      <diagonal/>
    </border>
    <border>
      <left/>
      <right/>
      <top style="thin">
        <color indexed="55"/>
      </top>
      <bottom/>
      <diagonal/>
    </border>
    <border>
      <left/>
      <right style="thin">
        <color indexed="55"/>
      </right>
      <top/>
      <bottom style="dotted">
        <color indexed="55"/>
      </bottom>
      <diagonal/>
    </border>
    <border>
      <left style="medium">
        <color indexed="55"/>
      </left>
      <right/>
      <top style="thin">
        <color indexed="64"/>
      </top>
      <bottom style="medium">
        <color indexed="55"/>
      </bottom>
      <diagonal/>
    </border>
    <border>
      <left/>
      <right/>
      <top style="thin">
        <color indexed="64"/>
      </top>
      <bottom style="medium">
        <color indexed="55"/>
      </bottom>
      <diagonal/>
    </border>
    <border>
      <left style="thin">
        <color indexed="55"/>
      </left>
      <right/>
      <top style="thin">
        <color indexed="64"/>
      </top>
      <bottom style="medium">
        <color indexed="55"/>
      </bottom>
      <diagonal/>
    </border>
    <border>
      <left/>
      <right style="thin">
        <color indexed="55"/>
      </right>
      <top style="thin">
        <color indexed="64"/>
      </top>
      <bottom style="medium">
        <color indexed="55"/>
      </bottom>
      <diagonal/>
    </border>
    <border>
      <left/>
      <right style="medium">
        <color indexed="55"/>
      </right>
      <top style="thin">
        <color indexed="64"/>
      </top>
      <bottom style="medium">
        <color indexed="55"/>
      </bottom>
      <diagonal/>
    </border>
    <border>
      <left style="thick">
        <color indexed="55"/>
      </left>
      <right/>
      <top style="thin">
        <color indexed="64"/>
      </top>
      <bottom style="thick">
        <color indexed="55"/>
      </bottom>
      <diagonal/>
    </border>
    <border>
      <left/>
      <right/>
      <top style="thin">
        <color indexed="64"/>
      </top>
      <bottom style="thick">
        <color indexed="55"/>
      </bottom>
      <diagonal/>
    </border>
    <border>
      <left style="thin">
        <color indexed="55"/>
      </left>
      <right/>
      <top style="thin">
        <color indexed="64"/>
      </top>
      <bottom style="thick">
        <color indexed="55"/>
      </bottom>
      <diagonal/>
    </border>
    <border>
      <left/>
      <right style="thin">
        <color indexed="55"/>
      </right>
      <top style="thin">
        <color indexed="64"/>
      </top>
      <bottom style="thick">
        <color indexed="55"/>
      </bottom>
      <diagonal/>
    </border>
    <border>
      <left/>
      <right style="thick">
        <color indexed="55"/>
      </right>
      <top style="thin">
        <color indexed="64"/>
      </top>
      <bottom style="thick">
        <color indexed="55"/>
      </bottom>
      <diagonal/>
    </border>
    <border>
      <left/>
      <right style="medium">
        <color indexed="64"/>
      </right>
      <top style="medium">
        <color indexed="64"/>
      </top>
      <bottom style="medium">
        <color indexed="64"/>
      </bottom>
      <diagonal/>
    </border>
    <border>
      <left/>
      <right style="medium">
        <color indexed="23"/>
      </right>
      <top style="medium">
        <color indexed="23"/>
      </top>
      <bottom/>
      <diagonal/>
    </border>
    <border>
      <left style="medium">
        <color indexed="23"/>
      </left>
      <right/>
      <top style="thin">
        <color indexed="23"/>
      </top>
      <bottom/>
      <diagonal/>
    </border>
    <border>
      <left/>
      <right style="thin">
        <color indexed="23"/>
      </right>
      <top style="thin">
        <color indexed="23"/>
      </top>
      <bottom/>
      <diagonal/>
    </border>
    <border>
      <left/>
      <right style="thin">
        <color indexed="23"/>
      </right>
      <top/>
      <bottom/>
      <diagonal/>
    </border>
    <border>
      <left style="thin">
        <color indexed="23"/>
      </left>
      <right/>
      <top/>
      <bottom/>
      <diagonal/>
    </border>
    <border>
      <left style="medium">
        <color indexed="23"/>
      </left>
      <right/>
      <top/>
      <bottom style="thin">
        <color indexed="23"/>
      </bottom>
      <diagonal/>
    </border>
    <border>
      <left/>
      <right style="thin">
        <color indexed="23"/>
      </right>
      <top/>
      <bottom style="thin">
        <color indexed="23"/>
      </bottom>
      <diagonal/>
    </border>
    <border>
      <left style="thin">
        <color indexed="23"/>
      </left>
      <right/>
      <top/>
      <bottom style="thin">
        <color indexed="23"/>
      </bottom>
      <diagonal/>
    </border>
    <border>
      <left/>
      <right style="medium">
        <color indexed="23"/>
      </right>
      <top/>
      <bottom style="thin">
        <color indexed="23"/>
      </bottom>
      <diagonal/>
    </border>
    <border>
      <left style="thin">
        <color indexed="23"/>
      </left>
      <right style="thin">
        <color indexed="23"/>
      </right>
      <top/>
      <bottom/>
      <diagonal/>
    </border>
    <border>
      <left style="medium">
        <color indexed="23"/>
      </left>
      <right/>
      <top style="medium">
        <color indexed="23"/>
      </top>
      <bottom style="double">
        <color indexed="23"/>
      </bottom>
      <diagonal/>
    </border>
    <border>
      <left/>
      <right/>
      <top style="medium">
        <color indexed="23"/>
      </top>
      <bottom style="double">
        <color indexed="23"/>
      </bottom>
      <diagonal/>
    </border>
    <border>
      <left style="thin">
        <color indexed="23"/>
      </left>
      <right style="thin">
        <color indexed="23"/>
      </right>
      <top style="medium">
        <color indexed="23"/>
      </top>
      <bottom style="double">
        <color indexed="23"/>
      </bottom>
      <diagonal/>
    </border>
    <border>
      <left/>
      <right style="thin">
        <color indexed="23"/>
      </right>
      <top style="medium">
        <color indexed="23"/>
      </top>
      <bottom style="double">
        <color indexed="23"/>
      </bottom>
      <diagonal/>
    </border>
    <border>
      <left/>
      <right style="medium">
        <color indexed="23"/>
      </right>
      <top style="medium">
        <color indexed="23"/>
      </top>
      <bottom style="double">
        <color indexed="23"/>
      </bottom>
      <diagonal/>
    </border>
    <border>
      <left style="medium">
        <color indexed="23"/>
      </left>
      <right/>
      <top style="medium">
        <color indexed="23"/>
      </top>
      <bottom style="medium">
        <color indexed="23"/>
      </bottom>
      <diagonal/>
    </border>
    <border>
      <left/>
      <right/>
      <top style="medium">
        <color indexed="23"/>
      </top>
      <bottom style="medium">
        <color indexed="23"/>
      </bottom>
      <diagonal/>
    </border>
    <border>
      <left style="thin">
        <color indexed="23"/>
      </left>
      <right style="thin">
        <color indexed="23"/>
      </right>
      <top style="medium">
        <color indexed="23"/>
      </top>
      <bottom style="medium">
        <color indexed="23"/>
      </bottom>
      <diagonal/>
    </border>
    <border>
      <left/>
      <right style="thin">
        <color indexed="23"/>
      </right>
      <top style="medium">
        <color indexed="23"/>
      </top>
      <bottom style="medium">
        <color indexed="23"/>
      </bottom>
      <diagonal/>
    </border>
    <border>
      <left/>
      <right style="medium">
        <color indexed="23"/>
      </right>
      <top style="medium">
        <color indexed="23"/>
      </top>
      <bottom style="medium">
        <color indexed="23"/>
      </bottom>
      <diagonal/>
    </border>
    <border>
      <left/>
      <right style="medium">
        <color indexed="55"/>
      </right>
      <top style="dotted">
        <color indexed="55"/>
      </top>
      <bottom/>
      <diagonal/>
    </border>
    <border>
      <left/>
      <right style="thick">
        <color indexed="55"/>
      </right>
      <top/>
      <bottom style="thin">
        <color indexed="55"/>
      </bottom>
      <diagonal/>
    </border>
    <border>
      <left/>
      <right style="thick">
        <color indexed="55"/>
      </right>
      <top style="dotted">
        <color indexed="55"/>
      </top>
      <bottom style="dotted">
        <color indexed="55"/>
      </bottom>
      <diagonal/>
    </border>
    <border>
      <left/>
      <right style="thick">
        <color indexed="55"/>
      </right>
      <top style="dotted">
        <color indexed="55"/>
      </top>
      <bottom/>
      <diagonal/>
    </border>
    <border>
      <left style="dotted">
        <color indexed="55"/>
      </left>
      <right style="dotted">
        <color indexed="55"/>
      </right>
      <top style="dotted">
        <color indexed="55"/>
      </top>
      <bottom style="thin">
        <color indexed="64"/>
      </bottom>
      <diagonal/>
    </border>
    <border>
      <left style="dotted">
        <color indexed="55"/>
      </left>
      <right style="thin">
        <color indexed="55"/>
      </right>
      <top style="dotted">
        <color indexed="55"/>
      </top>
      <bottom style="dotted">
        <color indexed="55"/>
      </bottom>
      <diagonal/>
    </border>
    <border>
      <left/>
      <right style="thick">
        <color indexed="23"/>
      </right>
      <top style="thick">
        <color indexed="23"/>
      </top>
      <bottom style="thick">
        <color indexed="23"/>
      </bottom>
      <diagonal/>
    </border>
    <border>
      <left style="thick">
        <color indexed="23"/>
      </left>
      <right style="thick">
        <color indexed="23"/>
      </right>
      <top style="thick">
        <color indexed="23"/>
      </top>
      <bottom style="thick">
        <color indexed="23"/>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right style="thick">
        <color indexed="64"/>
      </right>
      <top style="thick">
        <color indexed="64"/>
      </top>
      <bottom/>
      <diagonal/>
    </border>
    <border>
      <left style="medium">
        <color indexed="64"/>
      </left>
      <right style="medium">
        <color indexed="64"/>
      </right>
      <top/>
      <bottom/>
      <diagonal/>
    </border>
    <border>
      <left/>
      <right style="thick">
        <color indexed="64"/>
      </right>
      <top/>
      <bottom/>
      <diagonal/>
    </border>
    <border>
      <left style="dashed">
        <color indexed="64"/>
      </left>
      <right style="dashed">
        <color indexed="64"/>
      </right>
      <top style="dashed">
        <color indexed="64"/>
      </top>
      <bottom style="dashed">
        <color indexed="64"/>
      </bottom>
      <diagonal/>
    </border>
    <border>
      <left style="thick">
        <color indexed="55"/>
      </left>
      <right style="dotted">
        <color indexed="55"/>
      </right>
      <top style="thick">
        <color indexed="55"/>
      </top>
      <bottom style="dotted">
        <color indexed="55"/>
      </bottom>
      <diagonal/>
    </border>
    <border>
      <left style="dotted">
        <color indexed="55"/>
      </left>
      <right style="thick">
        <color indexed="55"/>
      </right>
      <top style="thick">
        <color indexed="55"/>
      </top>
      <bottom style="dotted">
        <color indexed="55"/>
      </bottom>
      <diagonal/>
    </border>
    <border>
      <left style="thick">
        <color indexed="55"/>
      </left>
      <right style="dotted">
        <color indexed="55"/>
      </right>
      <top style="dotted">
        <color indexed="55"/>
      </top>
      <bottom style="thick">
        <color indexed="55"/>
      </bottom>
      <diagonal/>
    </border>
    <border>
      <left style="dotted">
        <color indexed="55"/>
      </left>
      <right style="thick">
        <color indexed="55"/>
      </right>
      <top style="dotted">
        <color indexed="55"/>
      </top>
      <bottom style="thick">
        <color indexed="55"/>
      </bottom>
      <diagonal/>
    </border>
    <border>
      <left style="medium">
        <color indexed="55"/>
      </left>
      <right style="thin">
        <color indexed="55"/>
      </right>
      <top style="dashed">
        <color indexed="55"/>
      </top>
      <bottom/>
      <diagonal/>
    </border>
    <border>
      <left style="thick">
        <color indexed="55"/>
      </left>
      <right style="thick">
        <color indexed="55"/>
      </right>
      <top style="thick">
        <color indexed="55"/>
      </top>
      <bottom style="thick">
        <color indexed="55"/>
      </bottom>
      <diagonal/>
    </border>
    <border>
      <left style="thick">
        <color indexed="55"/>
      </left>
      <right style="thick">
        <color indexed="55"/>
      </right>
      <top style="thick">
        <color indexed="55"/>
      </top>
      <bottom/>
      <diagonal/>
    </border>
    <border>
      <left style="thick">
        <color indexed="55"/>
      </left>
      <right style="thick">
        <color indexed="55"/>
      </right>
      <top/>
      <bottom/>
      <diagonal/>
    </border>
    <border>
      <left style="thick">
        <color indexed="55"/>
      </left>
      <right style="thick">
        <color indexed="55"/>
      </right>
      <top/>
      <bottom style="thick">
        <color indexed="55"/>
      </bottom>
      <diagonal/>
    </border>
    <border>
      <left style="thick">
        <color indexed="64"/>
      </left>
      <right/>
      <top style="thick">
        <color indexed="64"/>
      </top>
      <bottom/>
      <diagonal/>
    </border>
    <border>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55"/>
      </left>
      <right style="thin">
        <color indexed="55"/>
      </right>
      <top style="thin">
        <color indexed="55"/>
      </top>
      <bottom/>
      <diagonal/>
    </border>
    <border>
      <left/>
      <right/>
      <top style="dashed">
        <color indexed="55"/>
      </top>
      <bottom style="dashed">
        <color indexed="55"/>
      </bottom>
      <diagonal/>
    </border>
    <border>
      <left style="medium">
        <color indexed="55"/>
      </left>
      <right style="medium">
        <color indexed="55"/>
      </right>
      <top/>
      <bottom/>
      <diagonal/>
    </border>
    <border>
      <left style="medium">
        <color indexed="55"/>
      </left>
      <right style="medium">
        <color indexed="55"/>
      </right>
      <top style="medium">
        <color indexed="55"/>
      </top>
      <bottom/>
      <diagonal/>
    </border>
    <border>
      <left style="medium">
        <color indexed="55"/>
      </left>
      <right/>
      <top style="dotted">
        <color indexed="55"/>
      </top>
      <bottom style="dotted">
        <color indexed="55"/>
      </bottom>
      <diagonal/>
    </border>
    <border>
      <left style="dotted">
        <color indexed="55"/>
      </left>
      <right style="medium">
        <color indexed="55"/>
      </right>
      <top/>
      <bottom style="dotted">
        <color indexed="55"/>
      </bottom>
      <diagonal/>
    </border>
    <border>
      <left style="double">
        <color indexed="55"/>
      </left>
      <right style="double">
        <color indexed="55"/>
      </right>
      <top style="double">
        <color indexed="55"/>
      </top>
      <bottom style="dotted">
        <color indexed="55"/>
      </bottom>
      <diagonal/>
    </border>
    <border>
      <left style="double">
        <color indexed="55"/>
      </left>
      <right style="double">
        <color indexed="55"/>
      </right>
      <top style="dotted">
        <color indexed="55"/>
      </top>
      <bottom style="dotted">
        <color indexed="55"/>
      </bottom>
      <diagonal/>
    </border>
    <border>
      <left style="double">
        <color indexed="55"/>
      </left>
      <right style="double">
        <color indexed="55"/>
      </right>
      <top style="dotted">
        <color indexed="55"/>
      </top>
      <bottom style="double">
        <color indexed="55"/>
      </bottom>
      <diagonal/>
    </border>
    <border>
      <left/>
      <right style="double">
        <color indexed="55"/>
      </right>
      <top style="double">
        <color indexed="55"/>
      </top>
      <bottom style="double">
        <color indexed="55"/>
      </bottom>
      <diagonal/>
    </border>
    <border>
      <left style="double">
        <color indexed="55"/>
      </left>
      <right/>
      <top style="double">
        <color indexed="55"/>
      </top>
      <bottom style="double">
        <color indexed="55"/>
      </bottom>
      <diagonal/>
    </border>
    <border>
      <left style="medium">
        <color indexed="55"/>
      </left>
      <right style="medium">
        <color indexed="55"/>
      </right>
      <top style="medium">
        <color indexed="55"/>
      </top>
      <bottom style="double">
        <color indexed="55"/>
      </bottom>
      <diagonal/>
    </border>
    <border>
      <left style="medium">
        <color indexed="55"/>
      </left>
      <right style="dashed">
        <color indexed="22"/>
      </right>
      <top style="dashed">
        <color indexed="22"/>
      </top>
      <bottom style="dashed">
        <color indexed="22"/>
      </bottom>
      <diagonal/>
    </border>
    <border>
      <left style="thin">
        <color indexed="64"/>
      </left>
      <right style="thin">
        <color indexed="64"/>
      </right>
      <top style="medium">
        <color indexed="23"/>
      </top>
      <bottom style="medium">
        <color indexed="23"/>
      </bottom>
      <diagonal/>
    </border>
    <border>
      <left style="thin">
        <color indexed="64"/>
      </left>
      <right style="medium">
        <color indexed="55"/>
      </right>
      <top style="thin">
        <color indexed="64"/>
      </top>
      <bottom style="medium">
        <color indexed="23"/>
      </bottom>
      <diagonal/>
    </border>
    <border>
      <left style="thin">
        <color indexed="64"/>
      </left>
      <right style="thin">
        <color indexed="64"/>
      </right>
      <top style="thin">
        <color indexed="64"/>
      </top>
      <bottom style="medium">
        <color indexed="23"/>
      </bottom>
      <diagonal/>
    </border>
    <border>
      <left style="thin">
        <color indexed="64"/>
      </left>
      <right style="medium">
        <color indexed="55"/>
      </right>
      <top/>
      <bottom style="thin">
        <color indexed="64"/>
      </bottom>
      <diagonal/>
    </border>
    <border>
      <left style="thin">
        <color indexed="64"/>
      </left>
      <right style="medium">
        <color indexed="55"/>
      </right>
      <top style="thin">
        <color indexed="64"/>
      </top>
      <bottom/>
      <diagonal/>
    </border>
    <border>
      <left style="thin">
        <color indexed="64"/>
      </left>
      <right style="thin">
        <color indexed="64"/>
      </right>
      <top style="thin">
        <color indexed="64"/>
      </top>
      <bottom/>
      <diagonal/>
    </border>
    <border>
      <left style="medium">
        <color indexed="55"/>
      </left>
      <right style="medium">
        <color indexed="55"/>
      </right>
      <top/>
      <bottom style="medium">
        <color indexed="55"/>
      </bottom>
      <diagonal/>
    </border>
    <border>
      <left style="thin">
        <color indexed="64"/>
      </left>
      <right style="medium">
        <color indexed="55"/>
      </right>
      <top/>
      <bottom/>
      <diagonal/>
    </border>
    <border>
      <left style="thick">
        <color indexed="55"/>
      </left>
      <right style="dashed">
        <color indexed="55"/>
      </right>
      <top style="thick">
        <color indexed="55"/>
      </top>
      <bottom style="dashed">
        <color indexed="55"/>
      </bottom>
      <diagonal/>
    </border>
    <border>
      <left style="dashed">
        <color indexed="55"/>
      </left>
      <right style="thick">
        <color indexed="55"/>
      </right>
      <top style="thick">
        <color indexed="55"/>
      </top>
      <bottom style="dashed">
        <color indexed="55"/>
      </bottom>
      <diagonal/>
    </border>
    <border>
      <left style="thick">
        <color indexed="55"/>
      </left>
      <right style="dashed">
        <color indexed="55"/>
      </right>
      <top style="dashed">
        <color indexed="55"/>
      </top>
      <bottom style="thick">
        <color indexed="55"/>
      </bottom>
      <diagonal/>
    </border>
    <border>
      <left style="dashed">
        <color indexed="55"/>
      </left>
      <right style="thick">
        <color indexed="55"/>
      </right>
      <top style="dashed">
        <color indexed="55"/>
      </top>
      <bottom style="thick">
        <color indexed="55"/>
      </bottom>
      <diagonal/>
    </border>
    <border>
      <left/>
      <right/>
      <top style="thick">
        <color indexed="55"/>
      </top>
      <bottom style="dashed">
        <color indexed="55"/>
      </bottom>
      <diagonal/>
    </border>
    <border>
      <left/>
      <right/>
      <top style="dashed">
        <color indexed="55"/>
      </top>
      <bottom style="thick">
        <color indexed="55"/>
      </bottom>
      <diagonal/>
    </border>
    <border>
      <left style="thin">
        <color indexed="64"/>
      </left>
      <right style="thin">
        <color indexed="64"/>
      </right>
      <top style="thin">
        <color indexed="64"/>
      </top>
      <bottom style="thin">
        <color indexed="64"/>
      </bottom>
      <diagonal/>
    </border>
    <border>
      <left/>
      <right/>
      <top style="thick">
        <color indexed="55"/>
      </top>
      <bottom style="medium">
        <color indexed="55"/>
      </bottom>
      <diagonal/>
    </border>
    <border>
      <left/>
      <right style="thin">
        <color indexed="64"/>
      </right>
      <top/>
      <bottom style="medium">
        <color indexed="23"/>
      </bottom>
      <diagonal/>
    </border>
    <border>
      <left style="medium">
        <color indexed="23"/>
      </left>
      <right style="medium">
        <color indexed="23"/>
      </right>
      <top style="medium">
        <color indexed="23"/>
      </top>
      <bottom/>
      <diagonal/>
    </border>
    <border>
      <left style="medium">
        <color indexed="23"/>
      </left>
      <right style="medium">
        <color indexed="23"/>
      </right>
      <top/>
      <bottom/>
      <diagonal/>
    </border>
    <border>
      <left style="medium">
        <color indexed="23"/>
      </left>
      <right style="medium">
        <color indexed="23"/>
      </right>
      <top/>
      <bottom style="medium">
        <color indexed="23"/>
      </bottom>
      <diagonal/>
    </border>
    <border>
      <left style="medium">
        <color indexed="23"/>
      </left>
      <right style="medium">
        <color indexed="23"/>
      </right>
      <top style="medium">
        <color indexed="23"/>
      </top>
      <bottom style="medium">
        <color indexed="2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thick">
        <color indexed="64"/>
      </left>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55"/>
      </left>
      <right style="dotted">
        <color indexed="55"/>
      </right>
      <top/>
      <bottom style="dotted">
        <color indexed="55"/>
      </bottom>
      <diagonal/>
    </border>
    <border>
      <left style="dotted">
        <color indexed="55"/>
      </left>
      <right style="thick">
        <color indexed="55"/>
      </right>
      <top/>
      <bottom style="dotted">
        <color indexed="55"/>
      </bottom>
      <diagonal/>
    </border>
    <border>
      <left style="thin">
        <color indexed="55"/>
      </left>
      <right style="thin">
        <color indexed="55"/>
      </right>
      <top style="medium">
        <color indexed="55"/>
      </top>
      <bottom style="thin">
        <color indexed="55"/>
      </bottom>
      <diagonal/>
    </border>
    <border>
      <left style="thin">
        <color indexed="55"/>
      </left>
      <right/>
      <top style="thick">
        <color indexed="55"/>
      </top>
      <bottom/>
      <diagonal/>
    </border>
    <border>
      <left/>
      <right style="thin">
        <color indexed="55"/>
      </right>
      <top style="medium">
        <color indexed="55"/>
      </top>
      <bottom style="thin">
        <color indexed="55"/>
      </bottom>
      <diagonal/>
    </border>
    <border>
      <left style="dashed">
        <color indexed="22"/>
      </left>
      <right style="thin">
        <color indexed="55"/>
      </right>
      <top style="medium">
        <color indexed="55"/>
      </top>
      <bottom style="thin">
        <color indexed="55"/>
      </bottom>
      <diagonal/>
    </border>
    <border>
      <left style="dashed">
        <color indexed="22"/>
      </left>
      <right style="thin">
        <color indexed="55"/>
      </right>
      <top style="thin">
        <color indexed="55"/>
      </top>
      <bottom style="thin">
        <color indexed="55"/>
      </bottom>
      <diagonal/>
    </border>
    <border>
      <left style="thin">
        <color indexed="55"/>
      </left>
      <right style="thin">
        <color indexed="55"/>
      </right>
      <top style="thick">
        <color indexed="55"/>
      </top>
      <bottom style="thin">
        <color indexed="55"/>
      </bottom>
      <diagonal/>
    </border>
    <border>
      <left/>
      <right style="thin">
        <color indexed="55"/>
      </right>
      <top style="thick">
        <color indexed="55"/>
      </top>
      <bottom style="thin">
        <color indexed="55"/>
      </bottom>
      <diagonal/>
    </border>
    <border>
      <left style="thin">
        <color indexed="55"/>
      </left>
      <right style="thin">
        <color indexed="55"/>
      </right>
      <top style="thick">
        <color indexed="55"/>
      </top>
      <bottom/>
      <diagonal/>
    </border>
    <border>
      <left/>
      <right style="thin">
        <color indexed="55"/>
      </right>
      <top style="thick">
        <color indexed="55"/>
      </top>
      <bottom/>
      <diagonal/>
    </border>
    <border>
      <left style="thin">
        <color indexed="55"/>
      </left>
      <right style="thick">
        <color indexed="55"/>
      </right>
      <top style="thick">
        <color indexed="55"/>
      </top>
      <bottom/>
      <diagonal/>
    </border>
    <border>
      <left style="thin">
        <color indexed="55"/>
      </left>
      <right style="thick">
        <color indexed="55"/>
      </right>
      <top/>
      <bottom/>
      <diagonal/>
    </border>
    <border>
      <left style="thin">
        <color indexed="55"/>
      </left>
      <right style="dashed">
        <color indexed="55"/>
      </right>
      <top style="thick">
        <color indexed="55"/>
      </top>
      <bottom style="thin">
        <color indexed="55"/>
      </bottom>
      <diagonal/>
    </border>
    <border>
      <left style="thin">
        <color indexed="55"/>
      </left>
      <right style="medium">
        <color indexed="55"/>
      </right>
      <top style="medium">
        <color indexed="55"/>
      </top>
      <bottom/>
      <diagonal/>
    </border>
    <border>
      <left/>
      <right style="thick">
        <color indexed="55"/>
      </right>
      <top style="thin">
        <color indexed="55"/>
      </top>
      <bottom/>
      <diagonal/>
    </border>
    <border>
      <left style="medium">
        <color indexed="55"/>
      </left>
      <right/>
      <top style="double">
        <color indexed="55"/>
      </top>
      <bottom style="thin">
        <color indexed="55"/>
      </bottom>
      <diagonal/>
    </border>
    <border>
      <left/>
      <right style="thin">
        <color indexed="55"/>
      </right>
      <top style="double">
        <color indexed="55"/>
      </top>
      <bottom style="thin">
        <color indexed="55"/>
      </bottom>
      <diagonal/>
    </border>
    <border>
      <left style="thin">
        <color indexed="55"/>
      </left>
      <right/>
      <top style="medium">
        <color indexed="55"/>
      </top>
      <bottom style="thin">
        <color indexed="55"/>
      </bottom>
      <diagonal/>
    </border>
    <border>
      <left style="thin">
        <color indexed="55"/>
      </left>
      <right style="thin">
        <color indexed="55"/>
      </right>
      <top style="double">
        <color indexed="55"/>
      </top>
      <bottom/>
      <diagonal/>
    </border>
    <border>
      <left/>
      <right/>
      <top style="double">
        <color indexed="55"/>
      </top>
      <bottom/>
      <diagonal/>
    </border>
    <border>
      <left/>
      <right style="medium">
        <color indexed="55"/>
      </right>
      <top style="double">
        <color indexed="55"/>
      </top>
      <bottom/>
      <diagonal/>
    </border>
    <border>
      <left style="thick">
        <color indexed="55"/>
      </left>
      <right/>
      <top style="thick">
        <color indexed="55"/>
      </top>
      <bottom style="thick">
        <color indexed="55"/>
      </bottom>
      <diagonal/>
    </border>
    <border>
      <left/>
      <right/>
      <top style="thick">
        <color indexed="55"/>
      </top>
      <bottom style="thick">
        <color indexed="55"/>
      </bottom>
      <diagonal/>
    </border>
    <border>
      <left/>
      <right style="thick">
        <color indexed="55"/>
      </right>
      <top style="thick">
        <color indexed="55"/>
      </top>
      <bottom style="thick">
        <color indexed="55"/>
      </bottom>
      <diagonal/>
    </border>
    <border>
      <left/>
      <right/>
      <top style="thick">
        <color indexed="23"/>
      </top>
      <bottom/>
      <diagonal/>
    </border>
    <border>
      <left/>
      <right style="thick">
        <color indexed="23"/>
      </right>
      <top style="thick">
        <color indexed="23"/>
      </top>
      <bottom/>
      <diagonal/>
    </border>
    <border>
      <left style="medium">
        <color indexed="23"/>
      </left>
      <right/>
      <top/>
      <bottom style="thin">
        <color indexed="64"/>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style="dashed">
        <color theme="0" tint="-0.249977111117893"/>
      </left>
      <right style="dashed">
        <color theme="0" tint="-0.249977111117893"/>
      </right>
      <top style="dashed">
        <color theme="0" tint="-0.249977111117893"/>
      </top>
      <bottom style="dashed">
        <color theme="0" tint="-0.249977111117893"/>
      </bottom>
      <diagonal/>
    </border>
    <border>
      <left/>
      <right style="medium">
        <color theme="0" tint="-0.34998626667073579"/>
      </right>
      <top/>
      <bottom/>
      <diagonal/>
    </border>
    <border>
      <left style="medium">
        <color indexed="55"/>
      </left>
      <right style="medium">
        <color indexed="55"/>
      </right>
      <top style="dashed">
        <color theme="0" tint="-0.249977111117893"/>
      </top>
      <bottom style="dashed">
        <color theme="0" tint="-0.249977111117893"/>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right/>
      <top style="thin">
        <color theme="0" tint="-0.34998626667073579"/>
      </top>
      <bottom style="thin">
        <color theme="0" tint="-0.34998626667073579"/>
      </bottom>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style="medium">
        <color theme="0" tint="-0.34998626667073579"/>
      </left>
      <right/>
      <top/>
      <bottom/>
      <diagonal/>
    </border>
    <border>
      <left style="dashed">
        <color theme="0" tint="-0.34998626667073579"/>
      </left>
      <right style="medium">
        <color theme="0" tint="-0.34998626667073579"/>
      </right>
      <top style="dashed">
        <color theme="0" tint="-0.34998626667073579"/>
      </top>
      <bottom style="dashed">
        <color theme="0" tint="-0.34998626667073579"/>
      </bottom>
      <diagonal/>
    </border>
    <border>
      <left style="thick">
        <color theme="0" tint="-0.34998626667073579"/>
      </left>
      <right/>
      <top style="thick">
        <color theme="0" tint="-0.34998626667073579"/>
      </top>
      <bottom/>
      <diagonal/>
    </border>
    <border>
      <left/>
      <right/>
      <top style="thick">
        <color theme="0" tint="-0.34998626667073579"/>
      </top>
      <bottom/>
      <diagonal/>
    </border>
    <border>
      <left/>
      <right style="thick">
        <color theme="0" tint="-0.34998626667073579"/>
      </right>
      <top style="thick">
        <color theme="0" tint="-0.34998626667073579"/>
      </top>
      <bottom/>
      <diagonal/>
    </border>
    <border>
      <left style="thick">
        <color theme="0" tint="-0.34998626667073579"/>
      </left>
      <right/>
      <top/>
      <bottom/>
      <diagonal/>
    </border>
    <border>
      <left/>
      <right style="thick">
        <color theme="0" tint="-0.34998626667073579"/>
      </right>
      <top/>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style="thin">
        <color indexed="64"/>
      </left>
      <right style="thin">
        <color indexed="64"/>
      </right>
      <top style="medium">
        <color theme="0" tint="-0.34998626667073579"/>
      </top>
      <bottom style="thin">
        <color indexed="64"/>
      </bottom>
      <diagonal/>
    </border>
    <border>
      <left/>
      <right style="medium">
        <color theme="0" tint="-0.34998626667073579"/>
      </right>
      <top style="medium">
        <color theme="0" tint="-0.34998626667073579"/>
      </top>
      <bottom/>
      <diagonal/>
    </border>
    <border>
      <left/>
      <right/>
      <top/>
      <bottom style="thick">
        <color theme="0" tint="-0.34998626667073579"/>
      </bottom>
      <diagonal/>
    </border>
    <border>
      <left/>
      <right style="thick">
        <color theme="0" tint="-0.34998626667073579"/>
      </right>
      <top/>
      <bottom style="thick">
        <color theme="0" tint="-0.34998626667073579"/>
      </bottom>
      <diagonal/>
    </border>
    <border>
      <left/>
      <right style="dashed">
        <color theme="0" tint="-0.34998626667073579"/>
      </right>
      <top style="dashed">
        <color theme="0" tint="-0.34998626667073579"/>
      </top>
      <bottom style="dashed">
        <color theme="0" tint="-0.34998626667073579"/>
      </bottom>
      <diagonal/>
    </border>
    <border>
      <left style="dashed">
        <color theme="0" tint="-0.34998626667073579"/>
      </left>
      <right style="thick">
        <color theme="0" tint="-0.34998626667073579"/>
      </right>
      <top style="dashed">
        <color theme="0" tint="-0.34998626667073579"/>
      </top>
      <bottom style="dashed">
        <color theme="0" tint="-0.34998626667073579"/>
      </bottom>
      <diagonal/>
    </border>
    <border>
      <left style="medium">
        <color theme="0" tint="-0.34998626667073579"/>
      </left>
      <right style="dashed">
        <color theme="0" tint="-0.34998626667073579"/>
      </right>
      <top style="dashed">
        <color theme="0" tint="-0.34998626667073579"/>
      </top>
      <bottom style="dashed">
        <color theme="0" tint="-0.34998626667073579"/>
      </bottom>
      <diagonal/>
    </border>
    <border>
      <left style="medium">
        <color theme="0" tint="-0.34998626667073579"/>
      </left>
      <right style="dashed">
        <color theme="0" tint="-0.34998626667073579"/>
      </right>
      <top style="dashed">
        <color theme="0" tint="-0.34998626667073579"/>
      </top>
      <bottom/>
      <diagonal/>
    </border>
    <border>
      <left style="dashed">
        <color theme="0" tint="-0.34998626667073579"/>
      </left>
      <right style="dashed">
        <color theme="0" tint="-0.34998626667073579"/>
      </right>
      <top style="dashed">
        <color theme="0" tint="-0.34998626667073579"/>
      </top>
      <bottom/>
      <diagonal/>
    </border>
    <border>
      <left/>
      <right style="medium">
        <color theme="0" tint="-0.34998626667073579"/>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dashed">
        <color theme="0" tint="-0.34998626667073579"/>
      </right>
      <top/>
      <bottom style="dashed">
        <color theme="0" tint="-0.34998626667073579"/>
      </bottom>
      <diagonal/>
    </border>
    <border>
      <left style="dashed">
        <color theme="0" tint="-0.34998626667073579"/>
      </left>
      <right style="dashed">
        <color theme="0" tint="-0.34998626667073579"/>
      </right>
      <top/>
      <bottom style="dashed">
        <color theme="0" tint="-0.34998626667073579"/>
      </bottom>
      <diagonal/>
    </border>
    <border>
      <left/>
      <right style="medium">
        <color theme="0" tint="-0.34998626667073579"/>
      </right>
      <top/>
      <bottom style="thin">
        <color indexed="64"/>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medium">
        <color theme="0" tint="-0.34998626667073579"/>
      </left>
      <right/>
      <top style="thin">
        <color theme="0" tint="-0.34998626667073579"/>
      </top>
      <bottom style="thin">
        <color theme="0" tint="-0.34998626667073579"/>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style="thin">
        <color indexed="64"/>
      </top>
      <bottom style="thin">
        <color indexed="64"/>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dotted">
        <color indexed="55"/>
      </left>
      <right style="medium">
        <color theme="0" tint="-0.34998626667073579"/>
      </right>
      <top style="dotted">
        <color indexed="55"/>
      </top>
      <bottom/>
      <diagonal/>
    </border>
    <border>
      <left style="dotted">
        <color indexed="55"/>
      </left>
      <right style="medium">
        <color theme="0" tint="-0.34998626667073579"/>
      </right>
      <top style="dotted">
        <color indexed="55"/>
      </top>
      <bottom style="dotted">
        <color indexed="55"/>
      </bottom>
      <diagonal/>
    </border>
    <border>
      <left/>
      <right style="dotted">
        <color indexed="55"/>
      </right>
      <top style="dotted">
        <color indexed="55"/>
      </top>
      <bottom style="medium">
        <color theme="0" tint="-0.34998626667073579"/>
      </bottom>
      <diagonal/>
    </border>
    <border>
      <left style="dotted">
        <color indexed="55"/>
      </left>
      <right style="medium">
        <color theme="0" tint="-0.34998626667073579"/>
      </right>
      <top style="dotted">
        <color indexed="55"/>
      </top>
      <bottom style="medium">
        <color theme="0" tint="-0.34998626667073579"/>
      </bottom>
      <diagonal/>
    </border>
    <border>
      <left style="thick">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style="thin">
        <color theme="0" tint="-0.34998626667073579"/>
      </right>
      <top/>
      <bottom style="thin">
        <color theme="0" tint="-0.34998626667073579"/>
      </bottom>
      <diagonal/>
    </border>
    <border>
      <left style="thin">
        <color theme="0" tint="-0.34998626667073579"/>
      </left>
      <right style="thick">
        <color theme="0" tint="-0.34998626667073579"/>
      </right>
      <top/>
      <bottom style="thin">
        <color theme="0" tint="-0.34998626667073579"/>
      </bottom>
      <diagonal/>
    </border>
    <border>
      <left style="dashed">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ck">
        <color theme="0" tint="-0.34998626667073579"/>
      </right>
      <top style="thin">
        <color theme="0" tint="-0.34998626667073579"/>
      </top>
      <bottom style="medium">
        <color theme="0" tint="-0.34998626667073579"/>
      </bottom>
      <diagonal/>
    </border>
    <border>
      <left style="thick">
        <color theme="0" tint="-0.34998626667073579"/>
      </left>
      <right/>
      <top/>
      <bottom style="thin">
        <color theme="0" tint="-0.34998626667073579"/>
      </bottom>
      <diagonal/>
    </border>
    <border>
      <left/>
      <right/>
      <top/>
      <bottom style="thin">
        <color theme="0" tint="-0.34998626667073579"/>
      </bottom>
      <diagonal/>
    </border>
    <border>
      <left style="thick">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ck">
        <color theme="0" tint="-0.34998626667073579"/>
      </right>
      <top style="thin">
        <color theme="0" tint="-0.34998626667073579"/>
      </top>
      <bottom style="thin">
        <color theme="0" tint="-0.34998626667073579"/>
      </bottom>
      <diagonal/>
    </border>
    <border>
      <left style="medium">
        <color indexed="55"/>
      </left>
      <right/>
      <top/>
      <bottom style="thin">
        <color theme="0" tint="-0.34998626667073579"/>
      </bottom>
      <diagonal/>
    </border>
    <border>
      <left style="medium">
        <color indexed="55"/>
      </left>
      <right/>
      <top style="thin">
        <color theme="0" tint="-0.34998626667073579"/>
      </top>
      <bottom style="thin">
        <color theme="0" tint="-0.34998626667073579"/>
      </bottom>
      <diagonal/>
    </border>
    <border>
      <left style="thin">
        <color theme="0" tint="-0.34998626667073579"/>
      </left>
      <right style="medium">
        <color indexed="55"/>
      </right>
      <top style="thin">
        <color theme="0" tint="-0.34998626667073579"/>
      </top>
      <bottom style="thin">
        <color theme="0" tint="-0.34998626667073579"/>
      </bottom>
      <diagonal/>
    </border>
    <border>
      <left style="medium">
        <color indexed="55"/>
      </left>
      <right/>
      <top style="thin">
        <color theme="0" tint="-0.34998626667073579"/>
      </top>
      <bottom style="medium">
        <color indexed="55"/>
      </bottom>
      <diagonal/>
    </border>
    <border>
      <left style="thin">
        <color theme="0" tint="-0.34998626667073579"/>
      </left>
      <right style="thin">
        <color theme="0" tint="-0.34998626667073579"/>
      </right>
      <top style="thin">
        <color theme="0" tint="-0.34998626667073579"/>
      </top>
      <bottom style="medium">
        <color indexed="55"/>
      </bottom>
      <diagonal/>
    </border>
    <border>
      <left style="thin">
        <color theme="0" tint="-0.34998626667073579"/>
      </left>
      <right style="medium">
        <color indexed="55"/>
      </right>
      <top style="thin">
        <color theme="0" tint="-0.34998626667073579"/>
      </top>
      <bottom style="medium">
        <color indexed="55"/>
      </bottom>
      <diagonal/>
    </border>
    <border>
      <left style="dashed">
        <color theme="0" tint="-0.249977111117893"/>
      </left>
      <right style="medium">
        <color indexed="55"/>
      </right>
      <top style="dashed">
        <color theme="0" tint="-0.249977111117893"/>
      </top>
      <bottom style="medium">
        <color indexed="55"/>
      </bottom>
      <diagonal/>
    </border>
    <border>
      <left style="thin">
        <color indexed="55"/>
      </left>
      <right style="medium">
        <color theme="0" tint="-0.34998626667073579"/>
      </right>
      <top/>
      <bottom style="thin">
        <color indexed="55"/>
      </bottom>
      <diagonal/>
    </border>
    <border>
      <left style="medium">
        <color theme="0" tint="-0.34998626667073579"/>
      </left>
      <right style="thin">
        <color indexed="55"/>
      </right>
      <top/>
      <bottom style="thin">
        <color indexed="55"/>
      </bottom>
      <diagonal/>
    </border>
    <border>
      <left style="medium">
        <color theme="0" tint="-0.34998626667073579"/>
      </left>
      <right/>
      <top style="thin">
        <color indexed="55"/>
      </top>
      <bottom style="thin">
        <color indexed="55"/>
      </bottom>
      <diagonal/>
    </border>
    <border>
      <left style="thin">
        <color indexed="55"/>
      </left>
      <right style="medium">
        <color theme="0" tint="-0.34998626667073579"/>
      </right>
      <top style="thin">
        <color indexed="55"/>
      </top>
      <bottom style="thin">
        <color indexed="55"/>
      </bottom>
      <diagonal/>
    </border>
    <border>
      <left style="medium">
        <color theme="0" tint="-0.34998626667073579"/>
      </left>
      <right style="thin">
        <color indexed="55"/>
      </right>
      <top style="thin">
        <color indexed="55"/>
      </top>
      <bottom style="double">
        <color indexed="55"/>
      </bottom>
      <diagonal/>
    </border>
    <border>
      <left style="thin">
        <color indexed="55"/>
      </left>
      <right style="medium">
        <color theme="0" tint="-0.34998626667073579"/>
      </right>
      <top style="thin">
        <color indexed="55"/>
      </top>
      <bottom style="double">
        <color indexed="55"/>
      </bottom>
      <diagonal/>
    </border>
    <border>
      <left style="medium">
        <color theme="0" tint="-0.34998626667073579"/>
      </left>
      <right style="thin">
        <color indexed="55"/>
      </right>
      <top/>
      <bottom style="double">
        <color indexed="55"/>
      </bottom>
      <diagonal/>
    </border>
    <border>
      <left style="medium">
        <color theme="0" tint="-0.34998626667073579"/>
      </left>
      <right/>
      <top style="double">
        <color indexed="55"/>
      </top>
      <bottom/>
      <diagonal/>
    </border>
    <border>
      <left style="thin">
        <color indexed="55"/>
      </left>
      <right style="medium">
        <color theme="0" tint="-0.34998626667073579"/>
      </right>
      <top/>
      <bottom/>
      <diagonal/>
    </border>
    <border>
      <left style="thin">
        <color indexed="55"/>
      </left>
      <right style="medium">
        <color theme="0" tint="-0.34998626667073579"/>
      </right>
      <top/>
      <bottom style="double">
        <color indexed="55"/>
      </bottom>
      <diagonal/>
    </border>
    <border>
      <left style="medium">
        <color theme="0" tint="-0.34998626667073579"/>
      </left>
      <right/>
      <top/>
      <bottom style="medium">
        <color theme="0" tint="-0.34998626667073579"/>
      </bottom>
      <diagonal/>
    </border>
    <border>
      <left/>
      <right style="thin">
        <color indexed="55"/>
      </right>
      <top/>
      <bottom style="medium">
        <color theme="0" tint="-0.34998626667073579"/>
      </bottom>
      <diagonal/>
    </border>
    <border>
      <left style="thin">
        <color indexed="55"/>
      </left>
      <right style="thin">
        <color indexed="55"/>
      </right>
      <top style="thin">
        <color indexed="55"/>
      </top>
      <bottom style="medium">
        <color theme="0" tint="-0.34998626667073579"/>
      </bottom>
      <diagonal/>
    </border>
    <border>
      <left style="thin">
        <color indexed="55"/>
      </left>
      <right style="medium">
        <color theme="0" tint="-0.34998626667073579"/>
      </right>
      <top/>
      <bottom style="medium">
        <color theme="0" tint="-0.34998626667073579"/>
      </bottom>
      <diagonal/>
    </border>
    <border>
      <left style="thick">
        <color theme="0" tint="-0.34998626667073579"/>
      </left>
      <right/>
      <top/>
      <bottom style="thick">
        <color theme="0" tint="-0.34998626667073579"/>
      </bottom>
      <diagonal/>
    </border>
    <border>
      <left style="medium">
        <color theme="0" tint="-0.34998626667073579"/>
      </left>
      <right/>
      <top style="medium">
        <color indexed="55"/>
      </top>
      <bottom style="double">
        <color indexed="55"/>
      </bottom>
      <diagonal/>
    </border>
    <border>
      <left/>
      <right style="medium">
        <color theme="0" tint="-0.34998626667073579"/>
      </right>
      <top style="medium">
        <color indexed="55"/>
      </top>
      <bottom style="double">
        <color indexed="55"/>
      </bottom>
      <diagonal/>
    </border>
    <border>
      <left style="medium">
        <color theme="0" tint="-0.34998626667073579"/>
      </left>
      <right/>
      <top style="medium">
        <color indexed="55"/>
      </top>
      <bottom/>
      <diagonal/>
    </border>
    <border>
      <left/>
      <right style="medium">
        <color theme="0" tint="-0.34998626667073579"/>
      </right>
      <top style="medium">
        <color indexed="55"/>
      </top>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top/>
      <bottom style="thin">
        <color theme="0" tint="-0.34998626667073579"/>
      </bottom>
      <diagonal/>
    </border>
    <border>
      <left style="medium">
        <color theme="0" tint="-0.34998626667073579"/>
      </left>
      <right/>
      <top style="thin">
        <color theme="0" tint="-0.34998626667073579"/>
      </top>
      <bottom style="medium">
        <color theme="0" tint="-0.34998626667073579"/>
      </bottom>
      <diagonal/>
    </border>
    <border>
      <left style="thick">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indexed="55"/>
      </bottom>
      <diagonal/>
    </border>
    <border>
      <left style="thick">
        <color indexed="55"/>
      </left>
      <right/>
      <top/>
      <bottom style="thin">
        <color theme="0" tint="-0.34998626667073579"/>
      </bottom>
      <diagonal/>
    </border>
    <border>
      <left style="thick">
        <color indexed="55"/>
      </left>
      <right style="thin">
        <color theme="0" tint="-0.34998626667073579"/>
      </right>
      <top style="thin">
        <color theme="0" tint="-0.34998626667073579"/>
      </top>
      <bottom style="thin">
        <color theme="0" tint="-0.34998626667073579"/>
      </bottom>
      <diagonal/>
    </border>
    <border>
      <left style="thin">
        <color theme="0" tint="-0.34998626667073579"/>
      </left>
      <right style="thick">
        <color indexed="55"/>
      </right>
      <top style="thin">
        <color theme="0" tint="-0.34998626667073579"/>
      </top>
      <bottom style="thin">
        <color theme="0" tint="-0.34998626667073579"/>
      </bottom>
      <diagonal/>
    </border>
    <border>
      <left style="thick">
        <color indexed="55"/>
      </left>
      <right style="thin">
        <color theme="0" tint="-0.34998626667073579"/>
      </right>
      <top style="thin">
        <color theme="0" tint="-0.34998626667073579"/>
      </top>
      <bottom style="medium">
        <color indexed="55"/>
      </bottom>
      <diagonal/>
    </border>
    <border>
      <left style="thin">
        <color theme="0" tint="-0.34998626667073579"/>
      </left>
      <right style="thick">
        <color indexed="55"/>
      </right>
      <top style="thin">
        <color theme="0" tint="-0.34998626667073579"/>
      </top>
      <bottom style="medium">
        <color indexed="55"/>
      </bottom>
      <diagonal/>
    </border>
    <border>
      <left/>
      <right style="thin">
        <color indexed="64"/>
      </right>
      <top/>
      <bottom style="medium">
        <color theme="0" tint="-0.34998626667073579"/>
      </bottom>
      <diagonal/>
    </border>
    <border>
      <left style="thin">
        <color indexed="64"/>
      </left>
      <right style="thin">
        <color indexed="64"/>
      </right>
      <top/>
      <bottom style="medium">
        <color theme="0" tint="-0.34998626667073579"/>
      </bottom>
      <diagonal/>
    </border>
    <border>
      <left style="thin">
        <color indexed="64"/>
      </left>
      <right style="thick">
        <color theme="0" tint="-0.34998626667073579"/>
      </right>
      <top/>
      <bottom style="medium">
        <color theme="0" tint="-0.34998626667073579"/>
      </bottom>
      <diagonal/>
    </border>
    <border>
      <left/>
      <right style="medium">
        <color theme="0" tint="-0.34998626667073579"/>
      </right>
      <top/>
      <bottom style="thin">
        <color theme="0" tint="-0.34998626667073579"/>
      </bottom>
      <diagonal/>
    </border>
    <border>
      <left/>
      <right style="medium">
        <color theme="0" tint="-0.34998626667073579"/>
      </right>
      <top style="thin">
        <color indexed="55"/>
      </top>
      <bottom style="thin">
        <color indexed="55"/>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0" tint="-0.34998626667073579"/>
      </left>
      <right style="thin">
        <color indexed="55"/>
      </right>
      <top style="thin">
        <color indexed="55"/>
      </top>
      <bottom style="thin">
        <color indexed="55"/>
      </bottom>
      <diagonal/>
    </border>
    <border>
      <left style="thin">
        <color indexed="55"/>
      </left>
      <right style="thin">
        <color theme="0" tint="-0.499984740745262"/>
      </right>
      <top style="medium">
        <color theme="0" tint="-0.34998626667073579"/>
      </top>
      <bottom style="thin">
        <color theme="0" tint="-0.499984740745262"/>
      </bottom>
      <diagonal/>
    </border>
    <border>
      <left style="thin">
        <color theme="0" tint="-0.499984740745262"/>
      </left>
      <right style="thin">
        <color theme="0" tint="-0.499984740745262"/>
      </right>
      <top style="medium">
        <color theme="0" tint="-0.34998626667073579"/>
      </top>
      <bottom style="thin">
        <color theme="0" tint="-0.499984740745262"/>
      </bottom>
      <diagonal/>
    </border>
    <border>
      <left/>
      <right style="thin">
        <color theme="0" tint="-0.499984740745262"/>
      </right>
      <top style="medium">
        <color theme="0" tint="-0.34998626667073579"/>
      </top>
      <bottom style="thin">
        <color theme="0" tint="-0.499984740745262"/>
      </bottom>
      <diagonal/>
    </border>
    <border>
      <left style="thin">
        <color indexed="47"/>
      </left>
      <right style="thin">
        <color indexed="47"/>
      </right>
      <top style="thick">
        <color theme="0" tint="-0.34998626667073579"/>
      </top>
      <bottom/>
      <diagonal/>
    </border>
    <border>
      <left style="medium">
        <color theme="0" tint="-0.34998626667073579"/>
      </left>
      <right style="thin">
        <color indexed="55"/>
      </right>
      <top style="medium">
        <color theme="0" tint="-0.34998626667073579"/>
      </top>
      <bottom style="thin">
        <color indexed="55"/>
      </bottom>
      <diagonal/>
    </border>
    <border>
      <left style="thin">
        <color indexed="55"/>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medium">
        <color indexed="55"/>
      </right>
      <top style="medium">
        <color theme="0" tint="-0.34998626667073579"/>
      </top>
      <bottom style="thin">
        <color indexed="55"/>
      </bottom>
      <diagonal/>
    </border>
    <border>
      <left style="medium">
        <color theme="0" tint="-0.34998626667073579"/>
      </left>
      <right style="thin">
        <color indexed="55"/>
      </right>
      <top style="double">
        <color indexed="55"/>
      </top>
      <bottom style="double">
        <color indexed="55"/>
      </bottom>
      <diagonal/>
    </border>
    <border>
      <left/>
      <right style="thin">
        <color indexed="55"/>
      </right>
      <top style="thin">
        <color indexed="55"/>
      </top>
      <bottom style="medium">
        <color theme="0" tint="-0.34998626667073579"/>
      </bottom>
      <diagonal/>
    </border>
    <border>
      <left/>
      <right style="thin">
        <color indexed="47"/>
      </right>
      <top style="thick">
        <color theme="0" tint="-0.34998626667073579"/>
      </top>
      <bottom/>
      <diagonal/>
    </border>
    <border>
      <left/>
      <right style="medium">
        <color indexed="55"/>
      </right>
      <top style="medium">
        <color theme="0" tint="-0.34998626667073579"/>
      </top>
      <bottom/>
      <diagonal/>
    </border>
    <border>
      <left style="thick">
        <color theme="0" tint="-0.34998626667073579"/>
      </left>
      <right style="thin">
        <color indexed="55"/>
      </right>
      <top/>
      <bottom/>
      <diagonal/>
    </border>
    <border>
      <left style="medium">
        <color theme="0" tint="-0.34998626667073579"/>
      </left>
      <right style="thin">
        <color theme="0" tint="-0.34998626667073579"/>
      </right>
      <top/>
      <bottom style="thin">
        <color theme="0" tint="-0.34998626667073579"/>
      </bottom>
      <diagonal/>
    </border>
    <border>
      <left style="thick">
        <color theme="0" tint="-0.34998626667073579"/>
      </left>
      <right style="thick">
        <color theme="0" tint="-0.34998626667073579"/>
      </right>
      <top style="thick">
        <color theme="0" tint="-0.34998626667073579"/>
      </top>
      <bottom style="thick">
        <color theme="0" tint="-0.34998626667073579"/>
      </bottom>
      <diagonal/>
    </border>
    <border>
      <left style="thick">
        <color theme="0" tint="-0.34998626667073579"/>
      </left>
      <right style="thick">
        <color theme="0" tint="-0.34998626667073579"/>
      </right>
      <top style="thick">
        <color theme="0" tint="-0.34998626667073579"/>
      </top>
      <bottom/>
      <diagonal/>
    </border>
    <border>
      <left style="thick">
        <color theme="0" tint="-0.34998626667073579"/>
      </left>
      <right style="thick">
        <color theme="0" tint="-0.34998626667073579"/>
      </right>
      <top/>
      <bottom/>
      <diagonal/>
    </border>
    <border>
      <left style="thick">
        <color theme="0" tint="-0.34998626667073579"/>
      </left>
      <right style="thick">
        <color theme="0" tint="-0.34998626667073579"/>
      </right>
      <top/>
      <bottom style="thick">
        <color theme="0" tint="-0.34998626667073579"/>
      </bottom>
      <diagonal/>
    </border>
    <border>
      <left/>
      <right/>
      <top/>
      <bottom style="dashed">
        <color theme="0" tint="-0.34998626667073579"/>
      </bottom>
      <diagonal/>
    </border>
    <border>
      <left/>
      <right/>
      <top style="dashed">
        <color theme="0" tint="-0.34998626667073579"/>
      </top>
      <bottom style="dashed">
        <color theme="0" tint="-0.34998626667073579"/>
      </bottom>
      <diagonal/>
    </border>
    <border>
      <left/>
      <right/>
      <top style="dashed">
        <color theme="0" tint="-0.34998626667073579"/>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0" tint="-0.34998626667073579"/>
      </right>
      <top/>
      <bottom/>
      <diagonal/>
    </border>
    <border>
      <left style="medium">
        <color theme="0" tint="-0.34998626667073579"/>
      </left>
      <right style="medium">
        <color theme="0" tint="-0.34998626667073579"/>
      </right>
      <top style="medium">
        <color theme="0" tint="-0.34998626667073579"/>
      </top>
      <bottom/>
      <diagonal/>
    </border>
    <border>
      <left style="medium">
        <color indexed="55"/>
      </left>
      <right style="double">
        <color rgb="FFFF0000"/>
      </right>
      <top style="double">
        <color rgb="FFFF0000"/>
      </top>
      <bottom style="double">
        <color rgb="FFFF0000"/>
      </bottom>
      <diagonal/>
    </border>
    <border>
      <left/>
      <right style="medium">
        <color indexed="55"/>
      </right>
      <top style="double">
        <color rgb="FFFF0000"/>
      </top>
      <bottom style="double">
        <color rgb="FFFF0000"/>
      </bottom>
      <diagonal/>
    </border>
    <border>
      <left style="medium">
        <color indexed="55"/>
      </left>
      <right style="double">
        <color indexed="55"/>
      </right>
      <top style="double">
        <color rgb="FFFF0000"/>
      </top>
      <bottom style="double">
        <color rgb="FFFF0000"/>
      </bottom>
      <diagonal/>
    </border>
    <border>
      <left/>
      <right/>
      <top style="double">
        <color rgb="FFFF0000"/>
      </top>
      <bottom style="double">
        <color rgb="FFFF0000"/>
      </bottom>
      <diagonal/>
    </border>
    <border>
      <left style="double">
        <color rgb="FFFF0000"/>
      </left>
      <right/>
      <top style="double">
        <color rgb="FFFF0000"/>
      </top>
      <bottom style="double">
        <color rgb="FFFF0000"/>
      </bottom>
      <diagonal/>
    </border>
    <border>
      <left/>
      <right/>
      <top style="thick">
        <color theme="0" tint="-0.34998626667073579"/>
      </top>
      <bottom style="medium">
        <color theme="0" tint="-0.34998626667073579"/>
      </bottom>
      <diagonal/>
    </border>
    <border>
      <left style="thick">
        <color theme="0" tint="-0.34998626667073579"/>
      </left>
      <right/>
      <top style="medium">
        <color theme="0" tint="-0.34998626667073579"/>
      </top>
      <bottom/>
      <diagonal/>
    </border>
    <border>
      <left/>
      <right style="thick">
        <color theme="0" tint="-0.34998626667073579"/>
      </right>
      <top style="medium">
        <color theme="0" tint="-0.34998626667073579"/>
      </top>
      <bottom/>
      <diagonal/>
    </border>
    <border>
      <left style="thick">
        <color theme="3" tint="0.39991454817346722"/>
      </left>
      <right/>
      <top style="thick">
        <color theme="3" tint="0.39991454817346722"/>
      </top>
      <bottom style="medium">
        <color theme="0"/>
      </bottom>
      <diagonal/>
    </border>
    <border>
      <left/>
      <right/>
      <top style="thick">
        <color theme="3" tint="0.39991454817346722"/>
      </top>
      <bottom style="medium">
        <color theme="0"/>
      </bottom>
      <diagonal/>
    </border>
    <border>
      <left style="medium">
        <color theme="3" tint="0.39991454817346722"/>
      </left>
      <right style="thick">
        <color theme="3" tint="0.79998168889431442"/>
      </right>
      <top style="thick">
        <color theme="3" tint="0.39991454817346722"/>
      </top>
      <bottom style="thick">
        <color theme="3" tint="0.79998168889431442"/>
      </bottom>
      <diagonal/>
    </border>
    <border>
      <left style="thick">
        <color theme="3" tint="0.79998168889431442"/>
      </left>
      <right style="thick">
        <color theme="3" tint="0.79998168889431442"/>
      </right>
      <top style="thick">
        <color theme="3" tint="0.39991454817346722"/>
      </top>
      <bottom style="thick">
        <color theme="3" tint="0.79998168889431442"/>
      </bottom>
      <diagonal/>
    </border>
    <border>
      <left style="thick">
        <color theme="3" tint="0.79998168889431442"/>
      </left>
      <right style="thick">
        <color theme="3" tint="0.39991454817346722"/>
      </right>
      <top style="thick">
        <color theme="3" tint="0.39991454817346722"/>
      </top>
      <bottom style="thick">
        <color theme="3" tint="0.79998168889431442"/>
      </bottom>
      <diagonal/>
    </border>
    <border>
      <left style="thick">
        <color theme="3" tint="0.39991454817346722"/>
      </left>
      <right/>
      <top style="medium">
        <color theme="0"/>
      </top>
      <bottom style="medium">
        <color theme="0"/>
      </bottom>
      <diagonal/>
    </border>
    <border>
      <left/>
      <right/>
      <top style="medium">
        <color theme="0"/>
      </top>
      <bottom style="medium">
        <color theme="0"/>
      </bottom>
      <diagonal/>
    </border>
    <border>
      <left style="medium">
        <color theme="3" tint="0.39991454817346722"/>
      </left>
      <right style="thick">
        <color theme="3" tint="0.79998168889431442"/>
      </right>
      <top style="thick">
        <color theme="3" tint="0.79998168889431442"/>
      </top>
      <bottom style="thick">
        <color theme="3" tint="0.79995117038483843"/>
      </bottom>
      <diagonal/>
    </border>
    <border>
      <left style="thick">
        <color theme="3" tint="0.79998168889431442"/>
      </left>
      <right style="thick">
        <color theme="3" tint="0.79998168889431442"/>
      </right>
      <top style="thick">
        <color theme="3" tint="0.79998168889431442"/>
      </top>
      <bottom style="thick">
        <color theme="3" tint="0.79995117038483843"/>
      </bottom>
      <diagonal/>
    </border>
    <border>
      <left style="thick">
        <color theme="3" tint="0.79998168889431442"/>
      </left>
      <right style="thick">
        <color theme="3" tint="0.39991454817346722"/>
      </right>
      <top style="thick">
        <color theme="3" tint="0.79998168889431442"/>
      </top>
      <bottom style="thick">
        <color theme="3" tint="0.79995117038483843"/>
      </bottom>
      <diagonal/>
    </border>
    <border>
      <left style="medium">
        <color theme="3" tint="0.39991454817346722"/>
      </left>
      <right style="thick">
        <color theme="3" tint="0.79998168889431442"/>
      </right>
      <top style="thick">
        <color theme="3" tint="0.79995117038483843"/>
      </top>
      <bottom style="thick">
        <color theme="3" tint="0.79995117038483843"/>
      </bottom>
      <diagonal/>
    </border>
    <border>
      <left style="thick">
        <color theme="3" tint="0.79998168889431442"/>
      </left>
      <right style="thick">
        <color theme="3" tint="0.79998168889431442"/>
      </right>
      <top style="thick">
        <color theme="3" tint="0.79995117038483843"/>
      </top>
      <bottom style="thick">
        <color theme="3" tint="0.79995117038483843"/>
      </bottom>
      <diagonal/>
    </border>
    <border>
      <left style="thick">
        <color theme="3" tint="0.79998168889431442"/>
      </left>
      <right style="thick">
        <color theme="3" tint="0.39991454817346722"/>
      </right>
      <top style="thick">
        <color theme="3" tint="0.79995117038483843"/>
      </top>
      <bottom style="thick">
        <color theme="3" tint="0.79995117038483843"/>
      </bottom>
      <diagonal/>
    </border>
    <border>
      <left style="medium">
        <color theme="3" tint="0.39991454817346722"/>
      </left>
      <right style="thick">
        <color theme="3" tint="0.39991454817346722"/>
      </right>
      <top style="thick">
        <color theme="3" tint="0.79995117038483843"/>
      </top>
      <bottom style="thick">
        <color theme="3" tint="0.79995117038483843"/>
      </bottom>
      <diagonal/>
    </border>
    <border>
      <left/>
      <right/>
      <top style="thick">
        <color theme="3" tint="0.79995117038483843"/>
      </top>
      <bottom style="thick">
        <color theme="3" tint="0.79995117038483843"/>
      </bottom>
      <diagonal/>
    </border>
    <border>
      <left/>
      <right style="thick">
        <color theme="3" tint="0.39991454817346722"/>
      </right>
      <top style="thick">
        <color theme="3" tint="0.79995117038483843"/>
      </top>
      <bottom style="thick">
        <color theme="3" tint="0.79995117038483843"/>
      </bottom>
      <diagonal/>
    </border>
    <border>
      <left style="thick">
        <color theme="3" tint="0.39991454817346722"/>
      </left>
      <right/>
      <top style="medium">
        <color theme="0"/>
      </top>
      <bottom style="thick">
        <color theme="3" tint="0.39991454817346722"/>
      </bottom>
      <diagonal/>
    </border>
    <border>
      <left/>
      <right/>
      <top style="medium">
        <color theme="0"/>
      </top>
      <bottom style="thick">
        <color theme="3" tint="0.39991454817346722"/>
      </bottom>
      <diagonal/>
    </border>
    <border>
      <left/>
      <right/>
      <top style="thick">
        <color theme="3" tint="0.79995117038483843"/>
      </top>
      <bottom style="thick">
        <color theme="3" tint="0.39991454817346722"/>
      </bottom>
      <diagonal/>
    </border>
    <border>
      <left style="medium">
        <color indexed="64"/>
      </left>
      <right/>
      <top style="medium">
        <color indexed="64"/>
      </top>
      <bottom style="thin">
        <color theme="0" tint="-0.24994659260841701"/>
      </bottom>
      <diagonal/>
    </border>
    <border>
      <left style="medium">
        <color indexed="64"/>
      </left>
      <right style="medium">
        <color indexed="64"/>
      </right>
      <top style="medium">
        <color indexed="64"/>
      </top>
      <bottom style="thin">
        <color theme="0" tint="-0.24994659260841701"/>
      </bottom>
      <diagonal/>
    </border>
    <border>
      <left/>
      <right/>
      <top style="medium">
        <color indexed="64"/>
      </top>
      <bottom style="thin">
        <color theme="0" tint="-0.24994659260841701"/>
      </bottom>
      <diagonal/>
    </border>
    <border>
      <left style="medium">
        <color indexed="64"/>
      </left>
      <right/>
      <top style="thin">
        <color theme="0" tint="-0.24994659260841701"/>
      </top>
      <bottom style="thin">
        <color theme="0" tint="-0.24994659260841701"/>
      </bottom>
      <diagonal/>
    </border>
    <border>
      <left style="medium">
        <color indexed="64"/>
      </left>
      <right style="medium">
        <color indexed="64"/>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ck">
        <color theme="3" tint="0.39994506668294322"/>
      </right>
      <top/>
      <bottom style="thick">
        <color theme="3" tint="0.39994506668294322"/>
      </bottom>
      <diagonal/>
    </border>
    <border>
      <left/>
      <right style="thick">
        <color theme="3" tint="0.39994506668294322"/>
      </right>
      <top style="thick">
        <color theme="3" tint="0.79995117038483843"/>
      </top>
      <bottom style="thick">
        <color theme="3" tint="0.79995117038483843"/>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00B050"/>
      </left>
      <right/>
      <top/>
      <bottom/>
      <diagonal/>
    </border>
    <border>
      <left/>
      <right style="thick">
        <color rgb="FF00B05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right style="medium">
        <color theme="0" tint="-0.34998626667073579"/>
      </right>
      <top style="thin">
        <color theme="0" tint="-0.34998626667073579"/>
      </top>
      <bottom style="thin">
        <color theme="0" tint="-0.34998626667073579"/>
      </bottom>
      <diagonal/>
    </border>
    <border>
      <left style="medium">
        <color indexed="55"/>
      </left>
      <right style="medium">
        <color theme="0" tint="-0.34998626667073579"/>
      </right>
      <top style="medium">
        <color theme="0" tint="-0.34998626667073579"/>
      </top>
      <bottom/>
      <diagonal/>
    </border>
    <border>
      <left style="medium">
        <color indexed="55"/>
      </left>
      <right style="medium">
        <color theme="0" tint="-0.34998626667073579"/>
      </right>
      <top/>
      <bottom style="dotted">
        <color indexed="55"/>
      </bottom>
      <diagonal/>
    </border>
    <border>
      <left style="medium">
        <color theme="0" tint="-0.34998626667073579"/>
      </left>
      <right/>
      <top style="thin">
        <color indexed="55"/>
      </top>
      <bottom/>
      <diagonal/>
    </border>
    <border>
      <left style="medium">
        <color theme="0" tint="-0.34998626667073579"/>
      </left>
      <right/>
      <top style="thin">
        <color indexed="55"/>
      </top>
      <bottom style="medium">
        <color theme="0" tint="-0.34998626667073579"/>
      </bottom>
      <diagonal/>
    </border>
    <border>
      <left style="thin">
        <color indexed="55"/>
      </left>
      <right/>
      <top style="thin">
        <color indexed="55"/>
      </top>
      <bottom style="medium">
        <color theme="0" tint="-0.34998626667073579"/>
      </bottom>
      <diagonal/>
    </border>
    <border>
      <left/>
      <right/>
      <top style="thin">
        <color indexed="55"/>
      </top>
      <bottom style="medium">
        <color theme="0" tint="-0.34998626667073579"/>
      </bottom>
      <diagonal/>
    </border>
    <border>
      <left style="medium">
        <color theme="0" tint="-0.34998626667073579"/>
      </left>
      <right/>
      <top style="dashed">
        <color theme="0" tint="-0.34998626667073579"/>
      </top>
      <bottom style="medium">
        <color theme="0" tint="-0.34998626667073579"/>
      </bottom>
      <diagonal/>
    </border>
    <border>
      <left/>
      <right/>
      <top style="dashed">
        <color theme="0" tint="-0.34998626667073579"/>
      </top>
      <bottom style="medium">
        <color theme="0" tint="-0.34998626667073579"/>
      </bottom>
      <diagonal/>
    </border>
    <border>
      <left/>
      <right style="medium">
        <color theme="0" tint="-0.34998626667073579"/>
      </right>
      <top style="dashed">
        <color theme="0" tint="-0.34998626667073579"/>
      </top>
      <bottom style="medium">
        <color theme="0" tint="-0.34998626667073579"/>
      </bottom>
      <diagonal/>
    </border>
    <border>
      <left style="medium">
        <color theme="0" tint="-0.34998626667073579"/>
      </left>
      <right/>
      <top style="dashed">
        <color theme="0" tint="-0.34998626667073579"/>
      </top>
      <bottom style="dashed">
        <color theme="0" tint="-0.34998626667073579"/>
      </bottom>
      <diagonal/>
    </border>
    <border>
      <left/>
      <right style="medium">
        <color theme="0" tint="-0.34998626667073579"/>
      </right>
      <top style="dashed">
        <color theme="0" tint="-0.34998626667073579"/>
      </top>
      <bottom style="dashed">
        <color theme="0" tint="-0.34998626667073579"/>
      </bottom>
      <diagonal/>
    </border>
    <border>
      <left/>
      <right/>
      <top style="thick">
        <color theme="0" tint="-0.34998626667073579"/>
      </top>
      <bottom style="medium">
        <color indexed="55"/>
      </bottom>
      <diagonal/>
    </border>
    <border>
      <left/>
      <right/>
      <top/>
      <bottom style="thick">
        <color theme="3" tint="0.39991454817346722"/>
      </bottom>
      <diagonal/>
    </border>
    <border>
      <left style="medium">
        <color theme="0" tint="-0.34998626667073579"/>
      </left>
      <right/>
      <top style="medium">
        <color theme="0" tint="-0.34998626667073579"/>
      </top>
      <bottom style="medium">
        <color indexed="55"/>
      </bottom>
      <diagonal/>
    </border>
    <border>
      <left/>
      <right/>
      <top style="medium">
        <color theme="0" tint="-0.34998626667073579"/>
      </top>
      <bottom style="medium">
        <color indexed="55"/>
      </bottom>
      <diagonal/>
    </border>
    <border>
      <left style="dashed">
        <color indexed="55"/>
      </left>
      <right/>
      <top style="medium">
        <color theme="0" tint="-0.34998626667073579"/>
      </top>
      <bottom/>
      <diagonal/>
    </border>
    <border>
      <left/>
      <right style="thin">
        <color theme="0" tint="-0.499984740745262"/>
      </right>
      <top style="medium">
        <color theme="0" tint="-0.34998626667073579"/>
      </top>
      <bottom/>
      <diagonal/>
    </border>
    <border>
      <left/>
      <right style="thin">
        <color theme="0" tint="-0.499984740745262"/>
      </right>
      <top/>
      <bottom/>
      <diagonal/>
    </border>
    <border>
      <left style="thin">
        <color theme="0" tint="-0.499984740745262"/>
      </left>
      <right style="medium">
        <color theme="0" tint="-0.34998626667073579"/>
      </right>
      <top style="medium">
        <color theme="0" tint="-0.34998626667073579"/>
      </top>
      <bottom/>
      <diagonal/>
    </border>
    <border>
      <left style="thin">
        <color theme="0" tint="-0.499984740745262"/>
      </left>
      <right style="medium">
        <color theme="0" tint="-0.34998626667073579"/>
      </right>
      <top/>
      <bottom/>
      <diagonal/>
    </border>
    <border>
      <left style="thin">
        <color theme="0" tint="-0.499984740745262"/>
      </left>
      <right style="thin">
        <color theme="0" tint="-0.499984740745262"/>
      </right>
      <top style="medium">
        <color theme="0" tint="-0.34998626667073579"/>
      </top>
      <bottom/>
      <diagonal/>
    </border>
    <border>
      <left style="thin">
        <color theme="0" tint="-0.499984740745262"/>
      </left>
      <right style="thin">
        <color theme="0" tint="-0.499984740745262"/>
      </right>
      <top/>
      <bottom/>
      <diagonal/>
    </border>
    <border>
      <left style="thick">
        <color theme="0" tint="-0.24994659260841701"/>
      </left>
      <right style="thick">
        <color theme="0" tint="-0.24994659260841701"/>
      </right>
      <top style="thick">
        <color theme="0" tint="-0.24994659260841701"/>
      </top>
      <bottom/>
      <diagonal/>
    </border>
    <border>
      <left style="thick">
        <color theme="0" tint="-0.24994659260841701"/>
      </left>
      <right style="thick">
        <color theme="0" tint="-0.24994659260841701"/>
      </right>
      <top/>
      <bottom/>
      <diagonal/>
    </border>
    <border>
      <left/>
      <right style="medium">
        <color theme="0" tint="-0.24994659260841701"/>
      </right>
      <top/>
      <bottom/>
      <diagonal/>
    </border>
    <border>
      <left style="thin">
        <color theme="0" tint="-0.34998626667073579"/>
      </left>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right style="thin">
        <color theme="0" tint="-0.34998626667073579"/>
      </right>
      <top style="medium">
        <color theme="0" tint="-0.34998626667073579"/>
      </top>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dashed">
        <color theme="0" tint="-0.34998626667073579"/>
      </left>
      <right style="thin">
        <color theme="0" tint="-0.34998626667073579"/>
      </right>
      <top style="dashed">
        <color theme="0" tint="-0.34998626667073579"/>
      </top>
      <bottom style="dashed">
        <color theme="0" tint="-0.34998626667073579"/>
      </bottom>
      <diagonal/>
    </border>
    <border>
      <left style="thin">
        <color theme="0" tint="-0.34998626667073579"/>
      </left>
      <right style="thin">
        <color theme="0" tint="-0.34998626667073579"/>
      </right>
      <top style="dashed">
        <color theme="0" tint="-0.34998626667073579"/>
      </top>
      <bottom style="dashed">
        <color theme="0" tint="-0.34998626667073579"/>
      </bottom>
      <diagonal/>
    </border>
    <border>
      <left style="thin">
        <color theme="0" tint="-0.34998626667073579"/>
      </left>
      <right style="medium">
        <color theme="0" tint="-0.34998626667073579"/>
      </right>
      <top style="dashed">
        <color theme="0" tint="-0.34998626667073579"/>
      </top>
      <bottom style="dashed">
        <color theme="0" tint="-0.34998626667073579"/>
      </bottom>
      <diagonal/>
    </border>
    <border>
      <left style="thin">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top style="thin">
        <color theme="0" tint="-0.34998626667073579"/>
      </top>
      <bottom style="dashed">
        <color theme="0" tint="-0.34998626667073579"/>
      </bottom>
      <diagonal/>
    </border>
    <border>
      <left/>
      <right style="dashed">
        <color theme="0" tint="-0.34998626667073579"/>
      </right>
      <top style="thin">
        <color theme="0" tint="-0.34998626667073579"/>
      </top>
      <bottom style="dashed">
        <color theme="0" tint="-0.34998626667073579"/>
      </bottom>
      <diagonal/>
    </border>
    <border>
      <left style="thin">
        <color indexed="64"/>
      </left>
      <right style="thick">
        <color theme="0" tint="-0.34998626667073579"/>
      </right>
      <top style="thin">
        <color indexed="64"/>
      </top>
      <bottom/>
      <diagonal/>
    </border>
    <border>
      <left style="dashed">
        <color theme="0" tint="-0.34998626667073579"/>
      </left>
      <right/>
      <top style="dashed">
        <color theme="0" tint="-0.34998626667073579"/>
      </top>
      <bottom style="dashed">
        <color theme="0" tint="-0.34998626667073579"/>
      </bottom>
      <diagonal/>
    </border>
    <border>
      <left style="thin">
        <color theme="0" tint="-0.34998626667073579"/>
      </left>
      <right style="medium">
        <color theme="0" tint="-0.34998626667073579"/>
      </right>
      <top style="medium">
        <color theme="0" tint="-0.34998626667073579"/>
      </top>
      <bottom/>
      <diagonal/>
    </border>
  </borders>
  <cellStyleXfs count="26">
    <xf numFmtId="0" fontId="0" fillId="0" borderId="0"/>
    <xf numFmtId="179" fontId="3" fillId="0" borderId="0"/>
    <xf numFmtId="44" fontId="1" fillId="0" borderId="0" applyFont="0" applyFill="0" applyBorder="0" applyAlignment="0" applyProtection="0"/>
    <xf numFmtId="180" fontId="5" fillId="0" borderId="0" applyFont="0" applyFill="0" applyBorder="0" applyAlignment="0" applyProtection="0"/>
    <xf numFmtId="44" fontId="51" fillId="0" borderId="0" applyFont="0" applyFill="0" applyBorder="0" applyAlignment="0" applyProtection="0"/>
    <xf numFmtId="0" fontId="57" fillId="0" borderId="0" applyNumberFormat="0" applyFill="0" applyBorder="0" applyAlignment="0" applyProtection="0">
      <alignment vertical="top"/>
      <protection locked="0"/>
    </xf>
    <xf numFmtId="0" fontId="85" fillId="0" borderId="0" applyNumberFormat="0" applyFill="0" applyBorder="0" applyAlignment="0" applyProtection="0"/>
    <xf numFmtId="188" fontId="82" fillId="0" borderId="0" applyFont="0" applyFill="0" applyBorder="0" applyAlignment="0" applyProtection="0"/>
    <xf numFmtId="0" fontId="86" fillId="0" borderId="0" applyNumberFormat="0" applyFill="0" applyBorder="0" applyAlignment="0" applyProtection="0">
      <alignment vertical="top"/>
      <protection locked="0"/>
    </xf>
    <xf numFmtId="9" fontId="1" fillId="0" borderId="0" applyFont="0" applyFill="0" applyBorder="0" applyAlignment="0" applyProtection="0"/>
    <xf numFmtId="9" fontId="1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2" fillId="0" borderId="0" applyFont="0" applyFill="0" applyBorder="0" applyAlignment="0" applyProtection="0"/>
    <xf numFmtId="9" fontId="1" fillId="0" borderId="0" applyFont="0" applyFill="0" applyBorder="0" applyAlignment="0" applyProtection="0"/>
    <xf numFmtId="181" fontId="40" fillId="0" borderId="1" applyFont="0" applyFill="0" applyBorder="0" applyAlignment="0" applyProtection="0">
      <alignment horizontal="center"/>
      <protection locked="0"/>
    </xf>
    <xf numFmtId="0" fontId="83" fillId="0" borderId="0"/>
    <xf numFmtId="0" fontId="5" fillId="0" borderId="0"/>
    <xf numFmtId="0" fontId="1" fillId="0" borderId="0"/>
    <xf numFmtId="0" fontId="82" fillId="0" borderId="0"/>
    <xf numFmtId="0" fontId="5" fillId="0" borderId="0"/>
    <xf numFmtId="0" fontId="5" fillId="0" borderId="0" applyNumberFormat="0" applyFont="0" applyFill="0" applyBorder="0" applyAlignment="0" applyProtection="0">
      <alignment vertical="top"/>
    </xf>
    <xf numFmtId="0" fontId="57" fillId="0" borderId="0"/>
    <xf numFmtId="187" fontId="67" fillId="0" borderId="0"/>
    <xf numFmtId="182" fontId="5" fillId="0" borderId="0" applyFont="0" applyFill="0" applyBorder="0" applyAlignment="0" applyProtection="0"/>
  </cellStyleXfs>
  <cellXfs count="2660">
    <xf numFmtId="0" fontId="0" fillId="0" borderId="0" xfId="0"/>
    <xf numFmtId="0" fontId="16" fillId="0" borderId="0" xfId="0" applyFont="1" applyProtection="1"/>
    <xf numFmtId="3" fontId="16" fillId="0" borderId="0" xfId="0" applyNumberFormat="1" applyFont="1" applyFill="1" applyBorder="1" applyAlignment="1" applyProtection="1"/>
    <xf numFmtId="0" fontId="17" fillId="2" borderId="0" xfId="0" applyFont="1" applyFill="1" applyBorder="1" applyAlignment="1" applyProtection="1">
      <alignment horizontal="center"/>
    </xf>
    <xf numFmtId="0" fontId="16" fillId="0" borderId="0" xfId="0" applyFont="1" applyAlignment="1" applyProtection="1">
      <alignment wrapText="1"/>
    </xf>
    <xf numFmtId="3" fontId="16" fillId="0" borderId="0" xfId="0" applyNumberFormat="1" applyFont="1" applyFill="1" applyBorder="1" applyAlignment="1" applyProtection="1">
      <alignment horizontal="right"/>
    </xf>
    <xf numFmtId="3" fontId="16" fillId="0" borderId="0" xfId="0" applyNumberFormat="1" applyFont="1" applyAlignment="1" applyProtection="1">
      <alignment horizontal="right"/>
    </xf>
    <xf numFmtId="3" fontId="16" fillId="0" borderId="0" xfId="0" applyNumberFormat="1" applyFont="1" applyAlignment="1" applyProtection="1"/>
    <xf numFmtId="0" fontId="14" fillId="0" borderId="0" xfId="0" applyFont="1" applyProtection="1"/>
    <xf numFmtId="3" fontId="14" fillId="0" borderId="0" xfId="0" applyNumberFormat="1" applyFont="1" applyAlignment="1" applyProtection="1">
      <alignment horizontal="right"/>
    </xf>
    <xf numFmtId="3" fontId="14" fillId="0" borderId="0" xfId="0" applyNumberFormat="1" applyFont="1" applyAlignment="1" applyProtection="1"/>
    <xf numFmtId="9" fontId="14" fillId="0" borderId="0" xfId="10" applyFont="1" applyAlignment="1" applyProtection="1"/>
    <xf numFmtId="9" fontId="14" fillId="0" borderId="0" xfId="10" applyFont="1" applyProtection="1"/>
    <xf numFmtId="164" fontId="14" fillId="0" borderId="0" xfId="0" applyNumberFormat="1" applyFont="1" applyProtection="1"/>
    <xf numFmtId="0" fontId="16" fillId="0" borderId="0" xfId="0" applyFont="1" applyBorder="1" applyProtection="1"/>
    <xf numFmtId="3" fontId="16" fillId="0" borderId="0" xfId="0" applyNumberFormat="1" applyFont="1" applyBorder="1" applyProtection="1"/>
    <xf numFmtId="3" fontId="16" fillId="0" borderId="0" xfId="10" applyNumberFormat="1" applyFont="1" applyBorder="1" applyProtection="1"/>
    <xf numFmtId="177" fontId="16" fillId="0" borderId="0" xfId="0" applyNumberFormat="1" applyFont="1" applyBorder="1" applyProtection="1"/>
    <xf numFmtId="3" fontId="14" fillId="0" borderId="2" xfId="0" applyNumberFormat="1" applyFont="1" applyBorder="1" applyAlignment="1" applyProtection="1">
      <alignment horizontal="center"/>
      <protection locked="0"/>
    </xf>
    <xf numFmtId="3" fontId="14" fillId="0" borderId="2" xfId="0" applyNumberFormat="1" applyFont="1" applyFill="1" applyBorder="1" applyAlignment="1" applyProtection="1">
      <alignment horizontal="center"/>
      <protection locked="0"/>
    </xf>
    <xf numFmtId="3" fontId="14" fillId="0" borderId="3" xfId="0" applyNumberFormat="1" applyFont="1" applyFill="1" applyBorder="1" applyAlignment="1" applyProtection="1">
      <alignment horizontal="center"/>
      <protection locked="0"/>
    </xf>
    <xf numFmtId="0" fontId="14" fillId="0" borderId="0" xfId="0" applyFont="1" applyBorder="1" applyProtection="1"/>
    <xf numFmtId="0" fontId="17" fillId="0" borderId="0" xfId="0" applyFont="1" applyBorder="1" applyProtection="1"/>
    <xf numFmtId="166" fontId="16" fillId="0" borderId="0" xfId="0" applyNumberFormat="1" applyFont="1" applyBorder="1" applyProtection="1"/>
    <xf numFmtId="9" fontId="14" fillId="0" borderId="2" xfId="0" applyNumberFormat="1" applyFont="1" applyFill="1" applyBorder="1" applyAlignment="1" applyProtection="1">
      <alignment horizontal="center" vertical="center"/>
      <protection locked="0"/>
    </xf>
    <xf numFmtId="0" fontId="14" fillId="3" borderId="4" xfId="0" applyFont="1" applyFill="1" applyBorder="1" applyAlignment="1" applyProtection="1">
      <alignment wrapText="1"/>
      <protection locked="0"/>
    </xf>
    <xf numFmtId="0" fontId="14" fillId="3" borderId="3" xfId="0" applyFont="1" applyFill="1" applyBorder="1" applyAlignment="1" applyProtection="1">
      <alignment wrapText="1"/>
      <protection locked="0"/>
    </xf>
    <xf numFmtId="0" fontId="15" fillId="3" borderId="3" xfId="0" applyFont="1" applyFill="1" applyBorder="1" applyAlignment="1" applyProtection="1">
      <alignment wrapText="1"/>
      <protection locked="0"/>
    </xf>
    <xf numFmtId="0" fontId="15" fillId="3" borderId="5" xfId="0" applyFont="1" applyFill="1" applyBorder="1" applyAlignment="1" applyProtection="1">
      <alignment wrapText="1"/>
      <protection locked="0"/>
    </xf>
    <xf numFmtId="0" fontId="26" fillId="0" borderId="6" xfId="0" applyFont="1" applyFill="1" applyBorder="1" applyAlignment="1" applyProtection="1">
      <alignment horizontal="center"/>
      <protection locked="0"/>
    </xf>
    <xf numFmtId="165" fontId="14" fillId="0" borderId="7" xfId="0" applyNumberFormat="1" applyFont="1" applyFill="1" applyBorder="1" applyProtection="1">
      <protection locked="0"/>
    </xf>
    <xf numFmtId="1" fontId="14" fillId="3" borderId="8" xfId="2" applyNumberFormat="1" applyFont="1" applyFill="1" applyBorder="1" applyAlignment="1" applyProtection="1">
      <alignment horizontal="center"/>
      <protection locked="0"/>
    </xf>
    <xf numFmtId="1" fontId="14" fillId="3" borderId="2" xfId="2" applyNumberFormat="1" applyFont="1" applyFill="1" applyBorder="1" applyAlignment="1" applyProtection="1">
      <alignment horizontal="center"/>
      <protection locked="0"/>
    </xf>
    <xf numFmtId="165" fontId="14" fillId="0" borderId="9" xfId="0" applyNumberFormat="1" applyFont="1" applyFill="1" applyBorder="1" applyProtection="1">
      <protection locked="0"/>
    </xf>
    <xf numFmtId="2" fontId="14" fillId="0" borderId="2" xfId="0" applyNumberFormat="1" applyFont="1" applyBorder="1" applyAlignment="1" applyProtection="1">
      <alignment horizontal="center"/>
      <protection locked="0"/>
    </xf>
    <xf numFmtId="178" fontId="14" fillId="0" borderId="2" xfId="0" applyNumberFormat="1" applyFont="1" applyBorder="1" applyAlignment="1" applyProtection="1">
      <alignment horizontal="center"/>
      <protection locked="0"/>
    </xf>
    <xf numFmtId="2" fontId="0" fillId="0" borderId="10" xfId="0" applyNumberFormat="1" applyBorder="1" applyAlignment="1" applyProtection="1">
      <alignment vertical="top" wrapText="1"/>
      <protection locked="0"/>
    </xf>
    <xf numFmtId="2" fontId="0" fillId="0" borderId="11" xfId="0" applyNumberFormat="1" applyBorder="1" applyAlignment="1" applyProtection="1">
      <alignment vertical="top" wrapText="1"/>
      <protection locked="0"/>
    </xf>
    <xf numFmtId="2" fontId="0" fillId="0" borderId="12" xfId="0" applyNumberFormat="1" applyBorder="1" applyAlignment="1" applyProtection="1">
      <alignment horizontal="center" vertical="top"/>
      <protection locked="0"/>
    </xf>
    <xf numFmtId="2" fontId="0" fillId="0" borderId="13" xfId="0" applyNumberFormat="1" applyBorder="1" applyAlignment="1" applyProtection="1">
      <alignment horizontal="center" vertical="top"/>
      <protection locked="0"/>
    </xf>
    <xf numFmtId="169" fontId="14" fillId="0" borderId="14" xfId="0" applyNumberFormat="1" applyFont="1" applyFill="1" applyBorder="1" applyAlignment="1" applyProtection="1">
      <alignment horizontal="center" vertical="center"/>
      <protection locked="0"/>
    </xf>
    <xf numFmtId="169" fontId="15" fillId="0" borderId="14" xfId="0" applyNumberFormat="1" applyFont="1" applyFill="1" applyBorder="1" applyAlignment="1" applyProtection="1">
      <alignment horizontal="center" vertical="center"/>
      <protection locked="0"/>
    </xf>
    <xf numFmtId="166" fontId="15" fillId="0" borderId="14" xfId="2" applyNumberFormat="1" applyFont="1" applyFill="1" applyBorder="1" applyAlignment="1" applyProtection="1">
      <alignment horizontal="center" vertical="center"/>
      <protection locked="0"/>
    </xf>
    <xf numFmtId="166" fontId="14" fillId="0" borderId="14" xfId="0" applyNumberFormat="1" applyFont="1" applyFill="1" applyBorder="1" applyAlignment="1" applyProtection="1">
      <alignment horizontal="center" vertical="center"/>
      <protection locked="0"/>
    </xf>
    <xf numFmtId="0" fontId="26" fillId="0" borderId="7" xfId="0" applyFont="1" applyFill="1" applyBorder="1" applyAlignment="1" applyProtection="1">
      <alignment horizontal="center"/>
      <protection locked="0"/>
    </xf>
    <xf numFmtId="42" fontId="14" fillId="4" borderId="0" xfId="0" applyNumberFormat="1" applyFont="1" applyFill="1" applyBorder="1" applyAlignment="1" applyProtection="1">
      <alignment horizontal="center"/>
    </xf>
    <xf numFmtId="44" fontId="14" fillId="4" borderId="0" xfId="0" applyNumberFormat="1" applyFont="1" applyFill="1" applyBorder="1" applyAlignment="1" applyProtection="1">
      <alignment horizontal="center" wrapText="1"/>
    </xf>
    <xf numFmtId="9" fontId="14" fillId="4" borderId="0" xfId="0" applyNumberFormat="1" applyFont="1" applyFill="1" applyBorder="1" applyAlignment="1" applyProtection="1">
      <alignment horizontal="center"/>
    </xf>
    <xf numFmtId="165" fontId="14" fillId="4" borderId="0" xfId="0" applyNumberFormat="1" applyFont="1" applyFill="1" applyBorder="1" applyAlignment="1" applyProtection="1">
      <alignment horizontal="center"/>
    </xf>
    <xf numFmtId="171" fontId="14" fillId="4" borderId="0" xfId="0" applyNumberFormat="1" applyFont="1" applyFill="1" applyBorder="1" applyAlignment="1" applyProtection="1">
      <alignment horizontal="center"/>
    </xf>
    <xf numFmtId="165" fontId="14" fillId="4" borderId="15" xfId="0" applyNumberFormat="1" applyFont="1" applyFill="1" applyBorder="1" applyAlignment="1" applyProtection="1">
      <alignment horizontal="center"/>
    </xf>
    <xf numFmtId="2" fontId="14" fillId="0" borderId="2" xfId="0" applyNumberFormat="1" applyFont="1" applyFill="1" applyBorder="1" applyAlignment="1" applyProtection="1">
      <alignment horizontal="center"/>
      <protection locked="0"/>
    </xf>
    <xf numFmtId="0" fontId="14" fillId="0" borderId="2" xfId="0" applyFont="1" applyFill="1" applyBorder="1" applyProtection="1">
      <protection locked="0"/>
    </xf>
    <xf numFmtId="10" fontId="14" fillId="0" borderId="13" xfId="0" applyNumberFormat="1" applyFont="1" applyFill="1" applyBorder="1" applyProtection="1">
      <protection locked="0"/>
    </xf>
    <xf numFmtId="1" fontId="14" fillId="0" borderId="16" xfId="0" applyNumberFormat="1" applyFont="1" applyFill="1" applyBorder="1" applyAlignment="1" applyProtection="1">
      <alignment horizontal="center" vertical="center"/>
      <protection locked="0"/>
    </xf>
    <xf numFmtId="164" fontId="14" fillId="3" borderId="17" xfId="0" applyNumberFormat="1" applyFont="1" applyFill="1" applyBorder="1" applyProtection="1">
      <protection locked="0"/>
    </xf>
    <xf numFmtId="164" fontId="14" fillId="3" borderId="18" xfId="0" applyNumberFormat="1" applyFont="1" applyFill="1" applyBorder="1" applyProtection="1">
      <protection locked="0"/>
    </xf>
    <xf numFmtId="164" fontId="15" fillId="3" borderId="18" xfId="0" applyNumberFormat="1" applyFont="1" applyFill="1" applyBorder="1" applyProtection="1">
      <protection locked="0"/>
    </xf>
    <xf numFmtId="164" fontId="15" fillId="3" borderId="19" xfId="0" applyNumberFormat="1" applyFont="1" applyFill="1" applyBorder="1" applyProtection="1">
      <protection locked="0"/>
    </xf>
    <xf numFmtId="4" fontId="14" fillId="0" borderId="2" xfId="0" applyNumberFormat="1" applyFont="1" applyFill="1" applyBorder="1" applyAlignment="1" applyProtection="1">
      <alignment horizontal="center"/>
      <protection locked="0"/>
    </xf>
    <xf numFmtId="3" fontId="15" fillId="5" borderId="20" xfId="0" applyNumberFormat="1" applyFont="1" applyFill="1" applyBorder="1" applyAlignment="1" applyProtection="1">
      <alignment horizontal="center"/>
    </xf>
    <xf numFmtId="165" fontId="14" fillId="0" borderId="6" xfId="0" applyNumberFormat="1" applyFont="1" applyFill="1" applyBorder="1" applyProtection="1">
      <protection locked="0"/>
    </xf>
    <xf numFmtId="1" fontId="14" fillId="0" borderId="14" xfId="0" applyNumberFormat="1" applyFont="1" applyFill="1" applyBorder="1" applyAlignment="1" applyProtection="1">
      <alignment horizontal="right" vertical="center"/>
      <protection locked="0"/>
    </xf>
    <xf numFmtId="1" fontId="14" fillId="0" borderId="2" xfId="0" applyNumberFormat="1" applyFont="1" applyFill="1" applyBorder="1" applyAlignment="1" applyProtection="1">
      <alignment horizontal="right" vertical="center"/>
      <protection locked="0"/>
    </xf>
    <xf numFmtId="1" fontId="14" fillId="0" borderId="21" xfId="0" applyNumberFormat="1" applyFont="1" applyFill="1" applyBorder="1" applyAlignment="1" applyProtection="1">
      <alignment horizontal="right" vertical="center"/>
      <protection locked="0"/>
    </xf>
    <xf numFmtId="1" fontId="14" fillId="0" borderId="22" xfId="0" applyNumberFormat="1" applyFont="1" applyFill="1" applyBorder="1" applyAlignment="1" applyProtection="1">
      <alignment horizontal="right" vertical="center"/>
      <protection locked="0"/>
    </xf>
    <xf numFmtId="1" fontId="14" fillId="0" borderId="23" xfId="0" applyNumberFormat="1" applyFont="1" applyFill="1" applyBorder="1" applyAlignment="1" applyProtection="1">
      <alignment horizontal="right" vertical="center"/>
      <protection locked="0"/>
    </xf>
    <xf numFmtId="1" fontId="14" fillId="0" borderId="24" xfId="0" applyNumberFormat="1" applyFont="1" applyFill="1" applyBorder="1" applyAlignment="1" applyProtection="1">
      <alignment horizontal="right" vertical="center"/>
      <protection locked="0"/>
    </xf>
    <xf numFmtId="3" fontId="14" fillId="0" borderId="14" xfId="0" applyNumberFormat="1" applyFont="1" applyFill="1" applyBorder="1" applyAlignment="1" applyProtection="1">
      <alignment horizontal="right" vertical="center"/>
      <protection locked="0"/>
    </xf>
    <xf numFmtId="3" fontId="14" fillId="0" borderId="22" xfId="0" applyNumberFormat="1" applyFont="1" applyFill="1" applyBorder="1" applyAlignment="1" applyProtection="1">
      <alignment horizontal="right" vertical="center"/>
      <protection locked="0"/>
    </xf>
    <xf numFmtId="3" fontId="14" fillId="0" borderId="333" xfId="0" applyNumberFormat="1" applyFont="1" applyFill="1" applyBorder="1" applyAlignment="1" applyProtection="1">
      <alignment horizontal="center" vertical="center"/>
      <protection locked="0"/>
    </xf>
    <xf numFmtId="3" fontId="14" fillId="3" borderId="333" xfId="0" applyNumberFormat="1" applyFont="1" applyFill="1" applyBorder="1" applyAlignment="1" applyProtection="1">
      <alignment horizontal="center" vertical="center"/>
      <protection locked="0"/>
    </xf>
    <xf numFmtId="3" fontId="14" fillId="0" borderId="26" xfId="0" applyNumberFormat="1" applyFont="1" applyFill="1" applyBorder="1" applyAlignment="1" applyProtection="1">
      <alignment horizontal="center" vertical="center"/>
      <protection locked="0"/>
    </xf>
    <xf numFmtId="3" fontId="14" fillId="0" borderId="27" xfId="0" applyNumberFormat="1" applyFont="1" applyFill="1" applyBorder="1" applyAlignment="1" applyProtection="1">
      <alignment horizontal="center" vertical="center"/>
      <protection locked="0"/>
    </xf>
    <xf numFmtId="3" fontId="14" fillId="0" borderId="28" xfId="0" applyNumberFormat="1" applyFont="1" applyFill="1" applyBorder="1" applyAlignment="1" applyProtection="1">
      <alignment horizontal="center" vertical="center"/>
      <protection locked="0"/>
    </xf>
    <xf numFmtId="1" fontId="14" fillId="0" borderId="29" xfId="0" applyNumberFormat="1" applyFont="1" applyFill="1" applyBorder="1" applyAlignment="1" applyProtection="1">
      <alignment horizontal="center" vertical="center"/>
      <protection locked="0"/>
    </xf>
    <xf numFmtId="1" fontId="14" fillId="0" borderId="30" xfId="0" applyNumberFormat="1" applyFont="1" applyFill="1" applyBorder="1" applyAlignment="1" applyProtection="1">
      <alignment horizontal="center" vertical="center"/>
      <protection locked="0"/>
    </xf>
    <xf numFmtId="1" fontId="14" fillId="0" borderId="31" xfId="0" applyNumberFormat="1" applyFont="1" applyFill="1" applyBorder="1" applyAlignment="1" applyProtection="1">
      <alignment horizontal="center" vertical="center"/>
      <protection locked="0"/>
    </xf>
    <xf numFmtId="1" fontId="14" fillId="0" borderId="32" xfId="0" applyNumberFormat="1" applyFont="1" applyFill="1" applyBorder="1" applyAlignment="1" applyProtection="1">
      <alignment horizontal="center" vertical="center"/>
      <protection locked="0"/>
    </xf>
    <xf numFmtId="1" fontId="14" fillId="0" borderId="25" xfId="0" applyNumberFormat="1" applyFont="1" applyFill="1" applyBorder="1" applyAlignment="1" applyProtection="1">
      <alignment horizontal="center" vertical="center"/>
      <protection locked="0"/>
    </xf>
    <xf numFmtId="1" fontId="14" fillId="0" borderId="33" xfId="0" applyNumberFormat="1" applyFont="1" applyFill="1" applyBorder="1" applyAlignment="1" applyProtection="1">
      <alignment horizontal="center" vertical="center"/>
      <protection locked="0"/>
    </xf>
    <xf numFmtId="1" fontId="14" fillId="0" borderId="34" xfId="0" applyNumberFormat="1" applyFont="1" applyFill="1" applyBorder="1" applyAlignment="1" applyProtection="1">
      <alignment horizontal="center" vertical="center"/>
      <protection locked="0"/>
    </xf>
    <xf numFmtId="1" fontId="14" fillId="0" borderId="35" xfId="0" applyNumberFormat="1" applyFont="1" applyFill="1" applyBorder="1" applyAlignment="1" applyProtection="1">
      <alignment horizontal="center" vertical="center"/>
      <protection locked="0"/>
    </xf>
    <xf numFmtId="1" fontId="14" fillId="0" borderId="26" xfId="0" applyNumberFormat="1" applyFont="1" applyFill="1" applyBorder="1" applyAlignment="1" applyProtection="1">
      <alignment horizontal="center" vertical="center"/>
      <protection locked="0"/>
    </xf>
    <xf numFmtId="1" fontId="14" fillId="0" borderId="27" xfId="0" applyNumberFormat="1" applyFont="1" applyFill="1" applyBorder="1" applyAlignment="1" applyProtection="1">
      <alignment horizontal="center" vertical="center"/>
      <protection locked="0"/>
    </xf>
    <xf numFmtId="1" fontId="14" fillId="0" borderId="28" xfId="0" applyNumberFormat="1" applyFont="1" applyFill="1" applyBorder="1" applyAlignment="1" applyProtection="1">
      <alignment horizontal="center" vertical="center"/>
      <protection locked="0"/>
    </xf>
    <xf numFmtId="1" fontId="14" fillId="0" borderId="36" xfId="0" applyNumberFormat="1" applyFont="1" applyBorder="1" applyAlignment="1" applyProtection="1">
      <alignment horizontal="center"/>
      <protection locked="0"/>
    </xf>
    <xf numFmtId="1" fontId="14" fillId="0" borderId="37" xfId="0" applyNumberFormat="1" applyFont="1" applyBorder="1" applyAlignment="1" applyProtection="1">
      <alignment horizontal="center"/>
      <protection locked="0"/>
    </xf>
    <xf numFmtId="3" fontId="14" fillId="3" borderId="38" xfId="0" applyNumberFormat="1" applyFont="1" applyFill="1" applyBorder="1" applyAlignment="1" applyProtection="1">
      <protection locked="0"/>
    </xf>
    <xf numFmtId="3" fontId="14" fillId="6" borderId="39" xfId="0" applyNumberFormat="1" applyFont="1" applyFill="1" applyBorder="1" applyProtection="1"/>
    <xf numFmtId="3" fontId="14" fillId="6" borderId="40" xfId="0" applyNumberFormat="1" applyFont="1" applyFill="1" applyBorder="1" applyProtection="1"/>
    <xf numFmtId="3" fontId="14" fillId="3" borderId="41" xfId="0" applyNumberFormat="1" applyFont="1" applyFill="1" applyBorder="1" applyProtection="1">
      <protection locked="0"/>
    </xf>
    <xf numFmtId="3" fontId="14" fillId="3" borderId="42" xfId="0" applyNumberFormat="1" applyFont="1" applyFill="1" applyBorder="1" applyProtection="1">
      <protection locked="0"/>
    </xf>
    <xf numFmtId="3" fontId="14" fillId="3" borderId="43" xfId="0" applyNumberFormat="1" applyFont="1" applyFill="1" applyBorder="1" applyProtection="1">
      <protection locked="0"/>
    </xf>
    <xf numFmtId="1" fontId="14" fillId="0" borderId="21" xfId="0" applyNumberFormat="1" applyFont="1" applyFill="1" applyBorder="1" applyAlignment="1" applyProtection="1">
      <alignment horizontal="center"/>
      <protection locked="0"/>
    </xf>
    <xf numFmtId="1" fontId="14" fillId="3" borderId="21" xfId="0" applyNumberFormat="1" applyFont="1" applyFill="1" applyBorder="1" applyAlignment="1" applyProtection="1">
      <alignment horizontal="center"/>
      <protection locked="0"/>
    </xf>
    <xf numFmtId="1" fontId="14" fillId="4" borderId="0" xfId="0" applyNumberFormat="1" applyFont="1" applyFill="1" applyBorder="1" applyAlignment="1" applyProtection="1">
      <alignment horizontal="center"/>
    </xf>
    <xf numFmtId="1" fontId="14" fillId="4" borderId="39" xfId="0" applyNumberFormat="1" applyFont="1" applyFill="1" applyBorder="1" applyAlignment="1" applyProtection="1">
      <alignment horizontal="center" wrapText="1"/>
    </xf>
    <xf numFmtId="1" fontId="14" fillId="4" borderId="15" xfId="0" applyNumberFormat="1" applyFont="1" applyFill="1" applyBorder="1" applyAlignment="1" applyProtection="1">
      <alignment horizontal="center"/>
    </xf>
    <xf numFmtId="1" fontId="14" fillId="3" borderId="24" xfId="0" applyNumberFormat="1" applyFont="1" applyFill="1" applyBorder="1" applyAlignment="1" applyProtection="1">
      <alignment horizontal="center"/>
      <protection locked="0"/>
    </xf>
    <xf numFmtId="1" fontId="14" fillId="0" borderId="14" xfId="0" applyNumberFormat="1" applyFont="1" applyFill="1" applyBorder="1" applyAlignment="1" applyProtection="1">
      <alignment horizontal="center" wrapText="1"/>
      <protection locked="0"/>
    </xf>
    <xf numFmtId="1" fontId="14" fillId="0" borderId="14" xfId="0" applyNumberFormat="1" applyFont="1" applyFill="1" applyBorder="1" applyAlignment="1" applyProtection="1">
      <alignment horizontal="center"/>
      <protection locked="0"/>
    </xf>
    <xf numFmtId="0" fontId="19" fillId="14" borderId="0" xfId="0" applyFont="1" applyFill="1" applyBorder="1" applyProtection="1"/>
    <xf numFmtId="0" fontId="13" fillId="14" borderId="0" xfId="0" applyFont="1" applyFill="1" applyBorder="1" applyAlignment="1" applyProtection="1">
      <alignment vertical="center"/>
    </xf>
    <xf numFmtId="3" fontId="14" fillId="15" borderId="39" xfId="0" applyNumberFormat="1" applyFont="1" applyFill="1" applyBorder="1" applyProtection="1"/>
    <xf numFmtId="3" fontId="14" fillId="15" borderId="40" xfId="0" applyNumberFormat="1" applyFont="1" applyFill="1" applyBorder="1" applyProtection="1"/>
    <xf numFmtId="0" fontId="15" fillId="16" borderId="44" xfId="0" applyFont="1" applyFill="1" applyBorder="1" applyAlignment="1" applyProtection="1">
      <alignment horizontal="left"/>
    </xf>
    <xf numFmtId="0" fontId="15" fillId="17" borderId="0" xfId="0" applyFont="1" applyFill="1" applyBorder="1" applyAlignment="1" applyProtection="1">
      <alignment horizontal="right"/>
    </xf>
    <xf numFmtId="0" fontId="15" fillId="17" borderId="15" xfId="0" applyFont="1" applyFill="1" applyBorder="1" applyAlignment="1" applyProtection="1">
      <alignment horizontal="center"/>
    </xf>
    <xf numFmtId="0" fontId="28" fillId="17" borderId="0" xfId="0" applyFont="1" applyFill="1" applyBorder="1" applyAlignment="1" applyProtection="1">
      <alignment horizontal="right"/>
    </xf>
    <xf numFmtId="0" fontId="28" fillId="17" borderId="45" xfId="0" applyFont="1" applyFill="1" applyBorder="1" applyAlignment="1" applyProtection="1">
      <alignment horizontal="right"/>
    </xf>
    <xf numFmtId="0" fontId="20" fillId="17" borderId="0" xfId="0" applyFont="1" applyFill="1" applyBorder="1" applyAlignment="1" applyProtection="1">
      <alignment horizontal="right"/>
    </xf>
    <xf numFmtId="9" fontId="20" fillId="17" borderId="0" xfId="10" applyFont="1" applyFill="1" applyBorder="1" applyAlignment="1" applyProtection="1">
      <alignment horizontal="right"/>
    </xf>
    <xf numFmtId="0" fontId="15" fillId="17" borderId="46" xfId="0" applyFont="1" applyFill="1" applyBorder="1" applyAlignment="1" applyProtection="1">
      <alignment horizontal="right"/>
    </xf>
    <xf numFmtId="0" fontId="15" fillId="17" borderId="47" xfId="0" applyFont="1" applyFill="1" applyBorder="1" applyAlignment="1" applyProtection="1">
      <alignment horizontal="right"/>
    </xf>
    <xf numFmtId="0" fontId="15" fillId="17" borderId="48" xfId="0" applyFont="1" applyFill="1" applyBorder="1" applyAlignment="1" applyProtection="1">
      <alignment horizontal="right"/>
    </xf>
    <xf numFmtId="0" fontId="14" fillId="18" borderId="15" xfId="0" applyFont="1" applyFill="1" applyBorder="1" applyAlignment="1" applyProtection="1"/>
    <xf numFmtId="0" fontId="14" fillId="18" borderId="15" xfId="0" applyFont="1" applyFill="1" applyBorder="1" applyProtection="1"/>
    <xf numFmtId="0" fontId="15" fillId="18" borderId="15" xfId="0" applyFont="1" applyFill="1" applyBorder="1" applyProtection="1"/>
    <xf numFmtId="3" fontId="15" fillId="15" borderId="49" xfId="0" applyNumberFormat="1" applyFont="1" applyFill="1" applyBorder="1" applyProtection="1"/>
    <xf numFmtId="3" fontId="15" fillId="15" borderId="50" xfId="0" applyNumberFormat="1" applyFont="1" applyFill="1" applyBorder="1" applyProtection="1"/>
    <xf numFmtId="3" fontId="15" fillId="15" borderId="51" xfId="0" applyNumberFormat="1" applyFont="1" applyFill="1" applyBorder="1" applyProtection="1"/>
    <xf numFmtId="3" fontId="15" fillId="15" borderId="52" xfId="0" applyNumberFormat="1" applyFont="1" applyFill="1" applyBorder="1" applyProtection="1"/>
    <xf numFmtId="1" fontId="14" fillId="15" borderId="0" xfId="0" applyNumberFormat="1" applyFont="1" applyFill="1" applyBorder="1" applyAlignment="1" applyProtection="1">
      <alignment horizontal="center" wrapText="1"/>
    </xf>
    <xf numFmtId="1" fontId="15" fillId="16" borderId="53" xfId="0" applyNumberFormat="1" applyFont="1" applyFill="1" applyBorder="1" applyProtection="1"/>
    <xf numFmtId="1" fontId="14" fillId="16" borderId="53" xfId="0" applyNumberFormat="1" applyFont="1" applyFill="1" applyBorder="1" applyProtection="1"/>
    <xf numFmtId="1" fontId="15" fillId="16" borderId="44" xfId="0" applyNumberFormat="1" applyFont="1" applyFill="1" applyBorder="1" applyProtection="1"/>
    <xf numFmtId="1" fontId="14" fillId="15" borderId="20" xfId="0" applyNumberFormat="1" applyFont="1" applyFill="1" applyBorder="1" applyAlignment="1" applyProtection="1">
      <alignment horizontal="center"/>
    </xf>
    <xf numFmtId="1" fontId="14" fillId="15" borderId="0" xfId="0" applyNumberFormat="1" applyFont="1" applyFill="1" applyBorder="1" applyAlignment="1" applyProtection="1">
      <alignment horizontal="center"/>
    </xf>
    <xf numFmtId="1" fontId="14" fillId="15" borderId="15" xfId="0" applyNumberFormat="1" applyFont="1" applyFill="1" applyBorder="1" applyAlignment="1" applyProtection="1">
      <alignment horizontal="center"/>
    </xf>
    <xf numFmtId="0" fontId="14" fillId="17" borderId="20" xfId="0" applyFont="1" applyFill="1" applyBorder="1" applyAlignment="1" applyProtection="1">
      <alignment horizontal="center"/>
    </xf>
    <xf numFmtId="0" fontId="14" fillId="17" borderId="15" xfId="0" applyFont="1" applyFill="1" applyBorder="1" applyAlignment="1" applyProtection="1">
      <alignment horizontal="center"/>
    </xf>
    <xf numFmtId="0" fontId="14" fillId="17" borderId="54" xfId="0" applyFont="1" applyFill="1" applyBorder="1" applyAlignment="1" applyProtection="1">
      <alignment horizontal="center"/>
    </xf>
    <xf numFmtId="3" fontId="14" fillId="15" borderId="54" xfId="0" applyNumberFormat="1" applyFont="1" applyFill="1" applyBorder="1" applyAlignment="1" applyProtection="1">
      <alignment horizontal="center"/>
    </xf>
    <xf numFmtId="3" fontId="14" fillId="15" borderId="0" xfId="0" applyNumberFormat="1" applyFont="1" applyFill="1" applyBorder="1" applyAlignment="1" applyProtection="1">
      <alignment horizontal="center"/>
    </xf>
    <xf numFmtId="3" fontId="14" fillId="15" borderId="55" xfId="0" applyNumberFormat="1" applyFont="1" applyFill="1" applyBorder="1" applyAlignment="1" applyProtection="1">
      <alignment horizontal="center"/>
    </xf>
    <xf numFmtId="3" fontId="14" fillId="15" borderId="39" xfId="0" applyNumberFormat="1" applyFont="1" applyFill="1" applyBorder="1" applyAlignment="1" applyProtection="1">
      <alignment horizontal="center"/>
    </xf>
    <xf numFmtId="3" fontId="14" fillId="15" borderId="40" xfId="0" applyNumberFormat="1" applyFont="1" applyFill="1" applyBorder="1" applyAlignment="1" applyProtection="1">
      <alignment horizontal="center"/>
    </xf>
    <xf numFmtId="3" fontId="15" fillId="15" borderId="20" xfId="0" applyNumberFormat="1" applyFont="1" applyFill="1" applyBorder="1" applyAlignment="1" applyProtection="1">
      <alignment horizontal="center"/>
    </xf>
    <xf numFmtId="3" fontId="15" fillId="16" borderId="0" xfId="0" applyNumberFormat="1" applyFont="1" applyFill="1" applyBorder="1" applyAlignment="1" applyProtection="1">
      <alignment horizontal="center"/>
    </xf>
    <xf numFmtId="3" fontId="15" fillId="16" borderId="54" xfId="0" applyNumberFormat="1" applyFont="1" applyFill="1" applyBorder="1" applyAlignment="1" applyProtection="1">
      <alignment horizontal="center"/>
    </xf>
    <xf numFmtId="3" fontId="15" fillId="16" borderId="20" xfId="0" applyNumberFormat="1" applyFont="1" applyFill="1" applyBorder="1" applyAlignment="1" applyProtection="1">
      <alignment horizontal="center"/>
    </xf>
    <xf numFmtId="3" fontId="15" fillId="16" borderId="15" xfId="0" applyNumberFormat="1" applyFont="1" applyFill="1" applyBorder="1" applyAlignment="1" applyProtection="1">
      <alignment horizontal="center"/>
    </xf>
    <xf numFmtId="0" fontId="14" fillId="18" borderId="0" xfId="0" applyFont="1" applyFill="1" applyBorder="1" applyProtection="1"/>
    <xf numFmtId="2" fontId="14" fillId="18" borderId="0" xfId="0" applyNumberFormat="1" applyFont="1" applyFill="1" applyBorder="1" applyProtection="1"/>
    <xf numFmtId="2" fontId="14" fillId="16" borderId="0" xfId="0" applyNumberFormat="1" applyFont="1" applyFill="1" applyBorder="1" applyProtection="1"/>
    <xf numFmtId="4" fontId="14" fillId="0" borderId="56" xfId="0" applyNumberFormat="1" applyFont="1" applyFill="1" applyBorder="1" applyProtection="1">
      <protection locked="0"/>
    </xf>
    <xf numFmtId="10" fontId="14" fillId="0" borderId="12" xfId="0" applyNumberFormat="1" applyFont="1" applyFill="1" applyBorder="1" applyProtection="1">
      <protection locked="0"/>
    </xf>
    <xf numFmtId="10" fontId="14" fillId="0" borderId="57" xfId="0" applyNumberFormat="1" applyFont="1" applyFill="1" applyBorder="1" applyProtection="1">
      <protection locked="0"/>
    </xf>
    <xf numFmtId="4" fontId="15" fillId="15" borderId="334" xfId="0" applyNumberFormat="1" applyFont="1" applyFill="1" applyBorder="1" applyProtection="1"/>
    <xf numFmtId="1" fontId="15" fillId="0" borderId="58" xfId="0" applyNumberFormat="1" applyFont="1" applyBorder="1" applyProtection="1">
      <protection locked="0"/>
    </xf>
    <xf numFmtId="1" fontId="15" fillId="0" borderId="59" xfId="0" applyNumberFormat="1" applyFont="1" applyBorder="1" applyProtection="1">
      <protection locked="0"/>
    </xf>
    <xf numFmtId="1" fontId="14" fillId="18" borderId="34" xfId="0" applyNumberFormat="1" applyFont="1" applyFill="1" applyBorder="1" applyAlignment="1" applyProtection="1">
      <alignment horizontal="center" vertical="center"/>
    </xf>
    <xf numFmtId="1" fontId="14" fillId="18" borderId="35" xfId="0" applyNumberFormat="1" applyFont="1" applyFill="1" applyBorder="1" applyAlignment="1" applyProtection="1">
      <alignment horizontal="center" vertical="center"/>
    </xf>
    <xf numFmtId="1" fontId="14" fillId="18" borderId="60" xfId="0" applyNumberFormat="1" applyFont="1" applyFill="1" applyBorder="1" applyAlignment="1" applyProtection="1">
      <alignment horizontal="center" vertical="center"/>
    </xf>
    <xf numFmtId="3" fontId="14" fillId="17" borderId="61" xfId="0" applyNumberFormat="1" applyFont="1" applyFill="1" applyBorder="1" applyAlignment="1" applyProtection="1">
      <alignment vertical="center" wrapText="1"/>
    </xf>
    <xf numFmtId="3" fontId="14" fillId="17" borderId="62" xfId="0" applyNumberFormat="1" applyFont="1" applyFill="1" applyBorder="1" applyAlignment="1" applyProtection="1">
      <alignment vertical="center" wrapText="1"/>
    </xf>
    <xf numFmtId="3" fontId="14" fillId="17" borderId="63" xfId="0" applyNumberFormat="1" applyFont="1" applyFill="1" applyBorder="1" applyAlignment="1" applyProtection="1">
      <alignment vertical="center" wrapText="1"/>
    </xf>
    <xf numFmtId="9" fontId="14" fillId="6" borderId="64" xfId="0" applyNumberFormat="1" applyFont="1" applyFill="1" applyBorder="1" applyAlignment="1" applyProtection="1">
      <alignment horizontal="center" vertical="center"/>
    </xf>
    <xf numFmtId="3" fontId="15" fillId="15" borderId="25" xfId="0" applyNumberFormat="1" applyFont="1" applyFill="1" applyBorder="1" applyAlignment="1" applyProtection="1">
      <alignment horizontal="center" vertical="center"/>
    </xf>
    <xf numFmtId="3" fontId="15" fillId="17" borderId="65" xfId="0" applyNumberFormat="1" applyFont="1" applyFill="1" applyBorder="1" applyAlignment="1" applyProtection="1">
      <alignment horizontal="center" vertical="center"/>
    </xf>
    <xf numFmtId="0" fontId="15" fillId="18" borderId="66" xfId="0" applyFont="1" applyFill="1" applyBorder="1" applyAlignment="1" applyProtection="1">
      <alignment horizontal="left" vertical="center"/>
    </xf>
    <xf numFmtId="3" fontId="14" fillId="18" borderId="67" xfId="0" applyNumberFormat="1" applyFont="1" applyFill="1" applyBorder="1" applyAlignment="1" applyProtection="1">
      <alignment vertical="center"/>
    </xf>
    <xf numFmtId="0" fontId="15" fillId="8" borderId="68" xfId="0" applyNumberFormat="1" applyFont="1" applyFill="1" applyBorder="1" applyAlignment="1" applyProtection="1">
      <alignment horizontal="left" vertical="center"/>
    </xf>
    <xf numFmtId="3" fontId="14" fillId="18" borderId="39" xfId="0" applyNumberFormat="1" applyFont="1" applyFill="1" applyBorder="1" applyAlignment="1" applyProtection="1">
      <alignment horizontal="center" vertical="center"/>
    </xf>
    <xf numFmtId="0" fontId="15" fillId="8" borderId="69" xfId="0" applyNumberFormat="1" applyFont="1" applyFill="1" applyBorder="1" applyAlignment="1" applyProtection="1">
      <alignment horizontal="left" vertical="center"/>
    </xf>
    <xf numFmtId="0" fontId="15" fillId="8" borderId="70" xfId="0" applyFont="1" applyFill="1" applyBorder="1" applyAlignment="1" applyProtection="1">
      <alignment horizontal="right" vertical="center" indent="1"/>
    </xf>
    <xf numFmtId="0" fontId="15" fillId="5" borderId="71" xfId="0" applyNumberFormat="1" applyFont="1" applyFill="1" applyBorder="1" applyAlignment="1" applyProtection="1">
      <alignment horizontal="left" vertical="center"/>
    </xf>
    <xf numFmtId="0" fontId="15" fillId="5" borderId="54" xfId="0" applyFont="1" applyFill="1" applyBorder="1" applyAlignment="1" applyProtection="1">
      <alignment horizontal="right" vertical="center" indent="1"/>
    </xf>
    <xf numFmtId="3" fontId="15" fillId="5" borderId="39" xfId="0" applyNumberFormat="1" applyFont="1" applyFill="1" applyBorder="1" applyAlignment="1" applyProtection="1">
      <alignment horizontal="center" vertical="center"/>
    </xf>
    <xf numFmtId="3" fontId="15" fillId="5" borderId="40" xfId="0" applyNumberFormat="1" applyFont="1" applyFill="1" applyBorder="1" applyAlignment="1" applyProtection="1">
      <alignment horizontal="center" vertical="center"/>
    </xf>
    <xf numFmtId="3" fontId="15" fillId="8" borderId="70" xfId="0" applyNumberFormat="1" applyFont="1" applyFill="1" applyBorder="1" applyAlignment="1" applyProtection="1">
      <alignment horizontal="center" vertical="center"/>
    </xf>
    <xf numFmtId="3" fontId="15" fillId="8" borderId="72" xfId="0" applyNumberFormat="1" applyFont="1" applyFill="1" applyBorder="1" applyAlignment="1" applyProtection="1">
      <alignment horizontal="center" vertical="center"/>
    </xf>
    <xf numFmtId="1" fontId="15" fillId="5" borderId="39" xfId="0" applyNumberFormat="1" applyFont="1" applyFill="1" applyBorder="1" applyAlignment="1" applyProtection="1">
      <alignment horizontal="center" vertical="center"/>
    </xf>
    <xf numFmtId="1" fontId="15" fillId="8" borderId="70" xfId="0" applyNumberFormat="1" applyFont="1" applyFill="1" applyBorder="1" applyAlignment="1" applyProtection="1">
      <alignment horizontal="center" vertical="center"/>
    </xf>
    <xf numFmtId="0" fontId="19" fillId="14" borderId="61" xfId="0" applyFont="1" applyFill="1" applyBorder="1" applyAlignment="1" applyProtection="1">
      <alignment vertical="center"/>
    </xf>
    <xf numFmtId="0" fontId="14" fillId="14" borderId="73" xfId="0" applyFont="1" applyFill="1" applyBorder="1" applyProtection="1"/>
    <xf numFmtId="0" fontId="14" fillId="14" borderId="15" xfId="0" applyFont="1" applyFill="1" applyBorder="1" applyProtection="1"/>
    <xf numFmtId="0" fontId="15" fillId="17" borderId="45" xfId="0" applyFont="1" applyFill="1" applyBorder="1" applyAlignment="1" applyProtection="1">
      <alignment horizontal="center"/>
    </xf>
    <xf numFmtId="0" fontId="15" fillId="17" borderId="74" xfId="0" applyFont="1" applyFill="1" applyBorder="1" applyAlignment="1" applyProtection="1">
      <alignment horizontal="center"/>
    </xf>
    <xf numFmtId="0" fontId="14" fillId="18" borderId="45" xfId="0" applyFont="1" applyFill="1" applyBorder="1" applyProtection="1"/>
    <xf numFmtId="164" fontId="14" fillId="6" borderId="75" xfId="0" applyNumberFormat="1" applyFont="1" applyFill="1" applyBorder="1" applyProtection="1"/>
    <xf numFmtId="164" fontId="14" fillId="6" borderId="0" xfId="0" applyNumberFormat="1" applyFont="1" applyFill="1" applyBorder="1" applyProtection="1"/>
    <xf numFmtId="0" fontId="15" fillId="18" borderId="45" xfId="0" applyFont="1" applyFill="1" applyBorder="1" applyProtection="1"/>
    <xf numFmtId="3" fontId="15" fillId="15" borderId="76" xfId="0" applyNumberFormat="1" applyFont="1" applyFill="1" applyBorder="1" applyProtection="1"/>
    <xf numFmtId="164" fontId="15" fillId="4" borderId="77" xfId="0" applyNumberFormat="1" applyFont="1" applyFill="1" applyBorder="1" applyProtection="1"/>
    <xf numFmtId="164" fontId="15" fillId="4" borderId="78" xfId="0" applyNumberFormat="1" applyFont="1" applyFill="1" applyBorder="1" applyProtection="1"/>
    <xf numFmtId="164" fontId="15" fillId="6" borderId="77" xfId="0" applyNumberFormat="1" applyFont="1" applyFill="1" applyBorder="1" applyProtection="1"/>
    <xf numFmtId="164" fontId="15" fillId="6" borderId="78" xfId="0" applyNumberFormat="1" applyFont="1" applyFill="1" applyBorder="1" applyProtection="1"/>
    <xf numFmtId="3" fontId="15" fillId="15" borderId="79" xfId="0" applyNumberFormat="1" applyFont="1" applyFill="1" applyBorder="1" applyProtection="1"/>
    <xf numFmtId="0" fontId="15" fillId="8" borderId="80" xfId="0" applyFont="1" applyFill="1" applyBorder="1" applyAlignment="1" applyProtection="1">
      <alignment horizontal="left"/>
    </xf>
    <xf numFmtId="3" fontId="15" fillId="16" borderId="81" xfId="0" applyNumberFormat="1" applyFont="1" applyFill="1" applyBorder="1" applyProtection="1"/>
    <xf numFmtId="164" fontId="15" fillId="6" borderId="82" xfId="0" applyNumberFormat="1" applyFont="1" applyFill="1" applyBorder="1" applyProtection="1"/>
    <xf numFmtId="164" fontId="15" fillId="6" borderId="83" xfId="0" applyNumberFormat="1" applyFont="1" applyFill="1" applyBorder="1" applyProtection="1"/>
    <xf numFmtId="3" fontId="15" fillId="16" borderId="84" xfId="0" applyNumberFormat="1" applyFont="1" applyFill="1" applyBorder="1" applyProtection="1"/>
    <xf numFmtId="3" fontId="14" fillId="6" borderId="54" xfId="0" applyNumberFormat="1" applyFont="1" applyFill="1" applyBorder="1" applyProtection="1"/>
    <xf numFmtId="164" fontId="15" fillId="6" borderId="85" xfId="0" applyNumberFormat="1" applyFont="1" applyFill="1" applyBorder="1" applyProtection="1"/>
    <xf numFmtId="164" fontId="15" fillId="6" borderId="86" xfId="0" applyNumberFormat="1" applyFont="1" applyFill="1" applyBorder="1" applyProtection="1"/>
    <xf numFmtId="1" fontId="14" fillId="17" borderId="88" xfId="0" applyNumberFormat="1" applyFont="1" applyFill="1" applyBorder="1" applyAlignment="1" applyProtection="1">
      <alignment horizontal="center" vertical="center" wrapText="1" shrinkToFit="1"/>
    </xf>
    <xf numFmtId="0" fontId="14" fillId="17" borderId="89" xfId="0" applyFont="1" applyFill="1" applyBorder="1" applyAlignment="1" applyProtection="1">
      <alignment horizontal="center" vertical="center" wrapText="1"/>
    </xf>
    <xf numFmtId="0" fontId="14" fillId="17" borderId="62" xfId="0" applyFont="1" applyFill="1" applyBorder="1" applyAlignment="1" applyProtection="1">
      <alignment horizontal="center" vertical="center" wrapText="1"/>
    </xf>
    <xf numFmtId="1" fontId="14" fillId="17" borderId="88" xfId="0" applyNumberFormat="1" applyFont="1" applyFill="1" applyBorder="1" applyAlignment="1" applyProtection="1">
      <alignment horizontal="center" vertical="center" wrapText="1"/>
    </xf>
    <xf numFmtId="0" fontId="14" fillId="17" borderId="90" xfId="0" applyFont="1" applyFill="1" applyBorder="1" applyAlignment="1" applyProtection="1">
      <alignment horizontal="center" vertical="center" wrapText="1"/>
    </xf>
    <xf numFmtId="0" fontId="14" fillId="18" borderId="45" xfId="0" applyFont="1" applyFill="1" applyBorder="1" applyAlignment="1" applyProtection="1">
      <alignment horizontal="left"/>
    </xf>
    <xf numFmtId="2" fontId="14" fillId="15" borderId="55" xfId="0" applyNumberFormat="1" applyFont="1" applyFill="1" applyBorder="1" applyAlignment="1" applyProtection="1">
      <alignment horizontal="center"/>
    </xf>
    <xf numFmtId="4" fontId="14" fillId="15" borderId="15" xfId="0" applyNumberFormat="1" applyFont="1" applyFill="1" applyBorder="1" applyAlignment="1" applyProtection="1">
      <alignment horizontal="center"/>
    </xf>
    <xf numFmtId="2" fontId="14" fillId="15" borderId="54" xfId="0" applyNumberFormat="1" applyFont="1" applyFill="1" applyBorder="1" applyAlignment="1" applyProtection="1">
      <alignment horizontal="center"/>
    </xf>
    <xf numFmtId="0" fontId="15" fillId="16" borderId="80" xfId="0" applyFont="1" applyFill="1" applyBorder="1" applyAlignment="1" applyProtection="1">
      <alignment horizontal="left"/>
    </xf>
    <xf numFmtId="1" fontId="15" fillId="16" borderId="53" xfId="0" applyNumberFormat="1" applyFont="1" applyFill="1" applyBorder="1" applyAlignment="1" applyProtection="1">
      <alignment horizontal="center"/>
    </xf>
    <xf numFmtId="0" fontId="24" fillId="17" borderId="71" xfId="0" applyFont="1" applyFill="1" applyBorder="1" applyAlignment="1" applyProtection="1">
      <alignment horizontal="center"/>
    </xf>
    <xf numFmtId="0" fontId="15" fillId="17" borderId="91" xfId="0" applyFont="1" applyFill="1" applyBorder="1" applyAlignment="1" applyProtection="1">
      <alignment horizontal="left"/>
    </xf>
    <xf numFmtId="44" fontId="14" fillId="15" borderId="92" xfId="2" applyFont="1" applyFill="1" applyBorder="1" applyProtection="1"/>
    <xf numFmtId="1" fontId="14" fillId="15" borderId="39" xfId="2" applyNumberFormat="1" applyFont="1" applyFill="1" applyBorder="1" applyAlignment="1" applyProtection="1">
      <alignment horizontal="center"/>
    </xf>
    <xf numFmtId="44" fontId="14" fillId="15" borderId="15" xfId="2" applyFont="1" applyFill="1" applyBorder="1" applyProtection="1"/>
    <xf numFmtId="0" fontId="14" fillId="0" borderId="335" xfId="0" applyFont="1" applyBorder="1" applyAlignment="1" applyProtection="1">
      <protection locked="0"/>
    </xf>
    <xf numFmtId="0" fontId="24" fillId="17" borderId="45" xfId="0" applyFont="1" applyFill="1" applyBorder="1" applyAlignment="1" applyProtection="1">
      <alignment horizontal="center"/>
    </xf>
    <xf numFmtId="0" fontId="14" fillId="17" borderId="0" xfId="0" applyFont="1" applyFill="1" applyBorder="1" applyAlignment="1" applyProtection="1">
      <alignment horizontal="center"/>
    </xf>
    <xf numFmtId="1" fontId="14" fillId="17" borderId="94" xfId="0" applyNumberFormat="1" applyFont="1" applyFill="1" applyBorder="1" applyAlignment="1" applyProtection="1">
      <alignment horizontal="center"/>
    </xf>
    <xf numFmtId="0" fontId="14" fillId="18" borderId="54" xfId="0" applyFont="1" applyFill="1" applyBorder="1" applyProtection="1"/>
    <xf numFmtId="0" fontId="14" fillId="18" borderId="54" xfId="0" quotePrefix="1" applyFont="1" applyFill="1" applyBorder="1" applyProtection="1"/>
    <xf numFmtId="0" fontId="14" fillId="16" borderId="45" xfId="0" applyFont="1" applyFill="1" applyBorder="1" applyProtection="1"/>
    <xf numFmtId="0" fontId="15" fillId="16" borderId="54" xfId="0" applyFont="1" applyFill="1" applyBorder="1" applyProtection="1"/>
    <xf numFmtId="3" fontId="15" fillId="5" borderId="0" xfId="0" applyNumberFormat="1" applyFont="1" applyFill="1" applyBorder="1" applyAlignment="1" applyProtection="1">
      <alignment horizontal="center"/>
    </xf>
    <xf numFmtId="3" fontId="15" fillId="5" borderId="54" xfId="0" applyNumberFormat="1" applyFont="1" applyFill="1" applyBorder="1" applyAlignment="1" applyProtection="1">
      <alignment horizontal="center"/>
    </xf>
    <xf numFmtId="3" fontId="15" fillId="5" borderId="15" xfId="0" applyNumberFormat="1" applyFont="1" applyFill="1" applyBorder="1" applyAlignment="1" applyProtection="1">
      <alignment horizontal="center"/>
    </xf>
    <xf numFmtId="0" fontId="14" fillId="5" borderId="45" xfId="0" applyFont="1" applyFill="1" applyBorder="1" applyProtection="1"/>
    <xf numFmtId="0" fontId="14" fillId="5" borderId="54" xfId="0" applyFont="1" applyFill="1" applyBorder="1" applyProtection="1"/>
    <xf numFmtId="3" fontId="15" fillId="15" borderId="54" xfId="0" applyNumberFormat="1" applyFont="1" applyFill="1" applyBorder="1" applyAlignment="1" applyProtection="1">
      <alignment horizontal="center"/>
    </xf>
    <xf numFmtId="3" fontId="15" fillId="15" borderId="15" xfId="0" applyNumberFormat="1" applyFont="1" applyFill="1" applyBorder="1" applyAlignment="1" applyProtection="1">
      <alignment horizontal="center"/>
    </xf>
    <xf numFmtId="0" fontId="14" fillId="5" borderId="0" xfId="0" quotePrefix="1" applyFont="1" applyFill="1" applyBorder="1" applyProtection="1"/>
    <xf numFmtId="3" fontId="14" fillId="15" borderId="15" xfId="0" applyNumberFormat="1" applyFont="1" applyFill="1" applyBorder="1" applyAlignment="1" applyProtection="1">
      <alignment horizontal="center"/>
    </xf>
    <xf numFmtId="9" fontId="14" fillId="5" borderId="0" xfId="10" applyFont="1" applyFill="1" applyBorder="1" applyAlignment="1" applyProtection="1">
      <alignment horizontal="center"/>
    </xf>
    <xf numFmtId="9" fontId="14" fillId="5" borderId="54" xfId="10" applyFont="1" applyFill="1" applyBorder="1" applyAlignment="1" applyProtection="1">
      <alignment horizontal="center"/>
    </xf>
    <xf numFmtId="9" fontId="14" fillId="5" borderId="20" xfId="10" applyFont="1" applyFill="1" applyBorder="1" applyAlignment="1" applyProtection="1">
      <alignment horizontal="center"/>
    </xf>
    <xf numFmtId="9" fontId="14" fillId="5" borderId="15" xfId="10" applyFont="1" applyFill="1" applyBorder="1" applyAlignment="1" applyProtection="1">
      <alignment horizontal="center"/>
    </xf>
    <xf numFmtId="0" fontId="15" fillId="5" borderId="45" xfId="0" applyFont="1" applyFill="1" applyBorder="1" applyProtection="1"/>
    <xf numFmtId="0" fontId="15" fillId="5" borderId="0" xfId="0" applyFont="1" applyFill="1" applyBorder="1" applyProtection="1"/>
    <xf numFmtId="0" fontId="15" fillId="5" borderId="95" xfId="0" applyFont="1" applyFill="1" applyBorder="1" applyProtection="1"/>
    <xf numFmtId="0" fontId="24" fillId="17" borderId="45" xfId="0" applyFont="1" applyFill="1" applyBorder="1" applyProtection="1"/>
    <xf numFmtId="0" fontId="24" fillId="17" borderId="0" xfId="0" applyFont="1" applyFill="1" applyBorder="1" applyProtection="1"/>
    <xf numFmtId="0" fontId="15" fillId="17" borderId="0" xfId="0" applyFont="1" applyFill="1" applyBorder="1" applyAlignment="1" applyProtection="1">
      <alignment vertical="top" wrapText="1"/>
    </xf>
    <xf numFmtId="3" fontId="47" fillId="17" borderId="0" xfId="0" applyNumberFormat="1" applyFont="1" applyFill="1" applyBorder="1" applyAlignment="1" applyProtection="1">
      <alignment horizontal="center" wrapText="1"/>
    </xf>
    <xf numFmtId="9" fontId="47" fillId="17" borderId="0" xfId="10" applyFont="1" applyFill="1" applyBorder="1" applyAlignment="1" applyProtection="1">
      <alignment horizontal="center" wrapText="1"/>
    </xf>
    <xf numFmtId="9" fontId="15" fillId="15" borderId="0" xfId="10" applyFont="1" applyFill="1" applyBorder="1" applyAlignment="1" applyProtection="1">
      <alignment horizontal="center"/>
    </xf>
    <xf numFmtId="9" fontId="15" fillId="15" borderId="15" xfId="10" applyFont="1" applyFill="1" applyBorder="1" applyAlignment="1" applyProtection="1">
      <alignment horizontal="center"/>
    </xf>
    <xf numFmtId="0" fontId="15" fillId="19" borderId="45" xfId="0" applyFont="1" applyFill="1" applyBorder="1" applyProtection="1"/>
    <xf numFmtId="0" fontId="15" fillId="16" borderId="45" xfId="0" applyFont="1" applyFill="1" applyBorder="1" applyProtection="1"/>
    <xf numFmtId="3" fontId="15" fillId="16" borderId="0" xfId="0" applyNumberFormat="1" applyFont="1" applyFill="1" applyBorder="1" applyProtection="1"/>
    <xf numFmtId="1" fontId="15" fillId="16" borderId="0" xfId="10" applyNumberFormat="1" applyFont="1" applyFill="1" applyBorder="1" applyAlignment="1" applyProtection="1">
      <alignment horizontal="center"/>
    </xf>
    <xf numFmtId="1" fontId="15" fillId="16" borderId="0" xfId="10" applyNumberFormat="1" applyFont="1" applyFill="1" applyBorder="1" applyProtection="1"/>
    <xf numFmtId="0" fontId="15" fillId="19" borderId="0" xfId="0" applyFont="1" applyFill="1" applyBorder="1" applyProtection="1"/>
    <xf numFmtId="3" fontId="15" fillId="19" borderId="0" xfId="0" applyNumberFormat="1" applyFont="1" applyFill="1" applyBorder="1" applyProtection="1"/>
    <xf numFmtId="1" fontId="15" fillId="19" borderId="0" xfId="10" applyNumberFormat="1" applyFont="1" applyFill="1" applyBorder="1" applyAlignment="1" applyProtection="1">
      <alignment horizontal="center"/>
    </xf>
    <xf numFmtId="9" fontId="15" fillId="19" borderId="0" xfId="10" applyFont="1" applyFill="1" applyBorder="1" applyProtection="1"/>
    <xf numFmtId="9" fontId="15" fillId="19" borderId="0" xfId="10" applyFont="1" applyFill="1" applyBorder="1" applyAlignment="1" applyProtection="1">
      <alignment horizontal="center"/>
    </xf>
    <xf numFmtId="9" fontId="15" fillId="19" borderId="15" xfId="10" applyFont="1" applyFill="1" applyBorder="1" applyAlignment="1" applyProtection="1">
      <alignment horizontal="center"/>
    </xf>
    <xf numFmtId="3" fontId="15" fillId="16" borderId="96" xfId="0" applyNumberFormat="1" applyFont="1" applyFill="1" applyBorder="1" applyProtection="1"/>
    <xf numFmtId="9" fontId="15" fillId="16" borderId="96" xfId="10" applyNumberFormat="1" applyFont="1" applyFill="1" applyBorder="1" applyAlignment="1" applyProtection="1">
      <alignment horizontal="center"/>
    </xf>
    <xf numFmtId="9" fontId="15" fillId="16" borderId="96" xfId="10" applyFont="1" applyFill="1" applyBorder="1" applyProtection="1"/>
    <xf numFmtId="3" fontId="14" fillId="17" borderId="15" xfId="0" applyNumberFormat="1" applyFont="1" applyFill="1" applyBorder="1" applyProtection="1"/>
    <xf numFmtId="0" fontId="14" fillId="17" borderId="15" xfId="0" applyFont="1" applyFill="1" applyBorder="1" applyProtection="1"/>
    <xf numFmtId="0" fontId="14" fillId="5" borderId="0" xfId="0" applyFont="1" applyFill="1" applyBorder="1" applyProtection="1"/>
    <xf numFmtId="2" fontId="14" fillId="15" borderId="0" xfId="0" applyNumberFormat="1" applyFont="1" applyFill="1" applyBorder="1" applyAlignment="1" applyProtection="1">
      <alignment horizontal="center"/>
    </xf>
    <xf numFmtId="0" fontId="14" fillId="5" borderId="15" xfId="0" applyFont="1" applyFill="1" applyBorder="1" applyProtection="1"/>
    <xf numFmtId="169" fontId="14" fillId="5" borderId="0" xfId="0" applyNumberFormat="1" applyFont="1" applyFill="1" applyBorder="1" applyAlignment="1" applyProtection="1">
      <alignment horizontal="center"/>
    </xf>
    <xf numFmtId="2" fontId="14" fillId="5" borderId="0" xfId="0" applyNumberFormat="1" applyFont="1" applyFill="1" applyBorder="1" applyAlignment="1" applyProtection="1">
      <alignment horizontal="center"/>
    </xf>
    <xf numFmtId="0" fontId="14" fillId="17" borderId="0" xfId="0" applyFont="1" applyFill="1" applyBorder="1" applyProtection="1"/>
    <xf numFmtId="1" fontId="14" fillId="17" borderId="0" xfId="0" applyNumberFormat="1" applyFont="1" applyFill="1" applyBorder="1" applyProtection="1"/>
    <xf numFmtId="0" fontId="15" fillId="17" borderId="0" xfId="0" applyFont="1" applyFill="1" applyBorder="1" applyProtection="1"/>
    <xf numFmtId="2" fontId="14" fillId="17" borderId="0" xfId="0" applyNumberFormat="1" applyFont="1" applyFill="1" applyBorder="1" applyAlignment="1" applyProtection="1">
      <alignment horizontal="center"/>
    </xf>
    <xf numFmtId="1" fontId="14" fillId="5" borderId="0" xfId="0" applyNumberFormat="1" applyFont="1" applyFill="1" applyBorder="1" applyProtection="1"/>
    <xf numFmtId="0" fontId="24" fillId="17" borderId="0" xfId="0" applyFont="1" applyFill="1" applyBorder="1" applyAlignment="1" applyProtection="1">
      <alignment horizontal="left" vertical="center"/>
    </xf>
    <xf numFmtId="0" fontId="14" fillId="17" borderId="97" xfId="0" applyFont="1" applyFill="1" applyBorder="1" applyAlignment="1" applyProtection="1">
      <alignment horizontal="center" vertical="center" wrapText="1"/>
    </xf>
    <xf numFmtId="0" fontId="14" fillId="17" borderId="8" xfId="0" applyFont="1" applyFill="1" applyBorder="1" applyAlignment="1" applyProtection="1">
      <alignment horizontal="center" vertical="center" wrapText="1"/>
    </xf>
    <xf numFmtId="1" fontId="14" fillId="17" borderId="8" xfId="0" applyNumberFormat="1" applyFont="1" applyFill="1" applyBorder="1" applyAlignment="1" applyProtection="1">
      <alignment horizontal="center" vertical="center" wrapText="1"/>
    </xf>
    <xf numFmtId="0" fontId="14" fillId="17" borderId="98" xfId="0" applyFont="1" applyFill="1" applyBorder="1" applyAlignment="1" applyProtection="1">
      <alignment horizontal="center" vertical="center" wrapText="1"/>
    </xf>
    <xf numFmtId="0" fontId="14" fillId="17" borderId="15" xfId="0" applyFont="1" applyFill="1" applyBorder="1" applyAlignment="1" applyProtection="1">
      <alignment horizontal="center" vertical="center" wrapText="1"/>
    </xf>
    <xf numFmtId="178" fontId="14" fillId="15" borderId="0" xfId="0" applyNumberFormat="1" applyFont="1" applyFill="1" applyBorder="1" applyAlignment="1" applyProtection="1">
      <alignment horizontal="center"/>
    </xf>
    <xf numFmtId="178" fontId="14" fillId="15" borderId="15" xfId="0" applyNumberFormat="1" applyFont="1" applyFill="1" applyBorder="1" applyAlignment="1" applyProtection="1">
      <alignment horizontal="center"/>
    </xf>
    <xf numFmtId="178" fontId="14" fillId="18" borderId="0" xfId="0" applyNumberFormat="1" applyFont="1" applyFill="1" applyBorder="1" applyAlignment="1" applyProtection="1">
      <alignment horizontal="center"/>
    </xf>
    <xf numFmtId="178" fontId="14" fillId="18" borderId="15" xfId="0" applyNumberFormat="1" applyFont="1" applyFill="1" applyBorder="1" applyAlignment="1" applyProtection="1">
      <alignment horizontal="center"/>
    </xf>
    <xf numFmtId="0" fontId="15" fillId="5" borderId="0" xfId="0" applyFont="1" applyFill="1" applyBorder="1" applyAlignment="1" applyProtection="1">
      <alignment horizontal="center"/>
    </xf>
    <xf numFmtId="178" fontId="15" fillId="5" borderId="0" xfId="0" applyNumberFormat="1" applyFont="1" applyFill="1" applyBorder="1" applyAlignment="1" applyProtection="1">
      <alignment horizontal="center"/>
    </xf>
    <xf numFmtId="178" fontId="15" fillId="5" borderId="15" xfId="0" applyNumberFormat="1" applyFont="1" applyFill="1" applyBorder="1" applyAlignment="1" applyProtection="1">
      <alignment horizontal="center"/>
    </xf>
    <xf numFmtId="178" fontId="14" fillId="5" borderId="0" xfId="0" applyNumberFormat="1" applyFont="1" applyFill="1" applyBorder="1" applyProtection="1"/>
    <xf numFmtId="178" fontId="14" fillId="5" borderId="0" xfId="0" applyNumberFormat="1" applyFont="1" applyFill="1" applyBorder="1" applyAlignment="1" applyProtection="1">
      <alignment horizontal="center"/>
    </xf>
    <xf numFmtId="178" fontId="14" fillId="5" borderId="15" xfId="0" applyNumberFormat="1" applyFont="1" applyFill="1" applyBorder="1" applyAlignment="1" applyProtection="1">
      <alignment horizontal="center"/>
    </xf>
    <xf numFmtId="2" fontId="15" fillId="5" borderId="0" xfId="0" applyNumberFormat="1" applyFont="1" applyFill="1" applyBorder="1" applyAlignment="1" applyProtection="1">
      <alignment horizontal="center"/>
    </xf>
    <xf numFmtId="0" fontId="0" fillId="14" borderId="99" xfId="0" applyFill="1" applyBorder="1" applyProtection="1"/>
    <xf numFmtId="0" fontId="0" fillId="14" borderId="100" xfId="0" applyFill="1" applyBorder="1" applyProtection="1"/>
    <xf numFmtId="2" fontId="15" fillId="14" borderId="101" xfId="0" applyNumberFormat="1" applyFont="1" applyFill="1" applyBorder="1" applyAlignment="1" applyProtection="1">
      <alignment wrapText="1"/>
    </xf>
    <xf numFmtId="2" fontId="14" fillId="18" borderId="0" xfId="0" applyNumberFormat="1" applyFont="1" applyFill="1" applyBorder="1" applyAlignment="1" applyProtection="1">
      <alignment horizontal="center"/>
    </xf>
    <xf numFmtId="2" fontId="14" fillId="14" borderId="101" xfId="0" applyNumberFormat="1" applyFont="1" applyFill="1" applyBorder="1" applyProtection="1"/>
    <xf numFmtId="0" fontId="15" fillId="18" borderId="0" xfId="0" applyFont="1" applyFill="1" applyBorder="1" applyAlignment="1" applyProtection="1">
      <alignment horizontal="center"/>
    </xf>
    <xf numFmtId="2" fontId="15" fillId="16" borderId="336" xfId="0" applyNumberFormat="1" applyFont="1" applyFill="1" applyBorder="1" applyAlignment="1" applyProtection="1">
      <alignment horizontal="left"/>
    </xf>
    <xf numFmtId="0" fontId="14" fillId="16" borderId="337" xfId="0" applyFont="1" applyFill="1" applyBorder="1" applyAlignment="1" applyProtection="1">
      <alignment horizontal="center"/>
    </xf>
    <xf numFmtId="2" fontId="14" fillId="16" borderId="337" xfId="0" applyNumberFormat="1" applyFont="1" applyFill="1" applyBorder="1" applyAlignment="1" applyProtection="1">
      <alignment horizontal="center"/>
    </xf>
    <xf numFmtId="0" fontId="15" fillId="16" borderId="337" xfId="0" applyFont="1" applyFill="1" applyBorder="1" applyProtection="1"/>
    <xf numFmtId="4" fontId="15" fillId="16" borderId="337" xfId="0" applyNumberFormat="1" applyFont="1" applyFill="1" applyBorder="1" applyProtection="1"/>
    <xf numFmtId="10" fontId="15" fillId="16" borderId="337" xfId="9" applyNumberFormat="1" applyFont="1" applyFill="1" applyBorder="1" applyAlignment="1" applyProtection="1">
      <alignment horizontal="right"/>
    </xf>
    <xf numFmtId="4" fontId="15" fillId="16" borderId="338" xfId="0" applyNumberFormat="1" applyFont="1" applyFill="1" applyBorder="1" applyProtection="1"/>
    <xf numFmtId="167" fontId="14" fillId="14" borderId="101" xfId="0" applyNumberFormat="1" applyFont="1" applyFill="1" applyBorder="1" applyAlignment="1" applyProtection="1">
      <alignment horizontal="center"/>
    </xf>
    <xf numFmtId="4" fontId="15" fillId="17" borderId="0" xfId="0" applyNumberFormat="1" applyFont="1" applyFill="1" applyBorder="1" applyProtection="1"/>
    <xf numFmtId="10" fontId="15" fillId="17" borderId="0" xfId="9" applyNumberFormat="1" applyFont="1" applyFill="1" applyBorder="1" applyAlignment="1" applyProtection="1">
      <alignment horizontal="right"/>
    </xf>
    <xf numFmtId="175" fontId="14" fillId="18" borderId="0" xfId="0" applyNumberFormat="1" applyFont="1" applyFill="1" applyBorder="1" applyProtection="1"/>
    <xf numFmtId="2" fontId="14" fillId="18" borderId="0" xfId="0" applyNumberFormat="1" applyFont="1" applyFill="1" applyBorder="1" applyAlignment="1" applyProtection="1">
      <alignment horizontal="left"/>
    </xf>
    <xf numFmtId="175" fontId="14" fillId="18" borderId="0" xfId="0" applyNumberFormat="1" applyFont="1" applyFill="1" applyBorder="1" applyAlignment="1" applyProtection="1">
      <alignment horizontal="right"/>
    </xf>
    <xf numFmtId="2" fontId="14" fillId="16" borderId="0" xfId="0" applyNumberFormat="1" applyFont="1" applyFill="1" applyBorder="1" applyAlignment="1" applyProtection="1">
      <alignment wrapText="1"/>
    </xf>
    <xf numFmtId="2" fontId="14" fillId="20" borderId="0" xfId="0" applyNumberFormat="1" applyFont="1" applyFill="1" applyBorder="1" applyAlignment="1" applyProtection="1">
      <alignment vertical="center"/>
    </xf>
    <xf numFmtId="2" fontId="14" fillId="18" borderId="0" xfId="0" applyNumberFormat="1" applyFont="1" applyFill="1" applyBorder="1" applyAlignment="1" applyProtection="1">
      <alignment wrapText="1"/>
    </xf>
    <xf numFmtId="2" fontId="14" fillId="18" borderId="0" xfId="0" applyNumberFormat="1" applyFont="1" applyFill="1" applyBorder="1" applyAlignment="1" applyProtection="1">
      <alignment vertical="center"/>
    </xf>
    <xf numFmtId="10" fontId="14" fillId="18" borderId="0" xfId="0" applyNumberFormat="1" applyFont="1" applyFill="1" applyBorder="1" applyProtection="1"/>
    <xf numFmtId="0" fontId="15" fillId="16" borderId="104" xfId="0" applyFont="1" applyFill="1" applyBorder="1" applyAlignment="1" applyProtection="1"/>
    <xf numFmtId="2" fontId="15" fillId="16" borderId="104" xfId="0" applyNumberFormat="1" applyFont="1" applyFill="1" applyBorder="1" applyAlignment="1" applyProtection="1">
      <alignment horizontal="right"/>
    </xf>
    <xf numFmtId="0" fontId="15" fillId="16" borderId="104" xfId="0" applyFont="1" applyFill="1" applyBorder="1" applyProtection="1"/>
    <xf numFmtId="2" fontId="15" fillId="16" borderId="104" xfId="0" applyNumberFormat="1" applyFont="1" applyFill="1" applyBorder="1" applyProtection="1"/>
    <xf numFmtId="10" fontId="15" fillId="16" borderId="104" xfId="0" applyNumberFormat="1" applyFont="1" applyFill="1" applyBorder="1" applyProtection="1"/>
    <xf numFmtId="2" fontId="14" fillId="17" borderId="0" xfId="0" applyNumberFormat="1" applyFont="1" applyFill="1" applyBorder="1" applyProtection="1"/>
    <xf numFmtId="10" fontId="14" fillId="17" borderId="0" xfId="0" applyNumberFormat="1" applyFont="1" applyFill="1" applyBorder="1" applyProtection="1"/>
    <xf numFmtId="1" fontId="15" fillId="17" borderId="0" xfId="0" applyNumberFormat="1" applyFont="1" applyFill="1" applyBorder="1" applyAlignment="1" applyProtection="1">
      <alignment horizontal="center"/>
    </xf>
    <xf numFmtId="165" fontId="15" fillId="17" borderId="0" xfId="0" applyNumberFormat="1" applyFont="1" applyFill="1" applyBorder="1" applyProtection="1"/>
    <xf numFmtId="0" fontId="14" fillId="14" borderId="101" xfId="0" applyFont="1" applyFill="1" applyBorder="1" applyProtection="1"/>
    <xf numFmtId="0" fontId="14" fillId="18" borderId="0" xfId="0" applyFont="1" applyFill="1" applyBorder="1" applyAlignment="1" applyProtection="1">
      <alignment horizontal="center"/>
    </xf>
    <xf numFmtId="0" fontId="15" fillId="18" borderId="0" xfId="0" applyFont="1" applyFill="1" applyBorder="1" applyProtection="1"/>
    <xf numFmtId="2" fontId="15" fillId="18" borderId="0" xfId="0" applyNumberFormat="1" applyFont="1" applyFill="1" applyBorder="1" applyAlignment="1" applyProtection="1">
      <alignment horizontal="center"/>
    </xf>
    <xf numFmtId="9" fontId="15" fillId="18" borderId="0" xfId="0" applyNumberFormat="1" applyFont="1" applyFill="1" applyBorder="1" applyProtection="1"/>
    <xf numFmtId="0" fontId="14" fillId="19" borderId="0" xfId="0" applyFont="1" applyFill="1" applyBorder="1" applyAlignment="1" applyProtection="1">
      <alignment horizontal="center"/>
    </xf>
    <xf numFmtId="2" fontId="14" fillId="19" borderId="0" xfId="0" applyNumberFormat="1" applyFont="1" applyFill="1" applyBorder="1" applyProtection="1"/>
    <xf numFmtId="2" fontId="14" fillId="19" borderId="0" xfId="0" applyNumberFormat="1" applyFont="1" applyFill="1" applyBorder="1" applyAlignment="1" applyProtection="1">
      <alignment horizontal="left"/>
    </xf>
    <xf numFmtId="0" fontId="15" fillId="16" borderId="336" xfId="0" applyFont="1" applyFill="1" applyBorder="1" applyProtection="1"/>
    <xf numFmtId="2" fontId="14" fillId="16" borderId="337" xfId="0" applyNumberFormat="1" applyFont="1" applyFill="1" applyBorder="1" applyProtection="1"/>
    <xf numFmtId="2" fontId="15" fillId="16" borderId="337" xfId="0" applyNumberFormat="1" applyFont="1" applyFill="1" applyBorder="1" applyProtection="1"/>
    <xf numFmtId="0" fontId="15" fillId="16" borderId="337" xfId="0" applyFont="1" applyFill="1" applyBorder="1" applyAlignment="1" applyProtection="1"/>
    <xf numFmtId="2" fontId="15" fillId="16" borderId="337" xfId="0" applyNumberFormat="1" applyFont="1" applyFill="1" applyBorder="1" applyAlignment="1" applyProtection="1">
      <alignment horizontal="center"/>
    </xf>
    <xf numFmtId="9" fontId="15" fillId="16" borderId="337" xfId="0" applyNumberFormat="1" applyFont="1" applyFill="1" applyBorder="1" applyProtection="1"/>
    <xf numFmtId="165" fontId="15" fillId="16" borderId="338" xfId="0" applyNumberFormat="1" applyFont="1" applyFill="1" applyBorder="1" applyProtection="1"/>
    <xf numFmtId="2" fontId="14" fillId="17" borderId="0" xfId="0" applyNumberFormat="1" applyFont="1" applyFill="1" applyBorder="1" applyAlignment="1" applyProtection="1">
      <alignment horizontal="left"/>
    </xf>
    <xf numFmtId="171" fontId="14" fillId="17" borderId="0" xfId="0" applyNumberFormat="1" applyFont="1" applyFill="1" applyBorder="1" applyProtection="1"/>
    <xf numFmtId="2" fontId="15" fillId="19" borderId="0" xfId="0" applyNumberFormat="1" applyFont="1" applyFill="1" applyBorder="1" applyProtection="1"/>
    <xf numFmtId="0" fontId="15" fillId="16" borderId="339" xfId="0" applyFont="1" applyFill="1" applyBorder="1" applyAlignment="1" applyProtection="1">
      <alignment horizontal="left" wrapText="1"/>
    </xf>
    <xf numFmtId="2" fontId="15" fillId="16" borderId="339" xfId="0" applyNumberFormat="1" applyFont="1" applyFill="1" applyBorder="1" applyAlignment="1" applyProtection="1">
      <alignment horizontal="right" wrapText="1"/>
    </xf>
    <xf numFmtId="0" fontId="15" fillId="16" borderId="339" xfId="0" applyFont="1" applyFill="1" applyBorder="1" applyProtection="1"/>
    <xf numFmtId="2" fontId="15" fillId="16" borderId="339" xfId="0" applyNumberFormat="1" applyFont="1" applyFill="1" applyBorder="1" applyProtection="1"/>
    <xf numFmtId="10" fontId="15" fillId="16" borderId="339" xfId="0" applyNumberFormat="1" applyFont="1" applyFill="1" applyBorder="1" applyProtection="1"/>
    <xf numFmtId="0" fontId="15" fillId="5" borderId="0" xfId="0" applyFont="1" applyFill="1" applyBorder="1" applyAlignment="1" applyProtection="1">
      <alignment horizontal="left" wrapText="1"/>
    </xf>
    <xf numFmtId="2" fontId="14" fillId="5" borderId="0" xfId="0" applyNumberFormat="1" applyFont="1" applyFill="1" applyBorder="1" applyAlignment="1" applyProtection="1">
      <alignment horizontal="left" wrapText="1"/>
    </xf>
    <xf numFmtId="2" fontId="14" fillId="5" borderId="0" xfId="0" applyNumberFormat="1" applyFont="1" applyFill="1" applyBorder="1" applyProtection="1"/>
    <xf numFmtId="10" fontId="14" fillId="5" borderId="0" xfId="0" applyNumberFormat="1" applyFont="1" applyFill="1" applyBorder="1" applyProtection="1"/>
    <xf numFmtId="0" fontId="15" fillId="16" borderId="104" xfId="0" applyFont="1" applyFill="1" applyBorder="1" applyAlignment="1" applyProtection="1">
      <alignment horizontal="left" wrapText="1"/>
    </xf>
    <xf numFmtId="2" fontId="29" fillId="5" borderId="0" xfId="0" applyNumberFormat="1" applyFont="1" applyFill="1" applyBorder="1" applyAlignment="1" applyProtection="1">
      <alignment horizontal="center" wrapText="1"/>
    </xf>
    <xf numFmtId="10" fontId="15" fillId="15" borderId="104" xfId="0" applyNumberFormat="1" applyFont="1" applyFill="1" applyBorder="1" applyProtection="1"/>
    <xf numFmtId="0" fontId="15" fillId="16" borderId="61" xfId="0" applyFont="1" applyFill="1" applyBorder="1" applyAlignment="1" applyProtection="1">
      <alignment horizontal="left" wrapText="1"/>
    </xf>
    <xf numFmtId="2" fontId="15" fillId="16" borderId="61" xfId="0" applyNumberFormat="1" applyFont="1" applyFill="1" applyBorder="1" applyProtection="1"/>
    <xf numFmtId="10" fontId="15" fillId="16" borderId="61" xfId="0" applyNumberFormat="1" applyFont="1" applyFill="1" applyBorder="1" applyProtection="1"/>
    <xf numFmtId="167" fontId="24" fillId="14" borderId="101" xfId="0" applyNumberFormat="1" applyFont="1" applyFill="1" applyBorder="1" applyAlignment="1" applyProtection="1">
      <alignment horizontal="center"/>
    </xf>
    <xf numFmtId="0" fontId="0" fillId="14" borderId="106" xfId="0" applyFill="1" applyBorder="1" applyProtection="1"/>
    <xf numFmtId="2" fontId="14" fillId="14" borderId="107" xfId="0" applyNumberFormat="1" applyFont="1" applyFill="1" applyBorder="1" applyProtection="1"/>
    <xf numFmtId="0" fontId="14" fillId="14" borderId="107" xfId="0" applyFont="1" applyFill="1" applyBorder="1" applyProtection="1"/>
    <xf numFmtId="0" fontId="14" fillId="14" borderId="108" xfId="0" applyFont="1" applyFill="1" applyBorder="1" applyProtection="1"/>
    <xf numFmtId="9" fontId="15" fillId="0" borderId="340" xfId="0" applyNumberFormat="1" applyFont="1" applyFill="1" applyBorder="1" applyProtection="1">
      <protection locked="0"/>
    </xf>
    <xf numFmtId="2" fontId="14" fillId="0" borderId="25" xfId="0" applyNumberFormat="1" applyFont="1" applyFill="1" applyBorder="1" applyProtection="1">
      <protection locked="0"/>
    </xf>
    <xf numFmtId="0" fontId="14" fillId="14" borderId="109" xfId="0" applyFont="1" applyFill="1" applyBorder="1" applyProtection="1"/>
    <xf numFmtId="0" fontId="19" fillId="14" borderId="110" xfId="0" applyFont="1" applyFill="1" applyBorder="1" applyAlignment="1" applyProtection="1">
      <alignment vertical="center"/>
    </xf>
    <xf numFmtId="0" fontId="14" fillId="14" borderId="111" xfId="0" applyFont="1" applyFill="1" applyBorder="1" applyProtection="1"/>
    <xf numFmtId="0" fontId="19" fillId="14" borderId="0" xfId="0" applyFont="1" applyFill="1" applyBorder="1" applyAlignment="1" applyProtection="1">
      <alignment vertical="center"/>
    </xf>
    <xf numFmtId="0" fontId="14" fillId="14" borderId="0" xfId="0" applyFont="1" applyFill="1" applyBorder="1" applyProtection="1"/>
    <xf numFmtId="0" fontId="14" fillId="0" borderId="0" xfId="0" applyFont="1" applyFill="1" applyProtection="1"/>
    <xf numFmtId="2" fontId="15" fillId="14" borderId="112" xfId="0" applyNumberFormat="1" applyFont="1" applyFill="1" applyBorder="1" applyAlignment="1" applyProtection="1">
      <alignment wrapText="1"/>
    </xf>
    <xf numFmtId="2" fontId="15" fillId="14" borderId="0" xfId="0" applyNumberFormat="1" applyFont="1" applyFill="1" applyBorder="1" applyAlignment="1" applyProtection="1">
      <alignment wrapText="1"/>
    </xf>
    <xf numFmtId="2" fontId="14" fillId="14" borderId="0" xfId="0" applyNumberFormat="1" applyFont="1" applyFill="1" applyBorder="1" applyProtection="1"/>
    <xf numFmtId="0" fontId="14" fillId="17" borderId="341" xfId="0" applyFont="1" applyFill="1" applyBorder="1" applyProtection="1"/>
    <xf numFmtId="0" fontId="14" fillId="18" borderId="341" xfId="0" applyFont="1" applyFill="1" applyBorder="1" applyProtection="1"/>
    <xf numFmtId="0" fontId="14" fillId="18" borderId="0" xfId="0" applyFont="1" applyFill="1" applyBorder="1" applyAlignment="1" applyProtection="1">
      <alignment horizontal="left" vertical="center"/>
    </xf>
    <xf numFmtId="2" fontId="15" fillId="18" borderId="334" xfId="0" applyNumberFormat="1" applyFont="1" applyFill="1" applyBorder="1" applyAlignment="1" applyProtection="1">
      <alignment horizontal="center"/>
    </xf>
    <xf numFmtId="2" fontId="14" fillId="18" borderId="334" xfId="0" applyNumberFormat="1" applyFont="1" applyFill="1" applyBorder="1" applyProtection="1"/>
    <xf numFmtId="2" fontId="14" fillId="14" borderId="15" xfId="0" applyNumberFormat="1" applyFont="1" applyFill="1" applyBorder="1" applyProtection="1"/>
    <xf numFmtId="2" fontId="14" fillId="14" borderId="112" xfId="0" applyNumberFormat="1" applyFont="1" applyFill="1" applyBorder="1" applyProtection="1"/>
    <xf numFmtId="2" fontId="14" fillId="14" borderId="83" xfId="0" applyNumberFormat="1" applyFont="1" applyFill="1" applyBorder="1" applyProtection="1"/>
    <xf numFmtId="2" fontId="15" fillId="14" borderId="0" xfId="0" applyNumberFormat="1" applyFont="1" applyFill="1" applyBorder="1" applyProtection="1"/>
    <xf numFmtId="1" fontId="15" fillId="0" borderId="0" xfId="0" applyNumberFormat="1" applyFont="1" applyFill="1" applyProtection="1"/>
    <xf numFmtId="2" fontId="15" fillId="8" borderId="113" xfId="0" applyNumberFormat="1" applyFont="1" applyFill="1" applyBorder="1" applyAlignment="1" applyProtection="1"/>
    <xf numFmtId="2" fontId="15" fillId="8" borderId="114" xfId="0" applyNumberFormat="1" applyFont="1" applyFill="1" applyBorder="1" applyProtection="1"/>
    <xf numFmtId="2" fontId="14" fillId="8" borderId="115" xfId="0" applyNumberFormat="1" applyFont="1" applyFill="1" applyBorder="1" applyProtection="1"/>
    <xf numFmtId="0" fontId="15" fillId="0" borderId="0" xfId="0" applyFont="1" applyFill="1" applyProtection="1"/>
    <xf numFmtId="0" fontId="15" fillId="18" borderId="341" xfId="0" applyFont="1" applyFill="1" applyBorder="1" applyProtection="1"/>
    <xf numFmtId="0" fontId="15" fillId="0" borderId="0" xfId="0" applyFont="1" applyFill="1" applyAlignment="1" applyProtection="1">
      <alignment horizontal="center"/>
    </xf>
    <xf numFmtId="4" fontId="14" fillId="18" borderId="0" xfId="0" applyNumberFormat="1" applyFont="1" applyFill="1" applyBorder="1" applyProtection="1"/>
    <xf numFmtId="4" fontId="14" fillId="18" borderId="334" xfId="0" applyNumberFormat="1" applyFont="1" applyFill="1" applyBorder="1" applyProtection="1"/>
    <xf numFmtId="2" fontId="14" fillId="14" borderId="116" xfId="0" applyNumberFormat="1" applyFont="1" applyFill="1" applyBorder="1" applyProtection="1"/>
    <xf numFmtId="2" fontId="14" fillId="14" borderId="48" xfId="0" applyNumberFormat="1" applyFont="1" applyFill="1" applyBorder="1" applyProtection="1"/>
    <xf numFmtId="0" fontId="15" fillId="8" borderId="336" xfId="0" applyFont="1" applyFill="1" applyBorder="1" applyProtection="1"/>
    <xf numFmtId="0" fontId="15" fillId="8" borderId="337" xfId="0" applyFont="1" applyFill="1" applyBorder="1" applyAlignment="1" applyProtection="1">
      <alignment horizontal="center"/>
    </xf>
    <xf numFmtId="2" fontId="15" fillId="8" borderId="337" xfId="0" applyNumberFormat="1" applyFont="1" applyFill="1" applyBorder="1" applyAlignment="1" applyProtection="1">
      <alignment horizontal="right"/>
    </xf>
    <xf numFmtId="0" fontId="15" fillId="8" borderId="337" xfId="0" applyFont="1" applyFill="1" applyBorder="1" applyProtection="1"/>
    <xf numFmtId="4" fontId="15" fillId="8" borderId="337" xfId="0" applyNumberFormat="1" applyFont="1" applyFill="1" applyBorder="1" applyProtection="1"/>
    <xf numFmtId="10" fontId="15" fillId="8" borderId="337" xfId="9" applyNumberFormat="1" applyFont="1" applyFill="1" applyBorder="1" applyAlignment="1" applyProtection="1">
      <alignment horizontal="right"/>
    </xf>
    <xf numFmtId="4" fontId="15" fillId="8" borderId="338" xfId="0" applyNumberFormat="1" applyFont="1" applyFill="1" applyBorder="1" applyProtection="1"/>
    <xf numFmtId="167" fontId="14" fillId="14" borderId="112" xfId="0" applyNumberFormat="1" applyFont="1" applyFill="1" applyBorder="1" applyAlignment="1" applyProtection="1">
      <alignment horizontal="center"/>
    </xf>
    <xf numFmtId="2" fontId="14" fillId="0" borderId="0" xfId="0" applyNumberFormat="1" applyFont="1" applyFill="1" applyProtection="1"/>
    <xf numFmtId="0" fontId="15" fillId="17" borderId="341" xfId="0" applyFont="1" applyFill="1" applyBorder="1" applyProtection="1"/>
    <xf numFmtId="0" fontId="15" fillId="17" borderId="0" xfId="0" applyFont="1" applyFill="1" applyBorder="1" applyAlignment="1" applyProtection="1">
      <alignment horizontal="center"/>
    </xf>
    <xf numFmtId="165" fontId="14" fillId="18" borderId="0" xfId="0" applyNumberFormat="1" applyFont="1" applyFill="1" applyBorder="1" applyProtection="1"/>
    <xf numFmtId="10" fontId="14" fillId="18" borderId="0" xfId="9" applyNumberFormat="1" applyFont="1" applyFill="1" applyBorder="1" applyAlignment="1" applyProtection="1">
      <alignment horizontal="right"/>
    </xf>
    <xf numFmtId="165" fontId="14" fillId="18" borderId="334" xfId="0" applyNumberFormat="1" applyFont="1" applyFill="1" applyBorder="1" applyProtection="1"/>
    <xf numFmtId="175" fontId="14" fillId="18" borderId="334" xfId="0" applyNumberFormat="1" applyFont="1" applyFill="1" applyBorder="1" applyProtection="1"/>
    <xf numFmtId="2" fontId="15" fillId="0" borderId="0" xfId="0" applyNumberFormat="1" applyFont="1" applyFill="1" applyProtection="1"/>
    <xf numFmtId="0" fontId="15" fillId="0" borderId="0" xfId="0" applyFont="1" applyFill="1" applyAlignment="1" applyProtection="1"/>
    <xf numFmtId="2" fontId="14" fillId="15" borderId="0" xfId="0" applyNumberFormat="1" applyFont="1" applyFill="1" applyBorder="1" applyAlignment="1" applyProtection="1">
      <alignment vertical="center"/>
    </xf>
    <xf numFmtId="2" fontId="14" fillId="0" borderId="0" xfId="0" applyNumberFormat="1" applyFont="1" applyProtection="1"/>
    <xf numFmtId="44" fontId="14" fillId="18" borderId="334" xfId="0" applyNumberFormat="1" applyFont="1" applyFill="1" applyBorder="1" applyProtection="1"/>
    <xf numFmtId="0" fontId="15" fillId="8" borderId="336" xfId="0" applyFont="1" applyFill="1" applyBorder="1" applyAlignment="1" applyProtection="1"/>
    <xf numFmtId="0" fontId="15" fillId="8" borderId="337" xfId="0" applyFont="1" applyFill="1" applyBorder="1" applyAlignment="1" applyProtection="1"/>
    <xf numFmtId="2" fontId="15" fillId="8" borderId="337" xfId="0" applyNumberFormat="1" applyFont="1" applyFill="1" applyBorder="1" applyProtection="1"/>
    <xf numFmtId="10" fontId="15" fillId="8" borderId="337" xfId="0" applyNumberFormat="1" applyFont="1" applyFill="1" applyBorder="1" applyProtection="1"/>
    <xf numFmtId="2" fontId="15" fillId="8" borderId="338" xfId="0" applyNumberFormat="1" applyFont="1" applyFill="1" applyBorder="1" applyProtection="1"/>
    <xf numFmtId="1" fontId="15" fillId="18" borderId="0" xfId="0" applyNumberFormat="1" applyFont="1" applyFill="1" applyBorder="1" applyAlignment="1" applyProtection="1">
      <alignment horizontal="center"/>
    </xf>
    <xf numFmtId="165" fontId="15" fillId="18" borderId="0" xfId="0" applyNumberFormat="1" applyFont="1" applyFill="1" applyBorder="1" applyProtection="1"/>
    <xf numFmtId="0" fontId="14" fillId="14" borderId="112" xfId="0" applyFont="1" applyFill="1" applyBorder="1" applyProtection="1"/>
    <xf numFmtId="165" fontId="15" fillId="15" borderId="334" xfId="0" applyNumberFormat="1" applyFont="1" applyFill="1" applyBorder="1" applyProtection="1"/>
    <xf numFmtId="0" fontId="15" fillId="16" borderId="336" xfId="0" applyFont="1" applyFill="1" applyBorder="1" applyAlignment="1" applyProtection="1"/>
    <xf numFmtId="171" fontId="14" fillId="18" borderId="0" xfId="0" applyNumberFormat="1" applyFont="1" applyFill="1" applyBorder="1" applyProtection="1"/>
    <xf numFmtId="0" fontId="14" fillId="19" borderId="334" xfId="0" applyFont="1" applyFill="1" applyBorder="1" applyAlignment="1" applyProtection="1">
      <alignment horizontal="center"/>
    </xf>
    <xf numFmtId="0" fontId="14" fillId="19" borderId="341" xfId="0" applyFont="1" applyFill="1" applyBorder="1" applyProtection="1"/>
    <xf numFmtId="171" fontId="14" fillId="19" borderId="0" xfId="0" applyNumberFormat="1" applyFont="1" applyFill="1" applyBorder="1" applyProtection="1"/>
    <xf numFmtId="0" fontId="14" fillId="0" borderId="0" xfId="0" applyFont="1" applyFill="1" applyBorder="1" applyProtection="1"/>
    <xf numFmtId="0" fontId="15" fillId="8" borderId="337" xfId="0" applyFont="1" applyFill="1" applyBorder="1" applyAlignment="1" applyProtection="1">
      <alignment horizontal="left" wrapText="1"/>
    </xf>
    <xf numFmtId="2" fontId="15" fillId="8" borderId="337" xfId="0" applyNumberFormat="1" applyFont="1" applyFill="1" applyBorder="1" applyAlignment="1" applyProtection="1">
      <alignment horizontal="right" wrapText="1"/>
    </xf>
    <xf numFmtId="0" fontId="15" fillId="18" borderId="0" xfId="0" applyFont="1" applyFill="1" applyBorder="1" applyAlignment="1" applyProtection="1">
      <alignment horizontal="left" wrapText="1"/>
    </xf>
    <xf numFmtId="2" fontId="14" fillId="18" borderId="0" xfId="0" applyNumberFormat="1" applyFont="1" applyFill="1" applyBorder="1" applyAlignment="1" applyProtection="1">
      <alignment horizontal="left" wrapText="1"/>
    </xf>
    <xf numFmtId="10" fontId="14" fillId="0" borderId="0" xfId="0" applyNumberFormat="1" applyFont="1" applyFill="1" applyProtection="1"/>
    <xf numFmtId="2" fontId="14" fillId="18" borderId="341" xfId="0" applyNumberFormat="1" applyFont="1" applyFill="1" applyBorder="1" applyAlignment="1" applyProtection="1">
      <alignment horizontal="center"/>
    </xf>
    <xf numFmtId="2" fontId="29" fillId="18" borderId="0" xfId="0" applyNumberFormat="1" applyFont="1" applyFill="1" applyBorder="1" applyAlignment="1" applyProtection="1">
      <alignment horizontal="center" wrapText="1"/>
    </xf>
    <xf numFmtId="2" fontId="15" fillId="18" borderId="334" xfId="0" applyNumberFormat="1" applyFont="1" applyFill="1" applyBorder="1" applyProtection="1"/>
    <xf numFmtId="10" fontId="15" fillId="15" borderId="337" xfId="0" applyNumberFormat="1" applyFont="1" applyFill="1" applyBorder="1" applyProtection="1"/>
    <xf numFmtId="167" fontId="24" fillId="14" borderId="112" xfId="0" applyNumberFormat="1" applyFont="1" applyFill="1" applyBorder="1" applyAlignment="1" applyProtection="1">
      <alignment horizontal="center"/>
    </xf>
    <xf numFmtId="0" fontId="14" fillId="14" borderId="117" xfId="0" applyFont="1" applyFill="1" applyBorder="1" applyProtection="1"/>
    <xf numFmtId="0" fontId="14" fillId="14" borderId="116" xfId="0" applyFont="1" applyFill="1" applyBorder="1" applyProtection="1"/>
    <xf numFmtId="0" fontId="14" fillId="14" borderId="118" xfId="0" applyFont="1" applyFill="1" applyBorder="1" applyProtection="1"/>
    <xf numFmtId="9" fontId="15" fillId="21" borderId="119" xfId="0" applyNumberFormat="1" applyFont="1" applyFill="1" applyBorder="1" applyProtection="1">
      <protection locked="0"/>
    </xf>
    <xf numFmtId="165" fontId="15" fillId="0" borderId="342" xfId="0" applyNumberFormat="1" applyFont="1" applyBorder="1" applyProtection="1">
      <protection locked="0"/>
    </xf>
    <xf numFmtId="165" fontId="14" fillId="0" borderId="342" xfId="0" applyNumberFormat="1" applyFont="1" applyFill="1" applyBorder="1" applyProtection="1">
      <protection locked="0"/>
    </xf>
    <xf numFmtId="0" fontId="25" fillId="14" borderId="343" xfId="21" applyFont="1" applyFill="1" applyBorder="1" applyProtection="1"/>
    <xf numFmtId="0" fontId="27" fillId="22" borderId="344" xfId="21" applyFont="1" applyFill="1" applyBorder="1" applyAlignment="1" applyProtection="1">
      <alignment vertical="center" wrapText="1"/>
    </xf>
    <xf numFmtId="174" fontId="25" fillId="14" borderId="345" xfId="21" applyNumberFormat="1" applyFont="1" applyFill="1" applyBorder="1" applyAlignment="1" applyProtection="1">
      <alignment horizontal="center"/>
    </xf>
    <xf numFmtId="0" fontId="25" fillId="14" borderId="346" xfId="21" applyFont="1" applyFill="1" applyBorder="1" applyProtection="1"/>
    <xf numFmtId="174" fontId="25" fillId="14" borderId="347" xfId="21" applyNumberFormat="1" applyFont="1" applyFill="1" applyBorder="1" applyAlignment="1" applyProtection="1">
      <alignment horizontal="center"/>
    </xf>
    <xf numFmtId="0" fontId="24" fillId="17" borderId="348" xfId="21" applyFont="1" applyFill="1" applyBorder="1" applyProtection="1"/>
    <xf numFmtId="0" fontId="25" fillId="17" borderId="349" xfId="21" applyFont="1" applyFill="1" applyBorder="1" applyProtection="1"/>
    <xf numFmtId="0" fontId="25" fillId="17" borderId="350" xfId="21" applyFont="1" applyFill="1" applyBorder="1" applyAlignment="1" applyProtection="1">
      <alignment horizontal="center"/>
    </xf>
    <xf numFmtId="0" fontId="25" fillId="18" borderId="351" xfId="21" applyFont="1" applyFill="1" applyBorder="1" applyProtection="1"/>
    <xf numFmtId="0" fontId="25" fillId="14" borderId="347" xfId="21" applyFont="1" applyFill="1" applyBorder="1" applyProtection="1"/>
    <xf numFmtId="2" fontId="25" fillId="14" borderId="0" xfId="21" applyNumberFormat="1" applyFont="1" applyFill="1" applyBorder="1" applyProtection="1"/>
    <xf numFmtId="2" fontId="25" fillId="18" borderId="338" xfId="21" applyNumberFormat="1" applyFont="1" applyFill="1" applyBorder="1" applyProtection="1"/>
    <xf numFmtId="2" fontId="25" fillId="14" borderId="0" xfId="21" applyNumberFormat="1" applyFont="1" applyFill="1" applyBorder="1" applyAlignment="1" applyProtection="1">
      <alignment horizontal="left"/>
    </xf>
    <xf numFmtId="2" fontId="25" fillId="14" borderId="0" xfId="21" applyNumberFormat="1" applyFont="1" applyFill="1" applyBorder="1" applyAlignment="1" applyProtection="1">
      <alignment horizontal="center"/>
    </xf>
    <xf numFmtId="176" fontId="25" fillId="14" borderId="347" xfId="21" applyNumberFormat="1" applyFont="1" applyFill="1" applyBorder="1" applyAlignment="1" applyProtection="1">
      <alignment horizontal="center"/>
    </xf>
    <xf numFmtId="0" fontId="25" fillId="14" borderId="352" xfId="21" applyFont="1" applyFill="1" applyBorder="1" applyAlignment="1" applyProtection="1">
      <alignment horizontal="left"/>
    </xf>
    <xf numFmtId="174" fontId="25" fillId="14" borderId="352" xfId="21" applyNumberFormat="1" applyFont="1" applyFill="1" applyBorder="1" applyAlignment="1" applyProtection="1">
      <alignment horizontal="center"/>
    </xf>
    <xf numFmtId="174" fontId="25" fillId="14" borderId="353" xfId="21" applyNumberFormat="1" applyFont="1" applyFill="1" applyBorder="1" applyAlignment="1" applyProtection="1">
      <alignment horizontal="center"/>
    </xf>
    <xf numFmtId="1" fontId="25" fillId="0" borderId="354" xfId="21" applyNumberFormat="1" applyFont="1" applyFill="1" applyBorder="1" applyAlignment="1" applyProtection="1">
      <alignment horizontal="center"/>
      <protection locked="0"/>
    </xf>
    <xf numFmtId="1" fontId="25" fillId="0" borderId="340" xfId="21" applyNumberFormat="1" applyFont="1" applyFill="1" applyBorder="1" applyAlignment="1" applyProtection="1">
      <alignment horizontal="center"/>
      <protection locked="0"/>
    </xf>
    <xf numFmtId="1" fontId="25" fillId="0" borderId="355" xfId="21" applyNumberFormat="1" applyFont="1" applyFill="1" applyBorder="1" applyAlignment="1" applyProtection="1">
      <alignment horizontal="center"/>
      <protection locked="0"/>
    </xf>
    <xf numFmtId="0" fontId="25" fillId="0" borderId="340" xfId="21" applyFont="1" applyFill="1" applyBorder="1" applyAlignment="1" applyProtection="1">
      <protection locked="0"/>
    </xf>
    <xf numFmtId="2" fontId="25" fillId="0" borderId="340" xfId="21" applyNumberFormat="1" applyFont="1" applyBorder="1" applyAlignment="1" applyProtection="1">
      <alignment horizontal="center"/>
      <protection locked="0"/>
    </xf>
    <xf numFmtId="0" fontId="25" fillId="0" borderId="356" xfId="21" applyFont="1" applyFill="1" applyBorder="1" applyAlignment="1" applyProtection="1">
      <protection locked="0"/>
    </xf>
    <xf numFmtId="0" fontId="25" fillId="0" borderId="357" xfId="21" applyFont="1" applyFill="1" applyBorder="1" applyAlignment="1" applyProtection="1">
      <protection locked="0"/>
    </xf>
    <xf numFmtId="0" fontId="25" fillId="0" borderId="358" xfId="21" applyFont="1" applyFill="1" applyBorder="1" applyAlignment="1" applyProtection="1">
      <alignment wrapText="1"/>
      <protection locked="0"/>
    </xf>
    <xf numFmtId="2" fontId="25" fillId="0" borderId="358" xfId="21" applyNumberFormat="1" applyFont="1" applyBorder="1" applyAlignment="1" applyProtection="1">
      <alignment horizontal="center"/>
      <protection locked="0"/>
    </xf>
    <xf numFmtId="165" fontId="25" fillId="15" borderId="359" xfId="21" applyNumberFormat="1" applyFont="1" applyFill="1" applyBorder="1" applyAlignment="1" applyProtection="1">
      <alignment horizontal="center"/>
    </xf>
    <xf numFmtId="176" fontId="24" fillId="16" borderId="360" xfId="21" applyNumberFormat="1" applyFont="1" applyFill="1" applyBorder="1" applyAlignment="1" applyProtection="1">
      <alignment horizontal="center"/>
    </xf>
    <xf numFmtId="0" fontId="14" fillId="14" borderId="360" xfId="21" applyFont="1" applyFill="1" applyBorder="1" applyAlignment="1" applyProtection="1">
      <alignment wrapText="1"/>
    </xf>
    <xf numFmtId="176" fontId="24" fillId="14" borderId="360" xfId="21" applyNumberFormat="1" applyFont="1" applyFill="1" applyBorder="1" applyAlignment="1" applyProtection="1">
      <alignment horizontal="center"/>
    </xf>
    <xf numFmtId="174" fontId="24" fillId="16" borderId="360" xfId="21" applyNumberFormat="1" applyFont="1" applyFill="1" applyBorder="1" applyAlignment="1" applyProtection="1"/>
    <xf numFmtId="0" fontId="25" fillId="0" borderId="361" xfId="21" applyFont="1" applyFill="1" applyBorder="1" applyAlignment="1" applyProtection="1">
      <protection locked="0"/>
    </xf>
    <xf numFmtId="0" fontId="25" fillId="0" borderId="362" xfId="21" applyFont="1" applyFill="1" applyBorder="1" applyAlignment="1" applyProtection="1">
      <protection locked="0"/>
    </xf>
    <xf numFmtId="2" fontId="25" fillId="0" borderId="362" xfId="21" applyNumberFormat="1" applyFont="1" applyBorder="1" applyAlignment="1" applyProtection="1">
      <alignment horizontal="center"/>
      <protection locked="0"/>
    </xf>
    <xf numFmtId="165" fontId="25" fillId="15" borderId="363" xfId="21" applyNumberFormat="1" applyFont="1" applyFill="1" applyBorder="1" applyAlignment="1" applyProtection="1">
      <alignment horizontal="center"/>
    </xf>
    <xf numFmtId="174" fontId="24" fillId="17" borderId="360" xfId="21" applyNumberFormat="1" applyFont="1" applyFill="1" applyBorder="1" applyAlignment="1" applyProtection="1">
      <alignment horizontal="center"/>
    </xf>
    <xf numFmtId="2" fontId="25" fillId="18" borderId="364" xfId="21" applyNumberFormat="1" applyFont="1" applyFill="1" applyBorder="1" applyAlignment="1" applyProtection="1">
      <alignment horizontal="center"/>
    </xf>
    <xf numFmtId="2" fontId="25" fillId="18" borderId="365" xfId="21" applyNumberFormat="1" applyFont="1" applyFill="1" applyBorder="1" applyAlignment="1" applyProtection="1">
      <alignment horizontal="left"/>
    </xf>
    <xf numFmtId="2" fontId="25" fillId="18" borderId="365" xfId="21" applyNumberFormat="1" applyFont="1" applyFill="1" applyBorder="1" applyAlignment="1" applyProtection="1">
      <alignment horizontal="center"/>
    </xf>
    <xf numFmtId="1" fontId="25" fillId="0" borderId="340" xfId="21" applyNumberFormat="1" applyFont="1" applyBorder="1" applyAlignment="1" applyProtection="1">
      <alignment horizontal="center"/>
      <protection locked="0"/>
    </xf>
    <xf numFmtId="2" fontId="25" fillId="18" borderId="366" xfId="21" applyNumberFormat="1" applyFont="1" applyFill="1" applyBorder="1" applyAlignment="1" applyProtection="1">
      <alignment horizontal="left"/>
    </xf>
    <xf numFmtId="2" fontId="24" fillId="18" borderId="366" xfId="21" applyNumberFormat="1" applyFont="1" applyFill="1" applyBorder="1" applyAlignment="1" applyProtection="1">
      <alignment horizontal="left" vertical="center"/>
    </xf>
    <xf numFmtId="2" fontId="25" fillId="18" borderId="367" xfId="21" applyNumberFormat="1" applyFont="1" applyFill="1" applyBorder="1" applyAlignment="1" applyProtection="1">
      <alignment horizontal="left"/>
    </xf>
    <xf numFmtId="0" fontId="25" fillId="17" borderId="368" xfId="21" applyFont="1" applyFill="1" applyBorder="1" applyAlignment="1" applyProtection="1">
      <alignment horizontal="left"/>
    </xf>
    <xf numFmtId="174" fontId="25" fillId="17" borderId="369" xfId="21" applyNumberFormat="1" applyFont="1" applyFill="1" applyBorder="1" applyAlignment="1" applyProtection="1">
      <alignment horizontal="center"/>
    </xf>
    <xf numFmtId="165" fontId="25" fillId="15" borderId="370" xfId="21" applyNumberFormat="1" applyFont="1" applyFill="1" applyBorder="1" applyAlignment="1" applyProtection="1">
      <alignment horizontal="center"/>
    </xf>
    <xf numFmtId="0" fontId="24" fillId="16" borderId="368" xfId="21" applyFont="1" applyFill="1" applyBorder="1" applyAlignment="1" applyProtection="1">
      <alignment wrapText="1"/>
    </xf>
    <xf numFmtId="174" fontId="24" fillId="16" borderId="369" xfId="21" applyNumberFormat="1" applyFont="1" applyFill="1" applyBorder="1" applyAlignment="1" applyProtection="1">
      <alignment horizontal="center" wrapText="1"/>
    </xf>
    <xf numFmtId="0" fontId="25" fillId="18" borderId="368" xfId="21" applyFont="1" applyFill="1" applyBorder="1" applyAlignment="1" applyProtection="1">
      <alignment wrapText="1"/>
    </xf>
    <xf numFmtId="174" fontId="24" fillId="14" borderId="369" xfId="21" applyNumberFormat="1" applyFont="1" applyFill="1" applyBorder="1" applyAlignment="1" applyProtection="1">
      <alignment horizontal="center" wrapText="1"/>
    </xf>
    <xf numFmtId="0" fontId="24" fillId="16" borderId="368" xfId="21" applyFont="1" applyFill="1" applyBorder="1" applyAlignment="1" applyProtection="1">
      <alignment horizontal="left"/>
    </xf>
    <xf numFmtId="174" fontId="24" fillId="16" borderId="369" xfId="21" applyNumberFormat="1" applyFont="1" applyFill="1" applyBorder="1" applyAlignment="1" applyProtection="1">
      <alignment horizontal="center"/>
    </xf>
    <xf numFmtId="9" fontId="25" fillId="18" borderId="368" xfId="21" applyNumberFormat="1" applyFont="1" applyFill="1" applyBorder="1" applyAlignment="1" applyProtection="1">
      <alignment horizontal="left"/>
    </xf>
    <xf numFmtId="174" fontId="25" fillId="0" borderId="369" xfId="21" applyNumberFormat="1" applyFont="1" applyFill="1" applyBorder="1" applyAlignment="1" applyProtection="1">
      <alignment horizontal="center"/>
      <protection locked="0"/>
    </xf>
    <xf numFmtId="0" fontId="24" fillId="16" borderId="371" xfId="21" applyFont="1" applyFill="1" applyBorder="1" applyAlignment="1" applyProtection="1">
      <alignment horizontal="left" wrapText="1"/>
    </xf>
    <xf numFmtId="9" fontId="14" fillId="21" borderId="346" xfId="0" applyNumberFormat="1" applyFont="1" applyFill="1" applyBorder="1" applyAlignment="1" applyProtection="1">
      <alignment horizontal="center" vertical="center"/>
      <protection locked="0"/>
    </xf>
    <xf numFmtId="0" fontId="21" fillId="0" borderId="372" xfId="0" applyFont="1" applyBorder="1" applyAlignment="1" applyProtection="1">
      <alignment vertical="center"/>
      <protection locked="0"/>
    </xf>
    <xf numFmtId="0" fontId="14" fillId="0" borderId="373" xfId="0" applyFont="1" applyFill="1" applyBorder="1" applyAlignment="1" applyProtection="1">
      <alignment vertical="center"/>
      <protection locked="0"/>
    </xf>
    <xf numFmtId="0" fontId="14" fillId="0" borderId="373" xfId="0" applyFont="1" applyFill="1" applyBorder="1" applyAlignment="1" applyProtection="1">
      <alignment vertical="center" wrapText="1"/>
      <protection locked="0"/>
    </xf>
    <xf numFmtId="0" fontId="26" fillId="0" borderId="373" xfId="0" applyFont="1" applyFill="1" applyBorder="1" applyAlignment="1" applyProtection="1">
      <alignment horizontal="center" vertical="center"/>
      <protection locked="0"/>
    </xf>
    <xf numFmtId="0" fontId="26" fillId="0" borderId="372" xfId="0" applyFont="1" applyFill="1" applyBorder="1" applyAlignment="1" applyProtection="1">
      <alignment horizontal="center" vertical="center"/>
      <protection locked="0"/>
    </xf>
    <xf numFmtId="166" fontId="14" fillId="0" borderId="374" xfId="0" applyNumberFormat="1" applyFont="1" applyFill="1" applyBorder="1" applyAlignment="1" applyProtection="1">
      <alignment horizontal="center" vertical="center"/>
      <protection locked="0"/>
    </xf>
    <xf numFmtId="0" fontId="21" fillId="0" borderId="375" xfId="0" applyFont="1" applyBorder="1" applyAlignment="1" applyProtection="1">
      <alignment vertical="center"/>
      <protection locked="0"/>
    </xf>
    <xf numFmtId="0" fontId="15" fillId="16" borderId="136" xfId="0" applyFont="1" applyFill="1" applyBorder="1" applyProtection="1"/>
    <xf numFmtId="0" fontId="15" fillId="16" borderId="137" xfId="0" applyFont="1" applyFill="1" applyBorder="1" applyProtection="1"/>
    <xf numFmtId="3" fontId="15" fillId="16" borderId="104" xfId="0" applyNumberFormat="1" applyFont="1" applyFill="1" applyBorder="1" applyAlignment="1" applyProtection="1">
      <alignment horizontal="center"/>
    </xf>
    <xf numFmtId="3" fontId="15" fillId="16" borderId="137" xfId="0" applyNumberFormat="1" applyFont="1" applyFill="1" applyBorder="1" applyAlignment="1" applyProtection="1">
      <alignment horizontal="center"/>
    </xf>
    <xf numFmtId="3" fontId="15" fillId="16" borderId="138" xfId="0" applyNumberFormat="1" applyFont="1" applyFill="1" applyBorder="1" applyAlignment="1" applyProtection="1">
      <alignment horizontal="center"/>
    </xf>
    <xf numFmtId="3" fontId="15" fillId="16" borderId="139" xfId="0" applyNumberFormat="1" applyFont="1" applyFill="1" applyBorder="1" applyAlignment="1" applyProtection="1">
      <alignment horizontal="center"/>
    </xf>
    <xf numFmtId="3" fontId="15" fillId="16" borderId="138" xfId="0" applyNumberFormat="1" applyFont="1" applyFill="1" applyBorder="1" applyProtection="1"/>
    <xf numFmtId="9" fontId="15" fillId="16" borderId="104" xfId="10" applyFont="1" applyFill="1" applyBorder="1" applyAlignment="1" applyProtection="1">
      <alignment horizontal="center"/>
    </xf>
    <xf numFmtId="9" fontId="15" fillId="16" borderId="138" xfId="10" applyFont="1" applyFill="1" applyBorder="1" applyProtection="1"/>
    <xf numFmtId="9" fontId="15" fillId="16" borderId="139" xfId="10" applyFont="1" applyFill="1" applyBorder="1" applyAlignment="1" applyProtection="1">
      <alignment horizontal="center"/>
    </xf>
    <xf numFmtId="0" fontId="15" fillId="16" borderId="96" xfId="0" applyFont="1" applyFill="1" applyBorder="1" applyProtection="1"/>
    <xf numFmtId="0" fontId="2" fillId="16" borderId="136" xfId="0" applyFont="1" applyFill="1" applyBorder="1" applyProtection="1"/>
    <xf numFmtId="2" fontId="15" fillId="16" borderId="104" xfId="0" applyNumberFormat="1" applyFont="1" applyFill="1" applyBorder="1" applyAlignment="1" applyProtection="1">
      <alignment horizontal="center"/>
    </xf>
    <xf numFmtId="2" fontId="15" fillId="16" borderId="140" xfId="0" applyNumberFormat="1" applyFont="1" applyFill="1" applyBorder="1" applyAlignment="1" applyProtection="1">
      <alignment horizontal="center"/>
    </xf>
    <xf numFmtId="0" fontId="15" fillId="16" borderId="139" xfId="0" applyFont="1" applyFill="1" applyBorder="1" applyProtection="1"/>
    <xf numFmtId="0" fontId="14" fillId="16" borderId="139" xfId="0" applyFont="1" applyFill="1" applyBorder="1" applyProtection="1"/>
    <xf numFmtId="1" fontId="15" fillId="16" borderId="104" xfId="0" applyNumberFormat="1" applyFont="1" applyFill="1" applyBorder="1" applyProtection="1"/>
    <xf numFmtId="178" fontId="15" fillId="16" borderId="104" xfId="0" applyNumberFormat="1" applyFont="1" applyFill="1" applyBorder="1" applyAlignment="1" applyProtection="1">
      <alignment horizontal="center"/>
    </xf>
    <xf numFmtId="178" fontId="15" fillId="16" borderId="139" xfId="0" applyNumberFormat="1" applyFont="1" applyFill="1" applyBorder="1" applyAlignment="1" applyProtection="1">
      <alignment horizontal="center"/>
    </xf>
    <xf numFmtId="0" fontId="15" fillId="16" borderId="104" xfId="0" applyFont="1" applyFill="1" applyBorder="1" applyAlignment="1" applyProtection="1">
      <alignment horizontal="center"/>
    </xf>
    <xf numFmtId="178" fontId="15" fillId="16" borderId="104" xfId="0" applyNumberFormat="1" applyFont="1" applyFill="1" applyBorder="1" applyProtection="1"/>
    <xf numFmtId="165" fontId="14" fillId="0" borderId="376" xfId="0" applyNumberFormat="1" applyFont="1" applyFill="1" applyBorder="1" applyProtection="1">
      <protection locked="0"/>
    </xf>
    <xf numFmtId="165" fontId="14" fillId="0" borderId="376" xfId="0" applyNumberFormat="1" applyFont="1" applyBorder="1" applyProtection="1">
      <protection locked="0"/>
    </xf>
    <xf numFmtId="2" fontId="14" fillId="3" borderId="142" xfId="0" applyNumberFormat="1" applyFont="1" applyFill="1" applyBorder="1" applyAlignment="1" applyProtection="1">
      <alignment horizontal="left"/>
      <protection locked="0"/>
    </xf>
    <xf numFmtId="10" fontId="14" fillId="0" borderId="143" xfId="0" applyNumberFormat="1" applyFont="1" applyFill="1" applyBorder="1" applyAlignment="1" applyProtection="1">
      <alignment horizontal="center"/>
      <protection locked="0"/>
    </xf>
    <xf numFmtId="2" fontId="14" fillId="3" borderId="144" xfId="0" applyNumberFormat="1" applyFont="1" applyFill="1" applyBorder="1" applyAlignment="1" applyProtection="1">
      <alignment horizontal="left"/>
      <protection locked="0"/>
    </xf>
    <xf numFmtId="10" fontId="14" fillId="0" borderId="145" xfId="0" applyNumberFormat="1" applyFont="1" applyFill="1" applyBorder="1" applyAlignment="1" applyProtection="1">
      <alignment horizontal="center"/>
      <protection locked="0"/>
    </xf>
    <xf numFmtId="0" fontId="14" fillId="14" borderId="120" xfId="0" applyFont="1" applyFill="1" applyBorder="1" applyProtection="1"/>
    <xf numFmtId="2" fontId="14" fillId="14" borderId="121" xfId="0" applyNumberFormat="1" applyFont="1" applyFill="1" applyBorder="1" applyAlignment="1" applyProtection="1">
      <alignment horizontal="left" vertical="center"/>
    </xf>
    <xf numFmtId="0" fontId="14" fillId="14" borderId="122" xfId="0" applyFont="1" applyFill="1" applyBorder="1" applyProtection="1"/>
    <xf numFmtId="0" fontId="14" fillId="14" borderId="123" xfId="0" applyFont="1" applyFill="1" applyBorder="1" applyProtection="1"/>
    <xf numFmtId="2" fontId="14" fillId="14" borderId="0" xfId="0" applyNumberFormat="1" applyFont="1" applyFill="1" applyBorder="1" applyAlignment="1" applyProtection="1">
      <alignment horizontal="left" vertical="center"/>
    </xf>
    <xf numFmtId="0" fontId="14" fillId="14" borderId="124" xfId="0" applyFont="1" applyFill="1" applyBorder="1" applyProtection="1"/>
    <xf numFmtId="2" fontId="15" fillId="18" borderId="346" xfId="0" applyNumberFormat="1" applyFont="1" applyFill="1" applyBorder="1" applyAlignment="1" applyProtection="1">
      <alignment horizontal="center" vertical="center" wrapText="1"/>
    </xf>
    <xf numFmtId="10" fontId="15" fillId="18" borderId="0" xfId="0" applyNumberFormat="1" applyFont="1" applyFill="1" applyBorder="1" applyAlignment="1" applyProtection="1">
      <alignment horizontal="center" vertical="center" wrapText="1"/>
    </xf>
    <xf numFmtId="2" fontId="15" fillId="18" borderId="347" xfId="0" applyNumberFormat="1" applyFont="1" applyFill="1" applyBorder="1" applyAlignment="1" applyProtection="1">
      <alignment horizontal="center" vertical="center" wrapText="1"/>
    </xf>
    <xf numFmtId="1" fontId="15" fillId="23" borderId="377" xfId="0" applyNumberFormat="1" applyFont="1" applyFill="1" applyBorder="1" applyAlignment="1" applyProtection="1">
      <alignment horizontal="center"/>
    </xf>
    <xf numFmtId="165" fontId="15" fillId="8" borderId="378" xfId="0" applyNumberFormat="1" applyFont="1" applyFill="1" applyBorder="1" applyProtection="1"/>
    <xf numFmtId="1" fontId="15" fillId="23" borderId="379" xfId="0" applyNumberFormat="1" applyFont="1" applyFill="1" applyBorder="1" applyAlignment="1" applyProtection="1">
      <alignment horizontal="center"/>
    </xf>
    <xf numFmtId="165" fontId="15" fillId="8" borderId="380" xfId="0" applyNumberFormat="1" applyFont="1" applyFill="1" applyBorder="1" applyProtection="1"/>
    <xf numFmtId="3" fontId="15" fillId="23" borderId="379" xfId="0" applyNumberFormat="1" applyFont="1" applyFill="1" applyBorder="1" applyAlignment="1" applyProtection="1">
      <alignment horizontal="center"/>
    </xf>
    <xf numFmtId="165" fontId="14" fillId="18" borderId="346" xfId="0" applyNumberFormat="1" applyFont="1" applyFill="1" applyBorder="1" applyProtection="1"/>
    <xf numFmtId="165" fontId="15" fillId="18" borderId="347" xfId="0" applyNumberFormat="1" applyFont="1" applyFill="1" applyBorder="1" applyProtection="1"/>
    <xf numFmtId="3" fontId="15" fillId="18" borderId="0" xfId="0" applyNumberFormat="1" applyFont="1" applyFill="1" applyBorder="1" applyAlignment="1" applyProtection="1">
      <alignment horizontal="center"/>
    </xf>
    <xf numFmtId="0" fontId="25" fillId="18" borderId="381" xfId="0" applyFont="1" applyFill="1" applyBorder="1" applyAlignment="1" applyProtection="1">
      <alignment wrapText="1"/>
    </xf>
    <xf numFmtId="0" fontId="25" fillId="18" borderId="382" xfId="0" applyFont="1" applyFill="1" applyBorder="1" applyAlignment="1" applyProtection="1">
      <alignment wrapText="1"/>
    </xf>
    <xf numFmtId="2" fontId="15" fillId="18" borderId="383" xfId="0" applyNumberFormat="1" applyFont="1" applyFill="1" applyBorder="1" applyAlignment="1" applyProtection="1">
      <alignment horizontal="center"/>
    </xf>
    <xf numFmtId="9" fontId="15" fillId="18" borderId="360" xfId="0" applyNumberFormat="1" applyFont="1" applyFill="1" applyBorder="1" applyProtection="1"/>
    <xf numFmtId="165" fontId="15" fillId="15" borderId="384" xfId="0" applyNumberFormat="1" applyFont="1" applyFill="1" applyBorder="1" applyProtection="1"/>
    <xf numFmtId="2" fontId="15" fillId="18" borderId="383" xfId="0" applyNumberFormat="1" applyFont="1" applyFill="1" applyBorder="1" applyAlignment="1" applyProtection="1">
      <alignment horizontal="center" wrapText="1"/>
    </xf>
    <xf numFmtId="1" fontId="15" fillId="15" borderId="360" xfId="0" applyNumberFormat="1" applyFont="1" applyFill="1" applyBorder="1" applyProtection="1"/>
    <xf numFmtId="0" fontId="15" fillId="18" borderId="383" xfId="0" applyFont="1" applyFill="1" applyBorder="1" applyAlignment="1" applyProtection="1">
      <alignment horizontal="center"/>
    </xf>
    <xf numFmtId="2" fontId="15" fillId="16" borderId="383" xfId="0" applyNumberFormat="1" applyFont="1" applyFill="1" applyBorder="1" applyAlignment="1" applyProtection="1">
      <alignment horizontal="center"/>
    </xf>
    <xf numFmtId="9" fontId="15" fillId="16" borderId="360" xfId="0" applyNumberFormat="1" applyFont="1" applyFill="1" applyBorder="1" applyProtection="1"/>
    <xf numFmtId="165" fontId="15" fillId="16" borderId="384" xfId="0" applyNumberFormat="1" applyFont="1" applyFill="1" applyBorder="1" applyProtection="1"/>
    <xf numFmtId="0" fontId="14" fillId="14" borderId="0" xfId="0" applyFont="1" applyFill="1" applyBorder="1" applyAlignment="1" applyProtection="1">
      <alignment horizontal="center"/>
    </xf>
    <xf numFmtId="2" fontId="14" fillId="14" borderId="0" xfId="0" applyNumberFormat="1" applyFont="1" applyFill="1" applyBorder="1" applyAlignment="1" applyProtection="1">
      <alignment horizontal="left"/>
    </xf>
    <xf numFmtId="171" fontId="14" fillId="14" borderId="0" xfId="0" applyNumberFormat="1" applyFont="1" applyFill="1" applyBorder="1" applyProtection="1"/>
    <xf numFmtId="183" fontId="14" fillId="14" borderId="0" xfId="0" applyNumberFormat="1" applyFont="1" applyFill="1" applyBorder="1" applyAlignment="1" applyProtection="1">
      <alignment horizontal="center"/>
    </xf>
    <xf numFmtId="0" fontId="15" fillId="14" borderId="0" xfId="0" applyFont="1" applyFill="1" applyBorder="1" applyProtection="1"/>
    <xf numFmtId="1" fontId="15" fillId="17" borderId="87" xfId="0" applyNumberFormat="1" applyFont="1" applyFill="1" applyBorder="1" applyProtection="1"/>
    <xf numFmtId="1" fontId="15" fillId="15" borderId="61" xfId="0" applyNumberFormat="1" applyFont="1" applyFill="1" applyBorder="1" applyAlignment="1" applyProtection="1">
      <alignment horizontal="center"/>
    </xf>
    <xf numFmtId="0" fontId="14" fillId="17" borderId="73" xfId="0" applyFont="1" applyFill="1" applyBorder="1" applyProtection="1"/>
    <xf numFmtId="0" fontId="15" fillId="14" borderId="123" xfId="0" applyFont="1" applyFill="1" applyBorder="1" applyAlignment="1" applyProtection="1"/>
    <xf numFmtId="0" fontId="15" fillId="17" borderId="45" xfId="0" applyFont="1" applyFill="1" applyBorder="1" applyProtection="1"/>
    <xf numFmtId="0" fontId="15" fillId="18" borderId="0" xfId="0" applyFont="1" applyFill="1" applyBorder="1" applyAlignment="1" applyProtection="1">
      <alignment horizontal="center" wrapText="1"/>
    </xf>
    <xf numFmtId="0" fontId="15" fillId="18" borderId="15" xfId="0" applyFont="1" applyFill="1" applyBorder="1" applyAlignment="1" applyProtection="1">
      <alignment horizontal="center" wrapText="1"/>
    </xf>
    <xf numFmtId="0" fontId="15" fillId="18" borderId="15" xfId="0" applyFont="1" applyFill="1" applyBorder="1" applyAlignment="1" applyProtection="1">
      <alignment horizontal="center"/>
    </xf>
    <xf numFmtId="0" fontId="15" fillId="14" borderId="123" xfId="0" applyFont="1" applyFill="1" applyBorder="1" applyProtection="1"/>
    <xf numFmtId="0" fontId="15" fillId="14" borderId="123" xfId="0" applyFont="1" applyFill="1" applyBorder="1" applyAlignment="1" applyProtection="1">
      <alignment wrapText="1"/>
    </xf>
    <xf numFmtId="2" fontId="15" fillId="8" borderId="131" xfId="0" applyNumberFormat="1" applyFont="1" applyFill="1" applyBorder="1" applyAlignment="1" applyProtection="1">
      <alignment horizontal="right"/>
    </xf>
    <xf numFmtId="10" fontId="15" fillId="8" borderId="105" xfId="9" applyNumberFormat="1" applyFont="1" applyFill="1" applyBorder="1" applyAlignment="1" applyProtection="1">
      <alignment horizontal="center"/>
    </xf>
    <xf numFmtId="165" fontId="15" fillId="8" borderId="148" xfId="0" applyNumberFormat="1" applyFont="1" applyFill="1" applyBorder="1" applyProtection="1"/>
    <xf numFmtId="0" fontId="14" fillId="18" borderId="45" xfId="0" applyFont="1" applyFill="1" applyBorder="1" applyAlignment="1" applyProtection="1">
      <alignment wrapText="1"/>
    </xf>
    <xf numFmtId="0" fontId="24" fillId="17" borderId="385" xfId="0" applyFont="1" applyFill="1" applyBorder="1" applyAlignment="1" applyProtection="1">
      <alignment wrapText="1"/>
    </xf>
    <xf numFmtId="0" fontId="14" fillId="18" borderId="386" xfId="0" applyFont="1" applyFill="1" applyBorder="1" applyAlignment="1" applyProtection="1"/>
    <xf numFmtId="165" fontId="15" fillId="15" borderId="387" xfId="0" applyNumberFormat="1" applyFont="1" applyFill="1" applyBorder="1" applyProtection="1"/>
    <xf numFmtId="1" fontId="15" fillId="23" borderId="360" xfId="0" applyNumberFormat="1" applyFont="1" applyFill="1" applyBorder="1" applyProtection="1"/>
    <xf numFmtId="165" fontId="15" fillId="23" borderId="387" xfId="0" applyNumberFormat="1" applyFont="1" applyFill="1" applyBorder="1" applyProtection="1"/>
    <xf numFmtId="0" fontId="14" fillId="18" borderId="386" xfId="0" applyFont="1" applyFill="1" applyBorder="1" applyProtection="1"/>
    <xf numFmtId="0" fontId="14" fillId="16" borderId="386" xfId="0" applyFont="1" applyFill="1" applyBorder="1" applyAlignment="1" applyProtection="1"/>
    <xf numFmtId="165" fontId="15" fillId="16" borderId="387" xfId="0" applyNumberFormat="1" applyFont="1" applyFill="1" applyBorder="1" applyProtection="1"/>
    <xf numFmtId="0" fontId="14" fillId="18" borderId="388" xfId="0" applyFont="1" applyFill="1" applyBorder="1" applyProtection="1"/>
    <xf numFmtId="171" fontId="14" fillId="23" borderId="389" xfId="0" applyNumberFormat="1" applyFont="1" applyFill="1" applyBorder="1" applyProtection="1"/>
    <xf numFmtId="183" fontId="14" fillId="23" borderId="390" xfId="0" applyNumberFormat="1" applyFont="1" applyFill="1" applyBorder="1" applyAlignment="1" applyProtection="1">
      <alignment horizontal="center"/>
    </xf>
    <xf numFmtId="0" fontId="14" fillId="14" borderId="152" xfId="0" applyFont="1" applyFill="1" applyBorder="1" applyProtection="1"/>
    <xf numFmtId="0" fontId="14" fillId="14" borderId="125" xfId="0" applyFont="1" applyFill="1" applyBorder="1" applyProtection="1"/>
    <xf numFmtId="0" fontId="14" fillId="14" borderId="125" xfId="0" applyFont="1" applyFill="1" applyBorder="1" applyAlignment="1" applyProtection="1">
      <alignment horizontal="center"/>
    </xf>
    <xf numFmtId="2" fontId="14" fillId="14" borderId="125" xfId="0" applyNumberFormat="1" applyFont="1" applyFill="1" applyBorder="1" applyAlignment="1" applyProtection="1">
      <alignment horizontal="left"/>
    </xf>
    <xf numFmtId="171" fontId="14" fillId="14" borderId="125" xfId="0" applyNumberFormat="1" applyFont="1" applyFill="1" applyBorder="1" applyProtection="1"/>
    <xf numFmtId="183" fontId="14" fillId="14" borderId="125" xfId="0" applyNumberFormat="1" applyFont="1" applyFill="1" applyBorder="1" applyAlignment="1" applyProtection="1">
      <alignment horizontal="center"/>
    </xf>
    <xf numFmtId="0" fontId="14" fillId="14" borderId="126" xfId="0" applyFont="1" applyFill="1" applyBorder="1" applyProtection="1"/>
    <xf numFmtId="0" fontId="15" fillId="18" borderId="45" xfId="0" applyFont="1" applyFill="1" applyBorder="1" applyAlignment="1" applyProtection="1"/>
    <xf numFmtId="0" fontId="15" fillId="18" borderId="124" xfId="0" applyFont="1" applyFill="1" applyBorder="1" applyAlignment="1" applyProtection="1">
      <alignment horizontal="center"/>
    </xf>
    <xf numFmtId="0" fontId="14" fillId="18" borderId="45" xfId="0" applyFont="1" applyFill="1" applyBorder="1" applyAlignment="1" applyProtection="1"/>
    <xf numFmtId="165" fontId="14" fillId="15" borderId="0" xfId="0" applyNumberFormat="1" applyFont="1" applyFill="1" applyBorder="1" applyAlignment="1" applyProtection="1"/>
    <xf numFmtId="165" fontId="14" fillId="15" borderId="48" xfId="0" applyNumberFormat="1" applyFont="1" applyFill="1" applyBorder="1" applyAlignment="1" applyProtection="1"/>
    <xf numFmtId="9" fontId="15" fillId="0" borderId="360" xfId="0" applyNumberFormat="1" applyFont="1" applyFill="1" applyBorder="1" applyProtection="1">
      <protection locked="0"/>
    </xf>
    <xf numFmtId="9" fontId="14" fillId="0" borderId="3" xfId="0" applyNumberFormat="1" applyFont="1" applyFill="1" applyBorder="1" applyAlignment="1" applyProtection="1">
      <alignment horizontal="center" vertical="center"/>
      <protection locked="0"/>
    </xf>
    <xf numFmtId="9" fontId="14" fillId="0" borderId="153" xfId="0" applyNumberFormat="1" applyFont="1" applyFill="1" applyBorder="1" applyAlignment="1" applyProtection="1">
      <alignment horizontal="center" vertical="center"/>
      <protection locked="0"/>
    </xf>
    <xf numFmtId="10" fontId="14" fillId="16" borderId="90" xfId="0" applyNumberFormat="1" applyFont="1" applyFill="1" applyBorder="1" applyAlignment="1" applyProtection="1">
      <alignment vertical="center"/>
    </xf>
    <xf numFmtId="10" fontId="14" fillId="16" borderId="154" xfId="0" applyNumberFormat="1" applyFont="1" applyFill="1" applyBorder="1" applyAlignment="1" applyProtection="1">
      <alignment vertical="center"/>
    </xf>
    <xf numFmtId="10" fontId="14" fillId="16" borderId="391" xfId="0" applyNumberFormat="1" applyFont="1" applyFill="1" applyBorder="1" applyAlignment="1" applyProtection="1">
      <alignment vertical="center"/>
    </xf>
    <xf numFmtId="9" fontId="14" fillId="21" borderId="346" xfId="0" applyNumberFormat="1" applyFont="1" applyFill="1" applyBorder="1" applyAlignment="1" applyProtection="1">
      <alignment vertical="center"/>
      <protection locked="0"/>
    </xf>
    <xf numFmtId="1" fontId="15" fillId="15" borderId="67" xfId="0" applyNumberFormat="1" applyFont="1" applyFill="1" applyBorder="1" applyAlignment="1" applyProtection="1">
      <alignment horizontal="center" vertical="center"/>
    </xf>
    <xf numFmtId="3" fontId="15" fillId="15" borderId="67" xfId="0" applyNumberFormat="1" applyFont="1" applyFill="1" applyBorder="1" applyAlignment="1" applyProtection="1">
      <alignment horizontal="center" vertical="center"/>
    </xf>
    <xf numFmtId="0" fontId="15" fillId="14" borderId="0" xfId="0" applyNumberFormat="1" applyFont="1" applyFill="1" applyBorder="1" applyAlignment="1" applyProtection="1">
      <alignment horizontal="left" vertical="center"/>
    </xf>
    <xf numFmtId="0" fontId="15" fillId="14" borderId="0" xfId="0" applyFont="1" applyFill="1" applyBorder="1" applyAlignment="1" applyProtection="1">
      <alignment horizontal="right" vertical="center" indent="1"/>
    </xf>
    <xf numFmtId="178" fontId="15" fillId="14" borderId="0" xfId="0" applyNumberFormat="1" applyFont="1" applyFill="1" applyBorder="1" applyAlignment="1" applyProtection="1">
      <alignment horizontal="center" vertical="center"/>
    </xf>
    <xf numFmtId="1" fontId="15" fillId="14" borderId="0" xfId="0" applyNumberFormat="1" applyFont="1" applyFill="1" applyBorder="1" applyAlignment="1" applyProtection="1">
      <alignment horizontal="center" vertical="center"/>
    </xf>
    <xf numFmtId="0" fontId="14" fillId="18" borderId="67" xfId="0" applyFont="1" applyFill="1" applyBorder="1" applyAlignment="1" applyProtection="1">
      <alignment horizontal="right" vertical="center" indent="1"/>
    </xf>
    <xf numFmtId="1" fontId="14" fillId="18" borderId="67" xfId="0" applyNumberFormat="1" applyFont="1" applyFill="1" applyBorder="1" applyAlignment="1" applyProtection="1">
      <alignment vertical="center"/>
    </xf>
    <xf numFmtId="0" fontId="14" fillId="18" borderId="131" xfId="0" applyNumberFormat="1" applyFont="1" applyFill="1" applyBorder="1" applyAlignment="1" applyProtection="1">
      <alignment horizontal="left" vertical="center"/>
    </xf>
    <xf numFmtId="0" fontId="14" fillId="18" borderId="155" xfId="0" applyFont="1" applyFill="1" applyBorder="1" applyAlignment="1" applyProtection="1">
      <alignment horizontal="right" vertical="center" indent="1"/>
    </xf>
    <xf numFmtId="1" fontId="14" fillId="15" borderId="129" xfId="0" applyNumberFormat="1" applyFont="1" applyFill="1" applyBorder="1" applyAlignment="1" applyProtection="1">
      <alignment horizontal="center" vertical="center"/>
    </xf>
    <xf numFmtId="0" fontId="14" fillId="18" borderId="129" xfId="0" applyFont="1" applyFill="1" applyBorder="1" applyAlignment="1" applyProtection="1">
      <alignment horizontal="right" vertical="center" indent="1"/>
    </xf>
    <xf numFmtId="0" fontId="15" fillId="18" borderId="129" xfId="0" applyFont="1" applyFill="1" applyBorder="1" applyAlignment="1" applyProtection="1">
      <alignment horizontal="center" vertical="center"/>
    </xf>
    <xf numFmtId="0" fontId="15" fillId="18" borderId="155" xfId="0" applyFont="1" applyFill="1" applyBorder="1" applyAlignment="1" applyProtection="1">
      <alignment horizontal="center" vertical="center"/>
    </xf>
    <xf numFmtId="0" fontId="15" fillId="8" borderId="156" xfId="0" applyFont="1" applyFill="1" applyBorder="1" applyAlignment="1" applyProtection="1">
      <alignment horizontal="right" vertical="center" indent="1"/>
    </xf>
    <xf numFmtId="1" fontId="15" fillId="8" borderId="156" xfId="0" applyNumberFormat="1" applyFont="1" applyFill="1" applyBorder="1" applyAlignment="1" applyProtection="1">
      <alignment horizontal="center" vertical="center"/>
    </xf>
    <xf numFmtId="1" fontId="14" fillId="18" borderId="67" xfId="0" applyNumberFormat="1" applyFont="1" applyFill="1" applyBorder="1" applyAlignment="1" applyProtection="1">
      <alignment horizontal="center" vertical="center"/>
    </xf>
    <xf numFmtId="0" fontId="15" fillId="16" borderId="156" xfId="0" applyFont="1" applyFill="1" applyBorder="1" applyAlignment="1" applyProtection="1">
      <alignment horizontal="right" vertical="center" indent="1"/>
    </xf>
    <xf numFmtId="3" fontId="15" fillId="18" borderId="133" xfId="0" applyNumberFormat="1" applyFont="1" applyFill="1" applyBorder="1" applyAlignment="1" applyProtection="1">
      <alignment horizontal="center" vertical="center"/>
    </xf>
    <xf numFmtId="3" fontId="14" fillId="15" borderId="157" xfId="0" applyNumberFormat="1" applyFont="1" applyFill="1" applyBorder="1" applyAlignment="1" applyProtection="1">
      <alignment horizontal="center" vertical="center"/>
    </xf>
    <xf numFmtId="3" fontId="15" fillId="18" borderId="133" xfId="2" applyNumberFormat="1" applyFont="1" applyFill="1" applyBorder="1" applyAlignment="1" applyProtection="1">
      <alignment horizontal="center" vertical="center"/>
    </xf>
    <xf numFmtId="0" fontId="14" fillId="18" borderId="158" xfId="0" applyFont="1" applyFill="1" applyBorder="1" applyAlignment="1" applyProtection="1">
      <alignment horizontal="right" vertical="center" indent="1"/>
    </xf>
    <xf numFmtId="3" fontId="15" fillId="18" borderId="148" xfId="2" applyNumberFormat="1" applyFont="1" applyFill="1" applyBorder="1" applyAlignment="1" applyProtection="1">
      <alignment horizontal="center" vertical="center"/>
    </xf>
    <xf numFmtId="0" fontId="15" fillId="18" borderId="158" xfId="0" applyFont="1" applyFill="1" applyBorder="1" applyAlignment="1" applyProtection="1">
      <alignment horizontal="center" vertical="center"/>
    </xf>
    <xf numFmtId="3" fontId="14" fillId="15" borderId="67" xfId="0" applyNumberFormat="1" applyFont="1" applyFill="1" applyBorder="1" applyAlignment="1" applyProtection="1">
      <alignment horizontal="center" vertical="center"/>
    </xf>
    <xf numFmtId="3" fontId="15" fillId="8" borderId="156" xfId="0" applyNumberFormat="1" applyFont="1" applyFill="1" applyBorder="1" applyAlignment="1" applyProtection="1">
      <alignment horizontal="center" vertical="center"/>
    </xf>
    <xf numFmtId="3" fontId="15" fillId="8" borderId="159" xfId="2" applyNumberFormat="1" applyFont="1" applyFill="1" applyBorder="1" applyAlignment="1" applyProtection="1">
      <alignment horizontal="center" vertical="center"/>
    </xf>
    <xf numFmtId="3" fontId="15" fillId="18" borderId="132" xfId="2" applyNumberFormat="1" applyFont="1" applyFill="1" applyBorder="1" applyAlignment="1" applyProtection="1">
      <alignment horizontal="center" vertical="center"/>
    </xf>
    <xf numFmtId="3" fontId="14" fillId="15" borderId="129" xfId="0" applyNumberFormat="1" applyFont="1" applyFill="1" applyBorder="1" applyAlignment="1" applyProtection="1">
      <alignment horizontal="center" vertical="center"/>
    </xf>
    <xf numFmtId="3" fontId="14" fillId="15" borderId="129" xfId="0" applyNumberFormat="1" applyFont="1" applyFill="1" applyBorder="1" applyAlignment="1" applyProtection="1">
      <alignment vertical="center"/>
    </xf>
    <xf numFmtId="3" fontId="15" fillId="8" borderId="159" xfId="0" applyNumberFormat="1" applyFont="1" applyFill="1" applyBorder="1" applyAlignment="1" applyProtection="1">
      <alignment horizontal="center" vertical="center"/>
    </xf>
    <xf numFmtId="0" fontId="15" fillId="8" borderId="74" xfId="0" applyNumberFormat="1" applyFont="1" applyFill="1" applyBorder="1" applyAlignment="1" applyProtection="1">
      <alignment horizontal="left" vertical="center"/>
    </xf>
    <xf numFmtId="0" fontId="15" fillId="8" borderId="160" xfId="0" applyFont="1" applyFill="1" applyBorder="1" applyAlignment="1" applyProtection="1">
      <alignment horizontal="right" vertical="center" indent="1"/>
    </xf>
    <xf numFmtId="3" fontId="15" fillId="8" borderId="150" xfId="0" applyNumberFormat="1" applyFont="1" applyFill="1" applyBorder="1" applyAlignment="1" applyProtection="1">
      <alignment horizontal="center" vertical="center"/>
    </xf>
    <xf numFmtId="3" fontId="15" fillId="8" borderId="161" xfId="0" applyNumberFormat="1" applyFont="1" applyFill="1" applyBorder="1" applyAlignment="1" applyProtection="1">
      <alignment horizontal="center" vertical="center"/>
    </xf>
    <xf numFmtId="0" fontId="14" fillId="0" borderId="348" xfId="0" applyFont="1" applyFill="1" applyBorder="1" applyAlignment="1" applyProtection="1">
      <alignment horizontal="center" vertical="center"/>
      <protection locked="0"/>
    </xf>
    <xf numFmtId="3" fontId="14" fillId="17" borderId="349" xfId="0" applyNumberFormat="1" applyFont="1" applyFill="1" applyBorder="1" applyAlignment="1" applyProtection="1">
      <alignment vertical="center" wrapText="1"/>
    </xf>
    <xf numFmtId="3" fontId="14" fillId="17" borderId="351" xfId="0" applyNumberFormat="1" applyFont="1" applyFill="1" applyBorder="1" applyAlignment="1" applyProtection="1">
      <alignment vertical="center" wrapText="1"/>
    </xf>
    <xf numFmtId="3" fontId="15" fillId="17" borderId="392" xfId="0" applyNumberFormat="1" applyFont="1" applyFill="1" applyBorder="1" applyAlignment="1" applyProtection="1">
      <alignment horizontal="center" vertical="center"/>
    </xf>
    <xf numFmtId="0" fontId="15" fillId="18" borderId="393" xfId="0" applyFont="1" applyFill="1" applyBorder="1" applyAlignment="1" applyProtection="1">
      <alignment horizontal="left" vertical="center"/>
    </xf>
    <xf numFmtId="3" fontId="14" fillId="18" borderId="392" xfId="0" applyNumberFormat="1" applyFont="1" applyFill="1" applyBorder="1" applyAlignment="1" applyProtection="1">
      <alignment horizontal="center" vertical="center"/>
    </xf>
    <xf numFmtId="0" fontId="14" fillId="18" borderId="394" xfId="0" applyNumberFormat="1" applyFont="1" applyFill="1" applyBorder="1" applyAlignment="1" applyProtection="1">
      <alignment horizontal="left" vertical="center"/>
    </xf>
    <xf numFmtId="1" fontId="15" fillId="18" borderId="395" xfId="2" applyNumberFormat="1" applyFont="1" applyFill="1" applyBorder="1" applyAlignment="1" applyProtection="1">
      <alignment horizontal="center" vertical="center"/>
    </xf>
    <xf numFmtId="0" fontId="15" fillId="16" borderId="396" xfId="0" applyNumberFormat="1" applyFont="1" applyFill="1" applyBorder="1" applyAlignment="1" applyProtection="1">
      <alignment horizontal="left" vertical="center"/>
    </xf>
    <xf numFmtId="1" fontId="15" fillId="8" borderId="397" xfId="2" applyNumberFormat="1" applyFont="1" applyFill="1" applyBorder="1" applyAlignment="1" applyProtection="1">
      <alignment horizontal="center" vertical="center"/>
    </xf>
    <xf numFmtId="0" fontId="15" fillId="18" borderId="393" xfId="0" applyNumberFormat="1" applyFont="1" applyFill="1" applyBorder="1" applyAlignment="1" applyProtection="1">
      <alignment horizontal="left" vertical="center"/>
    </xf>
    <xf numFmtId="1" fontId="15" fillId="18" borderId="392" xfId="2" applyNumberFormat="1" applyFont="1" applyFill="1" applyBorder="1" applyAlignment="1" applyProtection="1">
      <alignment horizontal="center" vertical="center"/>
    </xf>
    <xf numFmtId="0" fontId="15" fillId="8" borderId="396" xfId="0" applyNumberFormat="1" applyFont="1" applyFill="1" applyBorder="1" applyAlignment="1" applyProtection="1">
      <alignment horizontal="left" vertical="center"/>
    </xf>
    <xf numFmtId="0" fontId="15" fillId="8" borderId="398" xfId="0" applyNumberFormat="1" applyFont="1" applyFill="1" applyBorder="1" applyAlignment="1" applyProtection="1">
      <alignment horizontal="left" vertical="center"/>
    </xf>
    <xf numFmtId="1" fontId="15" fillId="8" borderId="397" xfId="0" applyNumberFormat="1" applyFont="1" applyFill="1" applyBorder="1" applyAlignment="1" applyProtection="1">
      <alignment horizontal="center" vertical="center"/>
    </xf>
    <xf numFmtId="0" fontId="15" fillId="5" borderId="399" xfId="0" applyNumberFormat="1" applyFont="1" applyFill="1" applyBorder="1" applyAlignment="1" applyProtection="1">
      <alignment horizontal="left" vertical="center"/>
    </xf>
    <xf numFmtId="1" fontId="15" fillId="5" borderId="400" xfId="0" applyNumberFormat="1" applyFont="1" applyFill="1" applyBorder="1" applyAlignment="1" applyProtection="1">
      <alignment horizontal="center" vertical="center"/>
    </xf>
    <xf numFmtId="1" fontId="15" fillId="8" borderId="401" xfId="0" applyNumberFormat="1" applyFont="1" applyFill="1" applyBorder="1" applyAlignment="1" applyProtection="1">
      <alignment horizontal="center" vertical="center"/>
    </xf>
    <xf numFmtId="0" fontId="15" fillId="8" borderId="402" xfId="0" applyNumberFormat="1" applyFont="1" applyFill="1" applyBorder="1" applyAlignment="1" applyProtection="1">
      <alignment horizontal="left" vertical="center"/>
    </xf>
    <xf numFmtId="0" fontId="15" fillId="8" borderId="403" xfId="0" applyFont="1" applyFill="1" applyBorder="1" applyAlignment="1" applyProtection="1">
      <alignment horizontal="right" vertical="center" indent="1"/>
    </xf>
    <xf numFmtId="1" fontId="15" fillId="8" borderId="404" xfId="0" applyNumberFormat="1" applyFont="1" applyFill="1" applyBorder="1" applyAlignment="1" applyProtection="1">
      <alignment horizontal="center" vertical="center"/>
    </xf>
    <xf numFmtId="1" fontId="15" fillId="8" borderId="405" xfId="0" applyNumberFormat="1" applyFont="1" applyFill="1" applyBorder="1" applyAlignment="1" applyProtection="1">
      <alignment horizontal="center" vertical="center"/>
    </xf>
    <xf numFmtId="1" fontId="14" fillId="17" borderId="349" xfId="0" applyNumberFormat="1" applyFont="1" applyFill="1" applyBorder="1" applyAlignment="1" applyProtection="1">
      <alignment vertical="center"/>
    </xf>
    <xf numFmtId="1" fontId="14" fillId="17" borderId="351" xfId="0" applyNumberFormat="1" applyFont="1" applyFill="1" applyBorder="1" applyAlignment="1" applyProtection="1">
      <alignment vertical="center"/>
    </xf>
    <xf numFmtId="1" fontId="15" fillId="17" borderId="392" xfId="0" applyNumberFormat="1" applyFont="1" applyFill="1" applyBorder="1" applyAlignment="1" applyProtection="1">
      <alignment horizontal="center" vertical="center"/>
    </xf>
    <xf numFmtId="1" fontId="15" fillId="18" borderId="392" xfId="0" applyNumberFormat="1" applyFont="1" applyFill="1" applyBorder="1" applyAlignment="1" applyProtection="1">
      <alignment horizontal="center" vertical="center"/>
    </xf>
    <xf numFmtId="0" fontId="14" fillId="14" borderId="343" xfId="0" applyFont="1" applyFill="1" applyBorder="1" applyAlignment="1" applyProtection="1">
      <alignment vertical="center"/>
    </xf>
    <xf numFmtId="0" fontId="27" fillId="14" borderId="344" xfId="0" applyFont="1" applyFill="1" applyBorder="1" applyAlignment="1" applyProtection="1">
      <alignment horizontal="left" vertical="center"/>
    </xf>
    <xf numFmtId="0" fontId="14" fillId="14" borderId="344" xfId="0" applyFont="1" applyFill="1" applyBorder="1" applyAlignment="1" applyProtection="1">
      <alignment horizontal="right" vertical="center" indent="1"/>
    </xf>
    <xf numFmtId="3" fontId="14" fillId="14" borderId="344" xfId="0" applyNumberFormat="1" applyFont="1" applyFill="1" applyBorder="1" applyAlignment="1" applyProtection="1">
      <alignment vertical="center"/>
    </xf>
    <xf numFmtId="0" fontId="14" fillId="14" borderId="345" xfId="0" applyFont="1" applyFill="1" applyBorder="1" applyAlignment="1" applyProtection="1">
      <alignment vertical="center"/>
    </xf>
    <xf numFmtId="0" fontId="14" fillId="14" borderId="346" xfId="0" applyFont="1" applyFill="1" applyBorder="1" applyAlignment="1" applyProtection="1">
      <alignment vertical="center"/>
    </xf>
    <xf numFmtId="0" fontId="14" fillId="14" borderId="347" xfId="0" applyFont="1" applyFill="1" applyBorder="1" applyAlignment="1" applyProtection="1">
      <alignment vertical="center"/>
    </xf>
    <xf numFmtId="0" fontId="14" fillId="14" borderId="406" xfId="0" applyFont="1" applyFill="1" applyBorder="1" applyAlignment="1" applyProtection="1">
      <alignment vertical="center"/>
    </xf>
    <xf numFmtId="0" fontId="14" fillId="14" borderId="352" xfId="0" applyFont="1" applyFill="1" applyBorder="1" applyAlignment="1" applyProtection="1">
      <alignment vertical="center"/>
    </xf>
    <xf numFmtId="1" fontId="14" fillId="14" borderId="352" xfId="0" applyNumberFormat="1" applyFont="1" applyFill="1" applyBorder="1" applyAlignment="1" applyProtection="1">
      <alignment vertical="center"/>
    </xf>
    <xf numFmtId="0" fontId="14" fillId="14" borderId="353" xfId="0" applyFont="1" applyFill="1" applyBorder="1" applyAlignment="1" applyProtection="1">
      <alignment vertical="center"/>
    </xf>
    <xf numFmtId="3" fontId="14" fillId="14" borderId="344" xfId="0" applyNumberFormat="1" applyFont="1" applyFill="1" applyBorder="1" applyAlignment="1" applyProtection="1">
      <alignment horizontal="center" vertical="center"/>
    </xf>
    <xf numFmtId="3" fontId="15" fillId="16" borderId="156" xfId="0" applyNumberFormat="1" applyFont="1" applyFill="1" applyBorder="1" applyProtection="1"/>
    <xf numFmtId="3" fontId="15" fillId="16" borderId="159" xfId="0" applyNumberFormat="1" applyFont="1" applyFill="1" applyBorder="1" applyProtection="1"/>
    <xf numFmtId="0" fontId="15" fillId="8" borderId="149" xfId="0" applyFont="1" applyFill="1" applyBorder="1" applyAlignment="1" applyProtection="1">
      <alignment horizontal="left"/>
    </xf>
    <xf numFmtId="0" fontId="15" fillId="16" borderId="163" xfId="0" applyFont="1" applyFill="1" applyBorder="1" applyAlignment="1" applyProtection="1">
      <alignment horizontal="left"/>
    </xf>
    <xf numFmtId="3" fontId="15" fillId="16" borderId="150" xfId="0" applyNumberFormat="1" applyFont="1" applyFill="1" applyBorder="1" applyProtection="1"/>
    <xf numFmtId="3" fontId="15" fillId="16" borderId="151" xfId="0" applyNumberFormat="1" applyFont="1" applyFill="1" applyBorder="1" applyProtection="1"/>
    <xf numFmtId="0" fontId="14" fillId="14" borderId="121" xfId="0" applyFont="1" applyFill="1" applyBorder="1" applyProtection="1"/>
    <xf numFmtId="0" fontId="19" fillId="14" borderId="121" xfId="0" applyFont="1" applyFill="1" applyBorder="1" applyAlignment="1" applyProtection="1">
      <alignment vertical="center"/>
    </xf>
    <xf numFmtId="0" fontId="13" fillId="14" borderId="121" xfId="0" applyFont="1" applyFill="1" applyBorder="1" applyAlignment="1" applyProtection="1">
      <alignment vertical="center"/>
    </xf>
    <xf numFmtId="0" fontId="15" fillId="14" borderId="124" xfId="0" applyFont="1" applyFill="1" applyBorder="1" applyProtection="1"/>
    <xf numFmtId="0" fontId="14" fillId="17" borderId="64" xfId="0" applyFont="1" applyFill="1" applyBorder="1" applyAlignment="1" applyProtection="1">
      <alignment horizontal="center" vertical="center"/>
    </xf>
    <xf numFmtId="0" fontId="14" fillId="0" borderId="15" xfId="0" applyFont="1" applyBorder="1" applyProtection="1">
      <protection locked="0"/>
    </xf>
    <xf numFmtId="2" fontId="14" fillId="15" borderId="130" xfId="0" applyNumberFormat="1" applyFont="1" applyFill="1" applyBorder="1" applyAlignment="1" applyProtection="1">
      <alignment horizontal="center"/>
    </xf>
    <xf numFmtId="4" fontId="14" fillId="15" borderId="65" xfId="0" applyNumberFormat="1" applyFont="1" applyFill="1" applyBorder="1" applyAlignment="1" applyProtection="1">
      <alignment horizontal="center"/>
    </xf>
    <xf numFmtId="1" fontId="14" fillId="15" borderId="164" xfId="0" applyNumberFormat="1" applyFont="1" applyFill="1" applyBorder="1" applyAlignment="1" applyProtection="1">
      <alignment horizontal="center"/>
    </xf>
    <xf numFmtId="1" fontId="14" fillId="15" borderId="157" xfId="2" applyNumberFormat="1" applyFont="1" applyFill="1" applyBorder="1" applyAlignment="1" applyProtection="1">
      <alignment horizontal="center"/>
    </xf>
    <xf numFmtId="0" fontId="15" fillId="16" borderId="149" xfId="0" applyFont="1" applyFill="1" applyBorder="1" applyAlignment="1" applyProtection="1">
      <alignment horizontal="left"/>
    </xf>
    <xf numFmtId="1" fontId="15" fillId="16" borderId="165" xfId="0" applyNumberFormat="1" applyFont="1" applyFill="1" applyBorder="1" applyAlignment="1" applyProtection="1">
      <alignment horizontal="center"/>
    </xf>
    <xf numFmtId="1" fontId="14" fillId="16" borderId="165" xfId="0" applyNumberFormat="1" applyFont="1" applyFill="1" applyBorder="1" applyAlignment="1" applyProtection="1">
      <alignment horizontal="center"/>
    </xf>
    <xf numFmtId="0" fontId="0" fillId="14" borderId="121" xfId="0" applyFill="1" applyBorder="1" applyAlignment="1" applyProtection="1">
      <alignment vertical="center"/>
    </xf>
    <xf numFmtId="0" fontId="13" fillId="14" borderId="122" xfId="0" applyFont="1" applyFill="1" applyBorder="1" applyAlignment="1" applyProtection="1">
      <alignment horizontal="left" vertical="center"/>
    </xf>
    <xf numFmtId="0" fontId="14" fillId="14" borderId="124" xfId="0" applyFont="1" applyFill="1" applyBorder="1" applyAlignment="1" applyProtection="1">
      <alignment horizontal="center" wrapText="1"/>
    </xf>
    <xf numFmtId="165" fontId="14" fillId="14" borderId="124" xfId="0" applyNumberFormat="1" applyFont="1" applyFill="1" applyBorder="1" applyProtection="1"/>
    <xf numFmtId="0" fontId="26" fillId="14" borderId="124" xfId="0" applyFont="1" applyFill="1" applyBorder="1" applyAlignment="1" applyProtection="1">
      <alignment horizontal="center"/>
    </xf>
    <xf numFmtId="0" fontId="26" fillId="14" borderId="124" xfId="0" applyFont="1" applyFill="1" applyBorder="1" applyAlignment="1" applyProtection="1">
      <alignment horizontal="center" wrapText="1"/>
    </xf>
    <xf numFmtId="44" fontId="14" fillId="14" borderId="124" xfId="2" applyFont="1" applyFill="1" applyBorder="1" applyProtection="1"/>
    <xf numFmtId="1" fontId="14" fillId="14" borderId="125" xfId="0" applyNumberFormat="1" applyFont="1" applyFill="1" applyBorder="1" applyProtection="1"/>
    <xf numFmtId="44" fontId="26" fillId="14" borderId="126" xfId="0" applyNumberFormat="1" applyFont="1" applyFill="1" applyBorder="1" applyAlignment="1" applyProtection="1">
      <alignment horizontal="center"/>
    </xf>
    <xf numFmtId="3" fontId="14" fillId="15" borderId="157" xfId="0" applyNumberFormat="1" applyFont="1" applyFill="1" applyBorder="1" applyAlignment="1" applyProtection="1">
      <alignment horizontal="center"/>
    </xf>
    <xf numFmtId="3" fontId="14" fillId="15" borderId="154" xfId="0" applyNumberFormat="1" applyFont="1" applyFill="1" applyBorder="1" applyAlignment="1" applyProtection="1">
      <alignment horizontal="center"/>
    </xf>
    <xf numFmtId="3" fontId="14" fillId="15" borderId="147" xfId="0" applyNumberFormat="1" applyFont="1" applyFill="1" applyBorder="1" applyAlignment="1" applyProtection="1">
      <alignment horizontal="center"/>
    </xf>
    <xf numFmtId="0" fontId="15" fillId="5" borderId="15" xfId="0" applyFont="1" applyFill="1" applyBorder="1" applyProtection="1"/>
    <xf numFmtId="9" fontId="47" fillId="17" borderId="15" xfId="10" applyFont="1" applyFill="1" applyBorder="1" applyAlignment="1" applyProtection="1">
      <alignment horizontal="center" wrapText="1"/>
    </xf>
    <xf numFmtId="1" fontId="15" fillId="16" borderId="15" xfId="10" applyNumberFormat="1" applyFont="1" applyFill="1" applyBorder="1" applyAlignment="1" applyProtection="1">
      <alignment horizontal="center"/>
    </xf>
    <xf numFmtId="0" fontId="15" fillId="16" borderId="78" xfId="0" applyFont="1" applyFill="1" applyBorder="1" applyProtection="1"/>
    <xf numFmtId="178" fontId="15" fillId="16" borderId="78" xfId="0" applyNumberFormat="1" applyFont="1" applyFill="1" applyBorder="1" applyProtection="1"/>
    <xf numFmtId="178" fontId="15" fillId="16" borderId="78" xfId="0" applyNumberFormat="1" applyFont="1" applyFill="1" applyBorder="1" applyAlignment="1" applyProtection="1">
      <alignment horizontal="center"/>
    </xf>
    <xf numFmtId="178" fontId="15" fillId="16" borderId="103" xfId="0" applyNumberFormat="1" applyFont="1" applyFill="1" applyBorder="1" applyAlignment="1" applyProtection="1">
      <alignment horizontal="center"/>
    </xf>
    <xf numFmtId="0" fontId="3" fillId="14" borderId="124" xfId="0" applyFont="1" applyFill="1" applyBorder="1" applyProtection="1"/>
    <xf numFmtId="0" fontId="9" fillId="14" borderId="124" xfId="0" applyFont="1" applyFill="1" applyBorder="1" applyAlignment="1" applyProtection="1">
      <alignment wrapText="1"/>
    </xf>
    <xf numFmtId="3" fontId="14" fillId="21" borderId="340" xfId="0" applyNumberFormat="1" applyFont="1" applyFill="1" applyBorder="1" applyProtection="1">
      <protection locked="0"/>
    </xf>
    <xf numFmtId="1" fontId="15" fillId="21" borderId="340" xfId="10" applyNumberFormat="1" applyFont="1" applyFill="1" applyBorder="1" applyProtection="1">
      <protection locked="0"/>
    </xf>
    <xf numFmtId="2" fontId="14" fillId="21" borderId="2" xfId="0" applyNumberFormat="1" applyFont="1" applyFill="1" applyBorder="1" applyAlignment="1" applyProtection="1">
      <alignment horizontal="center"/>
      <protection locked="0"/>
    </xf>
    <xf numFmtId="165" fontId="14" fillId="0" borderId="143" xfId="0" applyNumberFormat="1" applyFont="1" applyFill="1" applyBorder="1" applyProtection="1">
      <protection locked="0"/>
    </xf>
    <xf numFmtId="2" fontId="14" fillId="0" borderId="143" xfId="0" applyNumberFormat="1" applyFont="1" applyFill="1" applyBorder="1" applyProtection="1">
      <protection locked="0"/>
    </xf>
    <xf numFmtId="2" fontId="15" fillId="17" borderId="341" xfId="0" applyNumberFormat="1" applyFont="1" applyFill="1" applyBorder="1" applyAlignment="1" applyProtection="1">
      <alignment horizontal="right"/>
    </xf>
    <xf numFmtId="4" fontId="15" fillId="17" borderId="334" xfId="0" applyNumberFormat="1" applyFont="1" applyFill="1" applyBorder="1" applyProtection="1"/>
    <xf numFmtId="165" fontId="14" fillId="17" borderId="334" xfId="0" applyNumberFormat="1" applyFont="1" applyFill="1" applyBorder="1" applyProtection="1"/>
    <xf numFmtId="2" fontId="14" fillId="0" borderId="143" xfId="0" applyNumberFormat="1" applyFont="1" applyFill="1" applyBorder="1" applyAlignment="1" applyProtection="1">
      <alignment horizontal="left"/>
      <protection locked="0"/>
    </xf>
    <xf numFmtId="2" fontId="14" fillId="0" borderId="143" xfId="0" applyNumberFormat="1" applyFont="1" applyBorder="1" applyAlignment="1" applyProtection="1">
      <alignment horizontal="left"/>
      <protection locked="0"/>
    </xf>
    <xf numFmtId="2" fontId="14" fillId="0" borderId="143" xfId="0" applyNumberFormat="1" applyFont="1" applyBorder="1" applyProtection="1">
      <protection locked="0"/>
    </xf>
    <xf numFmtId="2" fontId="14" fillId="0" borderId="145" xfId="0" applyNumberFormat="1" applyFont="1" applyBorder="1" applyAlignment="1" applyProtection="1">
      <alignment horizontal="left"/>
      <protection locked="0"/>
    </xf>
    <xf numFmtId="2" fontId="14" fillId="0" borderId="145" xfId="0" applyNumberFormat="1" applyFont="1" applyBorder="1" applyProtection="1">
      <protection locked="0"/>
    </xf>
    <xf numFmtId="0" fontId="15" fillId="16" borderId="407" xfId="0" applyFont="1" applyFill="1" applyBorder="1" applyAlignment="1" applyProtection="1"/>
    <xf numFmtId="2" fontId="15" fillId="16" borderId="408" xfId="0" applyNumberFormat="1" applyFont="1" applyFill="1" applyBorder="1" applyProtection="1"/>
    <xf numFmtId="2" fontId="14" fillId="17" borderId="334" xfId="0" applyNumberFormat="1" applyFont="1" applyFill="1" applyBorder="1" applyProtection="1"/>
    <xf numFmtId="165" fontId="15" fillId="18" borderId="334" xfId="0" applyNumberFormat="1" applyFont="1" applyFill="1" applyBorder="1" applyProtection="1"/>
    <xf numFmtId="0" fontId="14" fillId="17" borderId="334" xfId="0" applyFont="1" applyFill="1" applyBorder="1" applyAlignment="1" applyProtection="1">
      <alignment horizontal="center"/>
    </xf>
    <xf numFmtId="0" fontId="15" fillId="16" borderId="366" xfId="0" applyFont="1" applyFill="1" applyBorder="1" applyProtection="1"/>
    <xf numFmtId="0" fontId="14" fillId="5" borderId="341" xfId="0" applyFont="1" applyFill="1" applyBorder="1" applyProtection="1"/>
    <xf numFmtId="2" fontId="14" fillId="5" borderId="334" xfId="0" applyNumberFormat="1" applyFont="1" applyFill="1" applyBorder="1" applyProtection="1"/>
    <xf numFmtId="0" fontId="15" fillId="16" borderId="407" xfId="0" applyFont="1" applyFill="1" applyBorder="1" applyProtection="1"/>
    <xf numFmtId="2" fontId="14" fillId="5" borderId="341" xfId="0" applyNumberFormat="1" applyFont="1" applyFill="1" applyBorder="1" applyAlignment="1" applyProtection="1">
      <alignment horizontal="center"/>
    </xf>
    <xf numFmtId="2" fontId="15" fillId="5" borderId="334" xfId="0" applyNumberFormat="1" applyFont="1" applyFill="1" applyBorder="1" applyProtection="1"/>
    <xf numFmtId="0" fontId="15" fillId="16" borderId="409" xfId="0" applyFont="1" applyFill="1" applyBorder="1" applyProtection="1"/>
    <xf numFmtId="2" fontId="15" fillId="16" borderId="410" xfId="0" applyNumberFormat="1" applyFont="1" applyFill="1" applyBorder="1" applyProtection="1"/>
    <xf numFmtId="2" fontId="15" fillId="16" borderId="402" xfId="0" applyNumberFormat="1" applyFont="1" applyFill="1" applyBorder="1" applyProtection="1"/>
    <xf numFmtId="2" fontId="14" fillId="16" borderId="411" xfId="0" applyNumberFormat="1" applyFont="1" applyFill="1" applyBorder="1" applyProtection="1"/>
    <xf numFmtId="0" fontId="14" fillId="16" borderId="411" xfId="0" applyFont="1" applyFill="1" applyBorder="1" applyProtection="1"/>
    <xf numFmtId="2" fontId="15" fillId="16" borderId="412" xfId="0" applyNumberFormat="1" applyFont="1" applyFill="1" applyBorder="1" applyProtection="1"/>
    <xf numFmtId="4" fontId="14" fillId="0" borderId="143" xfId="0" applyNumberFormat="1" applyFont="1" applyFill="1" applyBorder="1" applyProtection="1">
      <protection locked="0"/>
    </xf>
    <xf numFmtId="4" fontId="14" fillId="0" borderId="145" xfId="0" applyNumberFormat="1" applyFont="1" applyFill="1" applyBorder="1" applyProtection="1">
      <protection locked="0"/>
    </xf>
    <xf numFmtId="165" fontId="15" fillId="18" borderId="363" xfId="0" applyNumberFormat="1" applyFont="1" applyFill="1" applyBorder="1" applyProtection="1"/>
    <xf numFmtId="0" fontId="14" fillId="17" borderId="348" xfId="0" applyFont="1" applyFill="1" applyBorder="1" applyProtection="1"/>
    <xf numFmtId="2" fontId="15" fillId="18" borderId="334" xfId="0" applyNumberFormat="1" applyFont="1" applyFill="1" applyBorder="1" applyAlignment="1" applyProtection="1">
      <alignment horizontal="center" vertical="center" wrapText="1"/>
    </xf>
    <xf numFmtId="0" fontId="14" fillId="18" borderId="366" xfId="0" applyFont="1" applyFill="1" applyBorder="1" applyAlignment="1" applyProtection="1"/>
    <xf numFmtId="165" fontId="15" fillId="8" borderId="367" xfId="0" applyNumberFormat="1" applyFont="1" applyFill="1" applyBorder="1" applyProtection="1"/>
    <xf numFmtId="165" fontId="15" fillId="8" borderId="413" xfId="0" applyNumberFormat="1" applyFont="1" applyFill="1" applyBorder="1" applyProtection="1"/>
    <xf numFmtId="0" fontId="24" fillId="17" borderId="414" xfId="0" applyFont="1" applyFill="1" applyBorder="1" applyAlignment="1" applyProtection="1">
      <alignment wrapText="1"/>
    </xf>
    <xf numFmtId="165" fontId="15" fillId="15" borderId="369" xfId="0" applyNumberFormat="1" applyFont="1" applyFill="1" applyBorder="1" applyProtection="1"/>
    <xf numFmtId="0" fontId="14" fillId="18" borderId="366" xfId="0" applyFont="1" applyFill="1" applyBorder="1" applyProtection="1"/>
    <xf numFmtId="0" fontId="14" fillId="16" borderId="366" xfId="0" applyFont="1" applyFill="1" applyBorder="1" applyAlignment="1" applyProtection="1"/>
    <xf numFmtId="165" fontId="15" fillId="16" borderId="369" xfId="0" applyNumberFormat="1" applyFont="1" applyFill="1" applyBorder="1" applyProtection="1"/>
    <xf numFmtId="0" fontId="14" fillId="18" borderId="415" xfId="0" applyFont="1" applyFill="1" applyBorder="1" applyProtection="1"/>
    <xf numFmtId="2" fontId="14" fillId="18" borderId="416" xfId="0" applyNumberFormat="1" applyFont="1" applyFill="1" applyBorder="1" applyAlignment="1" applyProtection="1">
      <alignment horizontal="left"/>
    </xf>
    <xf numFmtId="171" fontId="14" fillId="15" borderId="417" xfId="0" applyNumberFormat="1" applyFont="1" applyFill="1" applyBorder="1" applyProtection="1"/>
    <xf numFmtId="183" fontId="14" fillId="15" borderId="380" xfId="0" applyNumberFormat="1" applyFont="1" applyFill="1" applyBorder="1" applyAlignment="1" applyProtection="1">
      <alignment horizontal="center"/>
    </xf>
    <xf numFmtId="183" fontId="14" fillId="15" borderId="413" xfId="0" applyNumberFormat="1" applyFont="1" applyFill="1" applyBorder="1" applyAlignment="1" applyProtection="1">
      <alignment horizontal="center"/>
    </xf>
    <xf numFmtId="0" fontId="15" fillId="17" borderId="341" xfId="0" applyFont="1" applyFill="1" applyBorder="1" applyAlignment="1" applyProtection="1">
      <alignment vertical="center"/>
    </xf>
    <xf numFmtId="0" fontId="14" fillId="17" borderId="61" xfId="0" applyFont="1" applyFill="1" applyBorder="1" applyProtection="1"/>
    <xf numFmtId="165" fontId="14" fillId="0" borderId="166" xfId="0" applyNumberFormat="1" applyFont="1" applyFill="1" applyBorder="1" applyProtection="1">
      <protection locked="0"/>
    </xf>
    <xf numFmtId="165" fontId="14" fillId="0" borderId="167" xfId="0" applyNumberFormat="1" applyFont="1" applyFill="1" applyBorder="1" applyProtection="1">
      <protection locked="0"/>
    </xf>
    <xf numFmtId="165" fontId="15" fillId="8" borderId="105" xfId="0" applyNumberFormat="1" applyFont="1" applyFill="1" applyBorder="1" applyProtection="1"/>
    <xf numFmtId="2" fontId="15" fillId="18" borderId="418" xfId="0" applyNumberFormat="1" applyFont="1" applyFill="1" applyBorder="1" applyAlignment="1" applyProtection="1">
      <alignment horizontal="center"/>
    </xf>
    <xf numFmtId="2" fontId="15" fillId="18" borderId="418" xfId="0" applyNumberFormat="1" applyFont="1" applyFill="1" applyBorder="1" applyAlignment="1" applyProtection="1">
      <alignment horizontal="center" wrapText="1"/>
    </xf>
    <xf numFmtId="0" fontId="15" fillId="18" borderId="418" xfId="0" applyFont="1" applyFill="1" applyBorder="1" applyAlignment="1" applyProtection="1">
      <alignment horizontal="center"/>
    </xf>
    <xf numFmtId="2" fontId="15" fillId="16" borderId="418" xfId="0" applyNumberFormat="1" applyFont="1" applyFill="1" applyBorder="1" applyAlignment="1" applyProtection="1">
      <alignment horizontal="center"/>
    </xf>
    <xf numFmtId="2" fontId="14" fillId="18" borderId="419" xfId="0" applyNumberFormat="1" applyFont="1" applyFill="1" applyBorder="1" applyAlignment="1" applyProtection="1">
      <alignment horizontal="left"/>
    </xf>
    <xf numFmtId="0" fontId="15" fillId="18" borderId="123" xfId="0" applyFont="1" applyFill="1" applyBorder="1" applyAlignment="1" applyProtection="1">
      <alignment wrapText="1"/>
    </xf>
    <xf numFmtId="0" fontId="15" fillId="18" borderId="124" xfId="0" applyFont="1" applyFill="1" applyBorder="1" applyAlignment="1" applyProtection="1">
      <alignment horizontal="center" wrapText="1"/>
    </xf>
    <xf numFmtId="0" fontId="15" fillId="18" borderId="123" xfId="0" applyFont="1" applyFill="1" applyBorder="1" applyProtection="1"/>
    <xf numFmtId="165" fontId="14" fillId="0" borderId="168" xfId="0" applyNumberFormat="1" applyFont="1" applyFill="1" applyBorder="1" applyProtection="1">
      <protection locked="0"/>
    </xf>
    <xf numFmtId="165" fontId="15" fillId="8" borderId="124" xfId="0" applyNumberFormat="1" applyFont="1" applyFill="1" applyBorder="1" applyProtection="1"/>
    <xf numFmtId="165" fontId="14" fillId="0" borderId="169" xfId="0" applyNumberFormat="1" applyFont="1" applyFill="1" applyBorder="1" applyProtection="1">
      <protection locked="0"/>
    </xf>
    <xf numFmtId="165" fontId="15" fillId="8" borderId="170" xfId="0" applyNumberFormat="1" applyFont="1" applyFill="1" applyBorder="1" applyProtection="1"/>
    <xf numFmtId="165" fontId="15" fillId="8" borderId="171" xfId="0" applyNumberFormat="1" applyFont="1" applyFill="1" applyBorder="1" applyProtection="1"/>
    <xf numFmtId="2" fontId="14" fillId="18" borderId="123" xfId="0" applyNumberFormat="1" applyFont="1" applyFill="1" applyBorder="1" applyAlignment="1" applyProtection="1">
      <alignment horizontal="center"/>
    </xf>
    <xf numFmtId="0" fontId="14" fillId="18" borderId="124" xfId="0" applyFont="1" applyFill="1" applyBorder="1" applyProtection="1"/>
    <xf numFmtId="0" fontId="25" fillId="18" borderId="420" xfId="0" applyFont="1" applyFill="1" applyBorder="1" applyAlignment="1" applyProtection="1">
      <alignment wrapText="1"/>
    </xf>
    <xf numFmtId="2" fontId="15" fillId="18" borderId="421" xfId="0" applyNumberFormat="1" applyFont="1" applyFill="1" applyBorder="1" applyAlignment="1" applyProtection="1">
      <alignment horizontal="center"/>
    </xf>
    <xf numFmtId="165" fontId="15" fillId="15" borderId="422" xfId="0" applyNumberFormat="1" applyFont="1" applyFill="1" applyBorder="1" applyProtection="1"/>
    <xf numFmtId="2" fontId="15" fillId="18" borderId="421" xfId="0" applyNumberFormat="1" applyFont="1" applyFill="1" applyBorder="1" applyAlignment="1" applyProtection="1">
      <alignment horizontal="center" wrapText="1"/>
    </xf>
    <xf numFmtId="165" fontId="15" fillId="23" borderId="422" xfId="0" applyNumberFormat="1" applyFont="1" applyFill="1" applyBorder="1" applyProtection="1"/>
    <xf numFmtId="0" fontId="15" fillId="18" borderId="421" xfId="0" applyFont="1" applyFill="1" applyBorder="1" applyAlignment="1" applyProtection="1">
      <alignment horizontal="center"/>
    </xf>
    <xf numFmtId="2" fontId="15" fillId="16" borderId="421" xfId="0" applyNumberFormat="1" applyFont="1" applyFill="1" applyBorder="1" applyAlignment="1" applyProtection="1">
      <alignment horizontal="center"/>
    </xf>
    <xf numFmtId="165" fontId="15" fillId="16" borderId="422" xfId="0" applyNumberFormat="1" applyFont="1" applyFill="1" applyBorder="1" applyProtection="1"/>
    <xf numFmtId="0" fontId="15" fillId="18" borderId="123" xfId="0" applyFont="1" applyFill="1" applyBorder="1" applyAlignment="1" applyProtection="1">
      <alignment horizontal="center" wrapText="1"/>
    </xf>
    <xf numFmtId="0" fontId="15" fillId="18" borderId="123" xfId="0" applyFont="1" applyFill="1" applyBorder="1" applyAlignment="1" applyProtection="1">
      <alignment horizontal="center"/>
    </xf>
    <xf numFmtId="165" fontId="14" fillId="18" borderId="123" xfId="0" applyNumberFormat="1" applyFont="1" applyFill="1" applyBorder="1" applyProtection="1"/>
    <xf numFmtId="165" fontId="14" fillId="18" borderId="124" xfId="0" applyNumberFormat="1" applyFont="1" applyFill="1" applyBorder="1" applyProtection="1"/>
    <xf numFmtId="0" fontId="14" fillId="17" borderId="172" xfId="0" applyFont="1" applyFill="1" applyBorder="1" applyProtection="1"/>
    <xf numFmtId="0" fontId="14" fillId="17" borderId="173" xfId="0" applyFont="1" applyFill="1" applyBorder="1" applyProtection="1"/>
    <xf numFmtId="2" fontId="14" fillId="18" borderId="423" xfId="0" applyNumberFormat="1" applyFont="1" applyFill="1" applyBorder="1" applyAlignment="1" applyProtection="1">
      <alignment horizontal="left"/>
    </xf>
    <xf numFmtId="183" fontId="14" fillId="23" borderId="424" xfId="0" applyNumberFormat="1" applyFont="1" applyFill="1" applyBorder="1" applyAlignment="1" applyProtection="1">
      <alignment horizontal="center"/>
    </xf>
    <xf numFmtId="0" fontId="49" fillId="24" borderId="348" xfId="21" applyFont="1" applyFill="1" applyBorder="1" applyAlignment="1" applyProtection="1">
      <alignment vertical="center" wrapText="1"/>
    </xf>
    <xf numFmtId="0" fontId="27" fillId="24" borderId="349" xfId="21" applyFont="1" applyFill="1" applyBorder="1" applyAlignment="1" applyProtection="1">
      <alignment vertical="center" wrapText="1"/>
    </xf>
    <xf numFmtId="0" fontId="27" fillId="24" borderId="351" xfId="21" applyFont="1" applyFill="1" applyBorder="1" applyAlignment="1" applyProtection="1">
      <alignment vertical="center" wrapText="1"/>
    </xf>
    <xf numFmtId="2" fontId="25" fillId="18" borderId="412" xfId="21" applyNumberFormat="1" applyFont="1" applyFill="1" applyBorder="1" applyProtection="1"/>
    <xf numFmtId="2" fontId="25" fillId="16" borderId="425" xfId="21" applyNumberFormat="1" applyFont="1" applyFill="1" applyBorder="1" applyProtection="1"/>
    <xf numFmtId="2" fontId="25" fillId="16" borderId="426" xfId="21" applyNumberFormat="1" applyFont="1" applyFill="1" applyBorder="1" applyProtection="1"/>
    <xf numFmtId="2" fontId="25" fillId="16" borderId="427" xfId="21" applyNumberFormat="1" applyFont="1" applyFill="1" applyBorder="1" applyProtection="1"/>
    <xf numFmtId="0" fontId="14" fillId="14" borderId="344" xfId="21" applyFont="1" applyFill="1" applyBorder="1" applyProtection="1"/>
    <xf numFmtId="0" fontId="14" fillId="14" borderId="0" xfId="21" applyFont="1" applyFill="1" applyBorder="1" applyProtection="1"/>
    <xf numFmtId="0" fontId="14" fillId="18" borderId="334" xfId="21" applyFont="1" applyFill="1" applyBorder="1" applyProtection="1"/>
    <xf numFmtId="165" fontId="15" fillId="17" borderId="334" xfId="0" applyNumberFormat="1" applyFont="1" applyFill="1" applyBorder="1" applyProtection="1"/>
    <xf numFmtId="3" fontId="15" fillId="14" borderId="0" xfId="0" applyNumberFormat="1" applyFont="1" applyFill="1" applyBorder="1" applyAlignment="1" applyProtection="1">
      <alignment horizontal="center" vertical="center"/>
    </xf>
    <xf numFmtId="0" fontId="27" fillId="14" borderId="0" xfId="0" applyNumberFormat="1" applyFont="1" applyFill="1" applyBorder="1" applyAlignment="1" applyProtection="1">
      <alignment horizontal="left" vertical="center"/>
    </xf>
    <xf numFmtId="1" fontId="15" fillId="0" borderId="18" xfId="0" applyNumberFormat="1" applyFont="1" applyBorder="1" applyProtection="1">
      <protection locked="0"/>
    </xf>
    <xf numFmtId="1" fontId="15" fillId="0" borderId="174" xfId="0" applyNumberFormat="1" applyFont="1" applyBorder="1" applyProtection="1">
      <protection locked="0"/>
    </xf>
    <xf numFmtId="2" fontId="15" fillId="16" borderId="428" xfId="0" applyNumberFormat="1" applyFont="1" applyFill="1" applyBorder="1" applyProtection="1"/>
    <xf numFmtId="2" fontId="14" fillId="18" borderId="129" xfId="0" applyNumberFormat="1" applyFont="1" applyFill="1" applyBorder="1" applyProtection="1"/>
    <xf numFmtId="2" fontId="14" fillId="18" borderId="157" xfId="0" applyNumberFormat="1" applyFont="1" applyFill="1" applyBorder="1" applyAlignment="1" applyProtection="1">
      <alignment horizontal="center"/>
    </xf>
    <xf numFmtId="0" fontId="14" fillId="18" borderId="157" xfId="0" applyFont="1" applyFill="1" applyBorder="1" applyProtection="1"/>
    <xf numFmtId="165" fontId="14" fillId="0" borderId="25" xfId="0" applyNumberFormat="1" applyFont="1" applyFill="1" applyBorder="1" applyProtection="1">
      <protection locked="0"/>
    </xf>
    <xf numFmtId="0" fontId="14" fillId="0" borderId="25" xfId="0" applyFont="1" applyFill="1" applyBorder="1" applyProtection="1">
      <protection locked="0"/>
    </xf>
    <xf numFmtId="4" fontId="14" fillId="15" borderId="105" xfId="0" applyNumberFormat="1" applyFont="1" applyFill="1" applyBorder="1" applyProtection="1"/>
    <xf numFmtId="10" fontId="14" fillId="18" borderId="157" xfId="0" applyNumberFormat="1" applyFont="1" applyFill="1" applyBorder="1" applyProtection="1"/>
    <xf numFmtId="10" fontId="14" fillId="0" borderId="25" xfId="0" applyNumberFormat="1" applyFont="1" applyFill="1" applyBorder="1" applyProtection="1">
      <protection locked="0"/>
    </xf>
    <xf numFmtId="2" fontId="14" fillId="0" borderId="56" xfId="0" applyNumberFormat="1" applyFont="1" applyFill="1" applyBorder="1" applyAlignment="1" applyProtection="1">
      <alignment horizontal="left"/>
      <protection locked="0"/>
    </xf>
    <xf numFmtId="2" fontId="14" fillId="0" borderId="56" xfId="0" applyNumberFormat="1" applyFont="1" applyFill="1" applyBorder="1" applyProtection="1">
      <protection locked="0"/>
    </xf>
    <xf numFmtId="0" fontId="15" fillId="17" borderId="0" xfId="0" applyFont="1" applyFill="1" applyBorder="1" applyAlignment="1" applyProtection="1">
      <alignment horizontal="center" vertical="center" wrapText="1"/>
    </xf>
    <xf numFmtId="2" fontId="15" fillId="17" borderId="0" xfId="0" applyNumberFormat="1" applyFont="1" applyFill="1" applyBorder="1" applyAlignment="1" applyProtection="1">
      <alignment horizontal="left"/>
    </xf>
    <xf numFmtId="171" fontId="15" fillId="17" borderId="0" xfId="0" applyNumberFormat="1" applyFont="1" applyFill="1" applyBorder="1" applyProtection="1"/>
    <xf numFmtId="0" fontId="15" fillId="17" borderId="334" xfId="0" applyFont="1" applyFill="1" applyBorder="1" applyAlignment="1" applyProtection="1">
      <alignment horizontal="center" vertical="center"/>
    </xf>
    <xf numFmtId="2" fontId="14" fillId="18" borderId="395" xfId="0" applyNumberFormat="1" applyFont="1" applyFill="1" applyBorder="1" applyProtection="1"/>
    <xf numFmtId="4" fontId="15" fillId="15" borderId="429" xfId="0" applyNumberFormat="1" applyFont="1" applyFill="1" applyBorder="1" applyProtection="1"/>
    <xf numFmtId="2" fontId="14" fillId="0" borderId="128" xfId="0" applyNumberFormat="1" applyFont="1" applyFill="1" applyBorder="1" applyProtection="1">
      <protection locked="0"/>
    </xf>
    <xf numFmtId="2" fontId="15" fillId="17" borderId="430" xfId="0" applyNumberFormat="1" applyFont="1" applyFill="1" applyBorder="1" applyAlignment="1" applyProtection="1">
      <alignment horizontal="center" vertical="center" wrapText="1"/>
    </xf>
    <xf numFmtId="0" fontId="15" fillId="17" borderId="430" xfId="0" applyFont="1" applyFill="1" applyBorder="1" applyAlignment="1" applyProtection="1">
      <alignment horizontal="center" wrapText="1"/>
    </xf>
    <xf numFmtId="0" fontId="15" fillId="17" borderId="430" xfId="0" applyFont="1" applyFill="1" applyBorder="1" applyProtection="1"/>
    <xf numFmtId="0" fontId="15" fillId="17" borderId="430" xfId="0" applyFont="1" applyFill="1" applyBorder="1" applyAlignment="1" applyProtection="1">
      <alignment wrapText="1"/>
    </xf>
    <xf numFmtId="2" fontId="15" fillId="18" borderId="87" xfId="0" applyNumberFormat="1" applyFont="1" applyFill="1" applyBorder="1" applyAlignment="1" applyProtection="1">
      <alignment horizontal="left" wrapText="1"/>
    </xf>
    <xf numFmtId="2" fontId="15" fillId="18" borderId="61" xfId="0" applyNumberFormat="1" applyFont="1" applyFill="1" applyBorder="1" applyAlignment="1" applyProtection="1">
      <alignment horizontal="left" wrapText="1"/>
    </xf>
    <xf numFmtId="2" fontId="15" fillId="18" borderId="73" xfId="0" applyNumberFormat="1" applyFont="1" applyFill="1" applyBorder="1" applyAlignment="1" applyProtection="1">
      <alignment horizontal="left" wrapText="1"/>
    </xf>
    <xf numFmtId="2" fontId="14" fillId="3" borderId="93" xfId="0" applyNumberFormat="1" applyFont="1" applyFill="1" applyBorder="1" applyAlignment="1" applyProtection="1">
      <alignment horizontal="left"/>
      <protection locked="0"/>
    </xf>
    <xf numFmtId="165" fontId="14" fillId="0" borderId="25" xfId="0" applyNumberFormat="1" applyFont="1" applyBorder="1" applyAlignment="1" applyProtection="1">
      <protection locked="0"/>
    </xf>
    <xf numFmtId="165" fontId="14" fillId="15" borderId="15" xfId="0" applyNumberFormat="1" applyFont="1" applyFill="1" applyBorder="1" applyAlignment="1" applyProtection="1"/>
    <xf numFmtId="165" fontId="14" fillId="0" borderId="25" xfId="0" applyNumberFormat="1" applyFont="1" applyBorder="1" applyProtection="1">
      <protection locked="0"/>
    </xf>
    <xf numFmtId="2" fontId="14" fillId="3" borderId="175" xfId="0" applyNumberFormat="1" applyFont="1" applyFill="1" applyBorder="1" applyAlignment="1" applyProtection="1">
      <alignment horizontal="left"/>
      <protection locked="0"/>
    </xf>
    <xf numFmtId="165" fontId="14" fillId="0" borderId="176" xfId="0" applyNumberFormat="1" applyFont="1" applyBorder="1" applyProtection="1">
      <protection locked="0"/>
    </xf>
    <xf numFmtId="165" fontId="14" fillId="15" borderId="47" xfId="0" applyNumberFormat="1" applyFont="1" applyFill="1" applyBorder="1" applyAlignment="1" applyProtection="1"/>
    <xf numFmtId="171" fontId="15" fillId="15" borderId="417" xfId="0" applyNumberFormat="1" applyFont="1" applyFill="1" applyBorder="1" applyProtection="1"/>
    <xf numFmtId="171" fontId="15" fillId="23" borderId="389" xfId="0" applyNumberFormat="1" applyFont="1" applyFill="1" applyBorder="1" applyProtection="1"/>
    <xf numFmtId="2" fontId="15" fillId="16" borderId="0" xfId="0" applyNumberFormat="1" applyFont="1" applyFill="1" applyBorder="1" applyProtection="1"/>
    <xf numFmtId="0" fontId="14" fillId="16" borderId="0" xfId="0" applyFont="1" applyFill="1" applyBorder="1" applyProtection="1"/>
    <xf numFmtId="0" fontId="0" fillId="14" borderId="0" xfId="0" applyFill="1" applyBorder="1" applyProtection="1"/>
    <xf numFmtId="0" fontId="14" fillId="19" borderId="0" xfId="0" applyFont="1" applyFill="1" applyBorder="1" applyProtection="1"/>
    <xf numFmtId="167" fontId="14" fillId="19" borderId="0" xfId="0" applyNumberFormat="1" applyFont="1" applyFill="1" applyBorder="1" applyAlignment="1" applyProtection="1">
      <alignment horizontal="center"/>
    </xf>
    <xf numFmtId="167" fontId="24" fillId="19" borderId="0" xfId="0" applyNumberFormat="1" applyFont="1" applyFill="1" applyBorder="1" applyAlignment="1" applyProtection="1">
      <alignment horizontal="center"/>
    </xf>
    <xf numFmtId="0" fontId="14" fillId="19" borderId="106" xfId="0" applyFont="1" applyFill="1" applyBorder="1" applyProtection="1"/>
    <xf numFmtId="0" fontId="14" fillId="19" borderId="107" xfId="0" applyFont="1" applyFill="1" applyBorder="1" applyProtection="1"/>
    <xf numFmtId="0" fontId="14" fillId="20" borderId="344" xfId="0" applyFont="1" applyFill="1" applyBorder="1" applyProtection="1"/>
    <xf numFmtId="0" fontId="14" fillId="20" borderId="0" xfId="0" applyFont="1" applyFill="1" applyBorder="1" applyProtection="1"/>
    <xf numFmtId="0" fontId="15" fillId="19" borderId="0" xfId="0" applyFont="1" applyFill="1" applyBorder="1" applyAlignment="1" applyProtection="1">
      <alignment horizontal="center"/>
    </xf>
    <xf numFmtId="10" fontId="14" fillId="0" borderId="177" xfId="0" applyNumberFormat="1" applyFont="1" applyFill="1" applyBorder="1" applyAlignment="1" applyProtection="1">
      <alignment horizontal="center" wrapText="1"/>
      <protection locked="0"/>
    </xf>
    <xf numFmtId="10" fontId="14" fillId="0" borderId="177" xfId="0" applyNumberFormat="1" applyFont="1" applyFill="1" applyBorder="1" applyAlignment="1" applyProtection="1">
      <alignment horizontal="center"/>
      <protection locked="0"/>
    </xf>
    <xf numFmtId="10" fontId="14" fillId="3" borderId="178" xfId="2" applyNumberFormat="1" applyFont="1" applyFill="1" applyBorder="1" applyAlignment="1" applyProtection="1">
      <alignment horizontal="center"/>
      <protection locked="0"/>
    </xf>
    <xf numFmtId="10" fontId="14" fillId="3" borderId="21" xfId="2" applyNumberFormat="1" applyFont="1" applyFill="1" applyBorder="1" applyAlignment="1" applyProtection="1">
      <alignment horizontal="center"/>
      <protection locked="0"/>
    </xf>
    <xf numFmtId="0" fontId="15" fillId="16" borderId="0" xfId="0" applyFont="1" applyFill="1" applyBorder="1" applyProtection="1"/>
    <xf numFmtId="1" fontId="15" fillId="21" borderId="179" xfId="0" applyNumberFormat="1" applyFont="1" applyFill="1" applyBorder="1" applyAlignment="1" applyProtection="1">
      <alignment horizontal="center"/>
      <protection locked="0"/>
    </xf>
    <xf numFmtId="9" fontId="15" fillId="21" borderId="180" xfId="0" applyNumberFormat="1" applyFont="1" applyFill="1" applyBorder="1" applyAlignment="1" applyProtection="1">
      <alignment horizontal="center"/>
      <protection locked="0"/>
    </xf>
    <xf numFmtId="0" fontId="15" fillId="21" borderId="94" xfId="0" applyFont="1" applyFill="1" applyBorder="1" applyAlignment="1" applyProtection="1">
      <alignment horizontal="center"/>
      <protection locked="0"/>
    </xf>
    <xf numFmtId="184" fontId="15" fillId="15" borderId="432" xfId="0" quotePrefix="1" applyNumberFormat="1" applyFont="1" applyFill="1" applyBorder="1" applyAlignment="1" applyProtection="1">
      <alignment horizontal="center" vertical="center"/>
    </xf>
    <xf numFmtId="184" fontId="15" fillId="15" borderId="433" xfId="0" quotePrefix="1" applyNumberFormat="1" applyFont="1" applyFill="1" applyBorder="1" applyAlignment="1" applyProtection="1">
      <alignment horizontal="center" vertical="center"/>
    </xf>
    <xf numFmtId="184" fontId="15" fillId="15" borderId="432" xfId="0" applyNumberFormat="1" applyFont="1" applyFill="1" applyBorder="1" applyAlignment="1" applyProtection="1">
      <alignment horizontal="center" vertical="center"/>
    </xf>
    <xf numFmtId="184" fontId="15" fillId="15" borderId="433" xfId="0" applyNumberFormat="1" applyFont="1" applyFill="1" applyBorder="1" applyAlignment="1" applyProtection="1">
      <alignment horizontal="center" vertical="center"/>
    </xf>
    <xf numFmtId="184" fontId="15" fillId="15" borderId="434" xfId="0" applyNumberFormat="1" applyFont="1" applyFill="1" applyBorder="1" applyAlignment="1" applyProtection="1">
      <alignment horizontal="center" vertical="center"/>
    </xf>
    <xf numFmtId="0" fontId="14" fillId="14" borderId="343" xfId="0" applyFont="1" applyFill="1" applyBorder="1" applyProtection="1"/>
    <xf numFmtId="0" fontId="14" fillId="14" borderId="344" xfId="0" applyFont="1" applyFill="1" applyBorder="1" applyProtection="1"/>
    <xf numFmtId="0" fontId="14" fillId="14" borderId="345" xfId="0" applyFont="1" applyFill="1" applyBorder="1" applyProtection="1"/>
    <xf numFmtId="0" fontId="0" fillId="25" borderId="0" xfId="0" applyFill="1" applyAlignment="1" applyProtection="1">
      <alignment horizontal="left" vertical="top" wrapText="1"/>
    </xf>
    <xf numFmtId="0" fontId="14" fillId="14" borderId="346" xfId="0" applyFont="1" applyFill="1" applyBorder="1" applyProtection="1"/>
    <xf numFmtId="0" fontId="27" fillId="14" borderId="0" xfId="0" applyFont="1" applyFill="1" applyBorder="1" applyProtection="1"/>
    <xf numFmtId="0" fontId="14" fillId="14" borderId="347" xfId="0" applyFont="1" applyFill="1" applyBorder="1" applyProtection="1"/>
    <xf numFmtId="0" fontId="37" fillId="14" borderId="347" xfId="0" applyFont="1" applyFill="1" applyBorder="1" applyProtection="1"/>
    <xf numFmtId="0" fontId="37" fillId="0" borderId="0" xfId="0" applyFont="1" applyBorder="1" applyProtection="1"/>
    <xf numFmtId="0" fontId="15" fillId="14" borderId="0" xfId="0" applyFont="1" applyFill="1" applyProtection="1"/>
    <xf numFmtId="0" fontId="15" fillId="14" borderId="0" xfId="0" applyFont="1" applyFill="1" applyBorder="1" applyAlignment="1" applyProtection="1">
      <alignment horizontal="center"/>
    </xf>
    <xf numFmtId="0" fontId="15" fillId="0" borderId="181" xfId="0" applyFont="1" applyBorder="1" applyProtection="1"/>
    <xf numFmtId="0" fontId="15" fillId="0" borderId="182" xfId="0" applyFont="1" applyBorder="1" applyProtection="1"/>
    <xf numFmtId="0" fontId="15" fillId="26" borderId="183" xfId="0" applyFont="1" applyFill="1" applyBorder="1" applyProtection="1"/>
    <xf numFmtId="0" fontId="15" fillId="26" borderId="115" xfId="0" applyFont="1" applyFill="1" applyBorder="1" applyProtection="1"/>
    <xf numFmtId="0" fontId="15" fillId="26" borderId="184" xfId="0" applyFont="1" applyFill="1" applyBorder="1" applyProtection="1"/>
    <xf numFmtId="0" fontId="15" fillId="26" borderId="75" xfId="0" applyFont="1" applyFill="1" applyBorder="1" applyProtection="1"/>
    <xf numFmtId="0" fontId="15" fillId="26" borderId="185" xfId="0" applyFont="1" applyFill="1" applyBorder="1" applyProtection="1"/>
    <xf numFmtId="0" fontId="15" fillId="26" borderId="82" xfId="0" applyFont="1" applyFill="1" applyBorder="1" applyProtection="1"/>
    <xf numFmtId="0" fontId="15" fillId="10" borderId="184" xfId="0" applyFont="1" applyFill="1" applyBorder="1" applyProtection="1"/>
    <xf numFmtId="0" fontId="15" fillId="10" borderId="75" xfId="0" applyFont="1" applyFill="1" applyBorder="1" applyProtection="1"/>
    <xf numFmtId="0" fontId="15" fillId="10" borderId="184" xfId="0" applyFont="1" applyFill="1" applyBorder="1" applyAlignment="1" applyProtection="1">
      <alignment horizontal="left"/>
    </xf>
    <xf numFmtId="0" fontId="15" fillId="10" borderId="185" xfId="0" applyFont="1" applyFill="1" applyBorder="1" applyProtection="1"/>
    <xf numFmtId="0" fontId="15" fillId="10" borderId="82" xfId="0" applyFont="1" applyFill="1" applyBorder="1" applyProtection="1"/>
    <xf numFmtId="0" fontId="15" fillId="0" borderId="181" xfId="0" applyFont="1" applyFill="1" applyBorder="1" applyProtection="1"/>
    <xf numFmtId="0" fontId="15" fillId="0" borderId="182" xfId="0" applyFont="1" applyFill="1" applyBorder="1" applyProtection="1"/>
    <xf numFmtId="0" fontId="14" fillId="0" borderId="346" xfId="0" applyFont="1" applyBorder="1" applyProtection="1"/>
    <xf numFmtId="0" fontId="14" fillId="0" borderId="347" xfId="0" applyFont="1" applyBorder="1" applyProtection="1"/>
    <xf numFmtId="0" fontId="14" fillId="25" borderId="0" xfId="0" applyFont="1" applyFill="1" applyAlignment="1" applyProtection="1">
      <alignment horizontal="left" vertical="top" wrapText="1"/>
    </xf>
    <xf numFmtId="0" fontId="14" fillId="0" borderId="406" xfId="0" applyFont="1" applyBorder="1" applyProtection="1"/>
    <xf numFmtId="0" fontId="14" fillId="0" borderId="352" xfId="0" applyFont="1" applyBorder="1" applyProtection="1"/>
    <xf numFmtId="0" fontId="14" fillId="0" borderId="353" xfId="0" applyFont="1" applyBorder="1" applyProtection="1"/>
    <xf numFmtId="0" fontId="21" fillId="14" borderId="343" xfId="0" applyFont="1" applyFill="1" applyBorder="1" applyAlignment="1" applyProtection="1">
      <alignment vertical="center"/>
    </xf>
    <xf numFmtId="2" fontId="21" fillId="14" borderId="344" xfId="0" applyNumberFormat="1" applyFont="1" applyFill="1" applyBorder="1" applyAlignment="1" applyProtection="1">
      <alignment vertical="center"/>
    </xf>
    <xf numFmtId="0" fontId="14" fillId="14" borderId="344" xfId="0" applyFont="1" applyFill="1" applyBorder="1" applyAlignment="1" applyProtection="1">
      <alignment horizontal="left" vertical="center"/>
    </xf>
    <xf numFmtId="171" fontId="14" fillId="14" borderId="435" xfId="0" applyNumberFormat="1" applyFont="1" applyFill="1" applyBorder="1" applyAlignment="1" applyProtection="1">
      <alignment horizontal="left" vertical="center"/>
    </xf>
    <xf numFmtId="0" fontId="21" fillId="14" borderId="345" xfId="0" applyFont="1" applyFill="1" applyBorder="1" applyAlignment="1" applyProtection="1">
      <alignment vertical="center"/>
    </xf>
    <xf numFmtId="0" fontId="21" fillId="0" borderId="0" xfId="0" applyFont="1" applyFill="1" applyAlignment="1" applyProtection="1">
      <alignment vertical="center"/>
    </xf>
    <xf numFmtId="0" fontId="21" fillId="0" borderId="0" xfId="0" applyFont="1" applyFill="1" applyBorder="1" applyAlignment="1" applyProtection="1">
      <alignment vertical="center"/>
    </xf>
    <xf numFmtId="0" fontId="15" fillId="17" borderId="436" xfId="0" applyFont="1" applyFill="1" applyBorder="1" applyAlignment="1" applyProtection="1">
      <alignment horizontal="left" vertical="center"/>
    </xf>
    <xf numFmtId="0" fontId="15" fillId="15" borderId="437" xfId="0" applyFont="1" applyFill="1" applyBorder="1" applyAlignment="1" applyProtection="1">
      <alignment horizontal="center" vertical="center"/>
    </xf>
    <xf numFmtId="0" fontId="15" fillId="15" borderId="438" xfId="0" applyFont="1" applyFill="1" applyBorder="1" applyAlignment="1" applyProtection="1">
      <alignment horizontal="center" vertical="center"/>
    </xf>
    <xf numFmtId="0" fontId="15" fillId="17" borderId="439" xfId="0" applyFont="1" applyFill="1" applyBorder="1" applyAlignment="1" applyProtection="1">
      <alignment horizontal="center" vertical="center"/>
    </xf>
    <xf numFmtId="0" fontId="0" fillId="14" borderId="347" xfId="0" applyFill="1" applyBorder="1" applyAlignment="1" applyProtection="1">
      <alignment horizontal="center" vertical="center"/>
    </xf>
    <xf numFmtId="0" fontId="14" fillId="0" borderId="0" xfId="0" applyFont="1" applyFill="1" applyBorder="1" applyAlignment="1" applyProtection="1">
      <alignment vertical="center"/>
    </xf>
    <xf numFmtId="0" fontId="15" fillId="18" borderId="431" xfId="0" applyFont="1" applyFill="1" applyBorder="1" applyAlignment="1" applyProtection="1">
      <alignment horizontal="left" vertical="center" indent="1"/>
    </xf>
    <xf numFmtId="1" fontId="15" fillId="15" borderId="130" xfId="2" applyNumberFormat="1" applyFont="1" applyFill="1" applyBorder="1" applyAlignment="1" applyProtection="1">
      <alignment horizontal="right" vertical="center"/>
    </xf>
    <xf numFmtId="1" fontId="15" fillId="15" borderId="67" xfId="2" applyNumberFormat="1" applyFont="1" applyFill="1" applyBorder="1" applyAlignment="1" applyProtection="1">
      <alignment horizontal="right" vertical="center"/>
    </xf>
    <xf numFmtId="1" fontId="15" fillId="18" borderId="129" xfId="2" applyNumberFormat="1" applyFont="1" applyFill="1" applyBorder="1" applyAlignment="1" applyProtection="1">
      <alignment horizontal="right" vertical="center"/>
    </xf>
    <xf numFmtId="0" fontId="14" fillId="18" borderId="431" xfId="0" applyFont="1" applyFill="1" applyBorder="1" applyAlignment="1" applyProtection="1">
      <alignment horizontal="left" vertical="center" indent="1"/>
    </xf>
    <xf numFmtId="1" fontId="14" fillId="15" borderId="129" xfId="0" applyNumberFormat="1" applyFont="1" applyFill="1" applyBorder="1" applyAlignment="1" applyProtection="1">
      <alignment horizontal="right" vertical="center"/>
    </xf>
    <xf numFmtId="1" fontId="14" fillId="18" borderId="129" xfId="0" applyNumberFormat="1" applyFont="1" applyFill="1" applyBorder="1" applyAlignment="1" applyProtection="1">
      <alignment horizontal="right" vertical="center"/>
    </xf>
    <xf numFmtId="0" fontId="21" fillId="14" borderId="347" xfId="0" applyFont="1" applyFill="1" applyBorder="1" applyAlignment="1" applyProtection="1">
      <alignment vertical="center"/>
    </xf>
    <xf numFmtId="1" fontId="14" fillId="18" borderId="0" xfId="0" applyNumberFormat="1" applyFont="1" applyFill="1" applyBorder="1" applyAlignment="1" applyProtection="1">
      <alignment horizontal="right" vertical="center"/>
    </xf>
    <xf numFmtId="1" fontId="14" fillId="18" borderId="129" xfId="2" applyNumberFormat="1" applyFont="1" applyFill="1" applyBorder="1" applyAlignment="1" applyProtection="1">
      <alignment horizontal="right" vertical="center"/>
    </xf>
    <xf numFmtId="0" fontId="14" fillId="18" borderId="394" xfId="0" applyFont="1" applyFill="1" applyBorder="1" applyAlignment="1" applyProtection="1">
      <alignment horizontal="left" vertical="center" indent="1"/>
    </xf>
    <xf numFmtId="0" fontId="14" fillId="0" borderId="0" xfId="0" applyFont="1" applyFill="1" applyBorder="1" applyAlignment="1" applyProtection="1">
      <alignment vertical="center" wrapText="1"/>
    </xf>
    <xf numFmtId="1" fontId="14" fillId="15" borderId="0" xfId="0" applyNumberFormat="1" applyFont="1" applyFill="1" applyBorder="1" applyAlignment="1" applyProtection="1">
      <alignment horizontal="right" vertical="center"/>
    </xf>
    <xf numFmtId="0" fontId="21" fillId="14" borderId="346" xfId="0" applyFont="1" applyFill="1" applyBorder="1" applyAlignment="1" applyProtection="1">
      <alignment vertical="center"/>
    </xf>
    <xf numFmtId="1" fontId="15" fillId="15" borderId="129" xfId="0" applyNumberFormat="1" applyFont="1" applyFill="1" applyBorder="1" applyAlignment="1" applyProtection="1">
      <alignment horizontal="right" vertical="center"/>
    </xf>
    <xf numFmtId="0" fontId="26" fillId="0" borderId="0" xfId="0" applyFont="1" applyFill="1" applyAlignment="1" applyProtection="1">
      <alignment horizontal="center" vertical="center"/>
    </xf>
    <xf numFmtId="0" fontId="15" fillId="16" borderId="431" xfId="0" applyFont="1" applyFill="1" applyBorder="1" applyAlignment="1" applyProtection="1">
      <alignment horizontal="left" vertical="center" indent="1"/>
    </xf>
    <xf numFmtId="1" fontId="15" fillId="16" borderId="129" xfId="0" applyNumberFormat="1" applyFont="1" applyFill="1" applyBorder="1" applyAlignment="1" applyProtection="1">
      <alignment horizontal="right" vertical="center"/>
    </xf>
    <xf numFmtId="1" fontId="15" fillId="16" borderId="129" xfId="2" applyNumberFormat="1" applyFont="1" applyFill="1" applyBorder="1" applyAlignment="1" applyProtection="1">
      <alignment horizontal="right" vertical="center"/>
    </xf>
    <xf numFmtId="0" fontId="26" fillId="0" borderId="0" xfId="0" applyFont="1" applyFill="1" applyBorder="1" applyAlignment="1" applyProtection="1">
      <alignment horizontal="center" vertical="center"/>
    </xf>
    <xf numFmtId="0" fontId="15" fillId="8" borderId="396" xfId="0" applyFont="1" applyFill="1" applyBorder="1" applyAlignment="1" applyProtection="1">
      <alignment horizontal="left" vertical="center" indent="1"/>
    </xf>
    <xf numFmtId="1" fontId="15" fillId="8" borderId="156" xfId="0" applyNumberFormat="1" applyFont="1" applyFill="1" applyBorder="1" applyAlignment="1" applyProtection="1">
      <alignment horizontal="right" vertical="center"/>
    </xf>
    <xf numFmtId="1" fontId="15" fillId="16" borderId="156" xfId="0" applyNumberFormat="1" applyFont="1" applyFill="1" applyBorder="1" applyAlignment="1" applyProtection="1">
      <alignment horizontal="right" vertical="center"/>
    </xf>
    <xf numFmtId="0" fontId="15" fillId="8" borderId="440" xfId="0" applyFont="1" applyFill="1" applyBorder="1" applyAlignment="1" applyProtection="1">
      <alignment horizontal="left" vertical="center" indent="1"/>
    </xf>
    <xf numFmtId="1" fontId="15" fillId="8" borderId="186" xfId="0" applyNumberFormat="1" applyFont="1" applyFill="1" applyBorder="1" applyAlignment="1" applyProtection="1">
      <alignment horizontal="right" vertical="center"/>
    </xf>
    <xf numFmtId="1" fontId="15" fillId="18" borderId="67" xfId="0" applyNumberFormat="1" applyFont="1" applyFill="1" applyBorder="1" applyAlignment="1" applyProtection="1">
      <alignment horizontal="right" vertical="center"/>
    </xf>
    <xf numFmtId="0" fontId="14" fillId="18" borderId="393" xfId="0" applyFont="1" applyFill="1" applyBorder="1" applyAlignment="1" applyProtection="1">
      <alignment horizontal="left" vertical="center" indent="1"/>
    </xf>
    <xf numFmtId="1" fontId="14" fillId="15" borderId="67" xfId="0" applyNumberFormat="1" applyFont="1" applyFill="1" applyBorder="1" applyAlignment="1" applyProtection="1">
      <alignment horizontal="right" vertical="center"/>
    </xf>
    <xf numFmtId="1" fontId="14" fillId="15" borderId="39" xfId="0" applyNumberFormat="1" applyFont="1" applyFill="1" applyBorder="1" applyAlignment="1" applyProtection="1">
      <alignment horizontal="right" vertical="center"/>
    </xf>
    <xf numFmtId="1" fontId="14" fillId="18" borderId="67" xfId="0" applyNumberFormat="1" applyFont="1" applyFill="1" applyBorder="1" applyAlignment="1" applyProtection="1">
      <alignment horizontal="right" vertical="center"/>
    </xf>
    <xf numFmtId="1" fontId="14" fillId="14" borderId="187" xfId="0" applyNumberFormat="1" applyFont="1" applyFill="1" applyBorder="1" applyAlignment="1" applyProtection="1">
      <alignment horizontal="right" vertical="center"/>
    </xf>
    <xf numFmtId="1" fontId="14" fillId="14" borderId="39" xfId="0" applyNumberFormat="1" applyFont="1" applyFill="1" applyBorder="1" applyAlignment="1" applyProtection="1">
      <alignment horizontal="right" vertical="center"/>
    </xf>
    <xf numFmtId="1" fontId="14" fillId="14" borderId="129" xfId="0" applyNumberFormat="1" applyFont="1" applyFill="1" applyBorder="1" applyAlignment="1" applyProtection="1">
      <alignment horizontal="right" vertical="center"/>
    </xf>
    <xf numFmtId="1" fontId="15" fillId="18" borderId="39" xfId="0" applyNumberFormat="1" applyFont="1" applyFill="1" applyBorder="1" applyAlignment="1" applyProtection="1">
      <alignment horizontal="right" vertical="center"/>
    </xf>
    <xf numFmtId="1" fontId="14" fillId="14" borderId="441" xfId="0" applyNumberFormat="1" applyFont="1" applyFill="1" applyBorder="1" applyAlignment="1" applyProtection="1">
      <alignment horizontal="right" vertical="center"/>
    </xf>
    <xf numFmtId="1" fontId="14" fillId="14" borderId="404" xfId="0" applyNumberFormat="1" applyFont="1" applyFill="1" applyBorder="1" applyAlignment="1" applyProtection="1">
      <alignment horizontal="right" vertical="center"/>
    </xf>
    <xf numFmtId="1" fontId="15" fillId="18" borderId="404" xfId="2" applyNumberFormat="1" applyFont="1" applyFill="1" applyBorder="1" applyAlignment="1" applyProtection="1">
      <alignment horizontal="right" vertical="center"/>
    </xf>
    <xf numFmtId="0" fontId="21" fillId="0" borderId="0" xfId="0" applyFont="1" applyAlignment="1" applyProtection="1">
      <alignment vertical="center"/>
    </xf>
    <xf numFmtId="0" fontId="14" fillId="14" borderId="0" xfId="0" applyFont="1" applyFill="1" applyBorder="1" applyAlignment="1" applyProtection="1">
      <alignment horizontal="left" vertical="center" indent="1"/>
    </xf>
    <xf numFmtId="9" fontId="14" fillId="14" borderId="0" xfId="0" applyNumberFormat="1" applyFont="1" applyFill="1" applyBorder="1" applyAlignment="1" applyProtection="1">
      <alignment horizontal="center" vertical="center"/>
    </xf>
    <xf numFmtId="3" fontId="14" fillId="14" borderId="0" xfId="0" applyNumberFormat="1" applyFont="1" applyFill="1" applyBorder="1" applyAlignment="1" applyProtection="1">
      <alignment horizontal="right" vertical="center"/>
    </xf>
    <xf numFmtId="3" fontId="14" fillId="14" borderId="0" xfId="2" applyNumberFormat="1" applyFont="1" applyFill="1" applyBorder="1" applyAlignment="1" applyProtection="1">
      <alignment horizontal="right" vertical="center"/>
    </xf>
    <xf numFmtId="166" fontId="14" fillId="14" borderId="0" xfId="0" applyNumberFormat="1" applyFont="1" applyFill="1" applyBorder="1" applyAlignment="1" applyProtection="1">
      <alignment horizontal="center" vertical="center"/>
    </xf>
    <xf numFmtId="0" fontId="21" fillId="14" borderId="0" xfId="0" applyFont="1" applyFill="1" applyBorder="1" applyAlignment="1" applyProtection="1">
      <alignment vertical="center"/>
    </xf>
    <xf numFmtId="0" fontId="15" fillId="17" borderId="16" xfId="0" applyFont="1" applyFill="1" applyBorder="1" applyAlignment="1" applyProtection="1">
      <alignment vertical="center"/>
    </xf>
    <xf numFmtId="9" fontId="14" fillId="16" borderId="90" xfId="0" applyNumberFormat="1" applyFont="1" applyFill="1" applyBorder="1" applyAlignment="1" applyProtection="1">
      <alignment vertical="center"/>
    </xf>
    <xf numFmtId="0" fontId="14" fillId="18" borderId="131" xfId="0" applyFont="1" applyFill="1" applyBorder="1" applyAlignment="1" applyProtection="1">
      <alignment vertical="center"/>
    </xf>
    <xf numFmtId="0" fontId="14" fillId="18" borderId="105" xfId="0" applyFont="1" applyFill="1" applyBorder="1" applyAlignment="1" applyProtection="1">
      <alignment horizontal="center" vertical="center"/>
    </xf>
    <xf numFmtId="10" fontId="14" fillId="23" borderId="2" xfId="0" applyNumberFormat="1" applyFont="1" applyFill="1" applyBorder="1" applyAlignment="1" applyProtection="1">
      <alignment horizontal="center" vertical="center"/>
    </xf>
    <xf numFmtId="1" fontId="14" fillId="18" borderId="155" xfId="0" applyNumberFormat="1" applyFont="1" applyFill="1" applyBorder="1" applyAlignment="1" applyProtection="1">
      <alignment horizontal="center" vertical="center"/>
    </xf>
    <xf numFmtId="9" fontId="14" fillId="16" borderId="154" xfId="0" applyNumberFormat="1" applyFont="1" applyFill="1" applyBorder="1" applyAlignment="1" applyProtection="1">
      <alignment vertical="center"/>
    </xf>
    <xf numFmtId="3" fontId="14" fillId="14" borderId="0" xfId="0" applyNumberFormat="1" applyFont="1" applyFill="1" applyBorder="1" applyAlignment="1" applyProtection="1">
      <alignment vertical="center"/>
    </xf>
    <xf numFmtId="0" fontId="25" fillId="14" borderId="346" xfId="0" applyFont="1" applyFill="1" applyBorder="1" applyAlignment="1" applyProtection="1">
      <alignment vertical="center"/>
    </xf>
    <xf numFmtId="0" fontId="14" fillId="18" borderId="149" xfId="0" applyFont="1" applyFill="1" applyBorder="1" applyAlignment="1" applyProtection="1">
      <alignment vertical="center"/>
    </xf>
    <xf numFmtId="0" fontId="14" fillId="18" borderId="165" xfId="0" applyFont="1" applyFill="1" applyBorder="1" applyAlignment="1" applyProtection="1">
      <alignment horizontal="center" vertical="center"/>
    </xf>
    <xf numFmtId="10" fontId="14" fillId="23" borderId="153" xfId="0" applyNumberFormat="1" applyFont="1" applyFill="1" applyBorder="1" applyAlignment="1" applyProtection="1">
      <alignment horizontal="center" vertical="center"/>
    </xf>
    <xf numFmtId="1" fontId="14" fillId="18" borderId="165" xfId="0" applyNumberFormat="1" applyFont="1" applyFill="1" applyBorder="1" applyAlignment="1" applyProtection="1">
      <alignment horizontal="center" vertical="center"/>
    </xf>
    <xf numFmtId="9" fontId="14" fillId="16" borderId="188" xfId="0" applyNumberFormat="1" applyFont="1" applyFill="1" applyBorder="1" applyAlignment="1" applyProtection="1">
      <alignment vertical="center"/>
    </xf>
    <xf numFmtId="0" fontId="25" fillId="14" borderId="0" xfId="0" applyFont="1" applyFill="1" applyBorder="1" applyAlignment="1" applyProtection="1">
      <alignment vertical="center"/>
    </xf>
    <xf numFmtId="170" fontId="14" fillId="14" borderId="0" xfId="0" applyNumberFormat="1" applyFont="1" applyFill="1" applyBorder="1" applyAlignment="1" applyProtection="1">
      <alignment horizontal="right" vertical="center"/>
    </xf>
    <xf numFmtId="2" fontId="14" fillId="14" borderId="0" xfId="0" applyNumberFormat="1" applyFont="1" applyFill="1" applyBorder="1" applyAlignment="1" applyProtection="1">
      <alignment vertical="center"/>
    </xf>
    <xf numFmtId="0" fontId="26" fillId="14" borderId="0" xfId="0" applyFont="1" applyFill="1" applyBorder="1" applyAlignment="1" applyProtection="1">
      <alignment horizontal="center" vertical="center"/>
    </xf>
    <xf numFmtId="0" fontId="26" fillId="14" borderId="347" xfId="0" applyFont="1" applyFill="1" applyBorder="1" applyAlignment="1" applyProtection="1">
      <alignment horizontal="center" vertical="center"/>
    </xf>
    <xf numFmtId="0" fontId="25" fillId="0" borderId="0" xfId="0" applyFont="1" applyFill="1" applyBorder="1" applyAlignment="1" applyProtection="1">
      <alignment vertical="center"/>
    </xf>
    <xf numFmtId="0" fontId="14" fillId="14" borderId="0" xfId="0" applyFont="1" applyFill="1" applyBorder="1" applyAlignment="1" applyProtection="1">
      <alignment horizontal="center" vertical="center"/>
    </xf>
    <xf numFmtId="10" fontId="14" fillId="14" borderId="0" xfId="0" applyNumberFormat="1" applyFont="1" applyFill="1" applyBorder="1" applyAlignment="1" applyProtection="1">
      <alignment horizontal="center" vertical="center"/>
    </xf>
    <xf numFmtId="1" fontId="14" fillId="14" borderId="0" xfId="0" applyNumberFormat="1" applyFont="1" applyFill="1" applyBorder="1" applyAlignment="1" applyProtection="1">
      <alignment horizontal="center" vertical="center"/>
    </xf>
    <xf numFmtId="9" fontId="14" fillId="14" borderId="0" xfId="0" applyNumberFormat="1" applyFont="1" applyFill="1" applyBorder="1" applyAlignment="1" applyProtection="1">
      <alignment vertical="center"/>
    </xf>
    <xf numFmtId="10" fontId="14" fillId="14" borderId="0" xfId="0" applyNumberFormat="1" applyFont="1" applyFill="1" applyBorder="1" applyAlignment="1" applyProtection="1">
      <alignment vertical="center"/>
    </xf>
    <xf numFmtId="1" fontId="14" fillId="14" borderId="0" xfId="0" applyNumberFormat="1" applyFont="1" applyFill="1" applyBorder="1" applyAlignment="1" applyProtection="1">
      <alignment vertical="center"/>
    </xf>
    <xf numFmtId="0" fontId="19" fillId="17" borderId="16" xfId="0" applyFont="1" applyFill="1" applyBorder="1" applyAlignment="1" applyProtection="1">
      <alignment horizontal="left" vertical="center" wrapText="1" indent="1"/>
    </xf>
    <xf numFmtId="0" fontId="23" fillId="0" borderId="0" xfId="0" applyFont="1" applyFill="1" applyBorder="1" applyAlignment="1" applyProtection="1">
      <alignment horizontal="center" vertical="center"/>
    </xf>
    <xf numFmtId="0" fontId="25" fillId="18" borderId="45" xfId="0" applyFont="1" applyFill="1" applyBorder="1" applyAlignment="1" applyProtection="1">
      <alignment vertical="center"/>
    </xf>
    <xf numFmtId="0" fontId="15" fillId="18" borderId="129" xfId="0" applyFont="1" applyFill="1" applyBorder="1" applyAlignment="1" applyProtection="1">
      <alignment horizontal="center" vertical="center" wrapText="1"/>
    </xf>
    <xf numFmtId="0" fontId="14" fillId="18" borderId="129" xfId="0" applyFont="1" applyFill="1" applyBorder="1" applyAlignment="1" applyProtection="1">
      <alignment horizontal="left" vertical="center" wrapText="1"/>
    </xf>
    <xf numFmtId="0" fontId="14" fillId="18" borderId="129" xfId="0" applyFont="1" applyFill="1" applyBorder="1" applyAlignment="1" applyProtection="1">
      <alignment horizontal="center" vertical="center" wrapText="1"/>
    </xf>
    <xf numFmtId="0" fontId="14" fillId="18" borderId="154" xfId="0" applyFont="1" applyFill="1" applyBorder="1" applyAlignment="1" applyProtection="1">
      <alignment vertical="center"/>
    </xf>
    <xf numFmtId="0" fontId="23" fillId="14" borderId="347" xfId="0" applyFont="1" applyFill="1" applyBorder="1" applyAlignment="1" applyProtection="1">
      <alignment vertical="center"/>
    </xf>
    <xf numFmtId="0" fontId="23" fillId="0" borderId="0" xfId="0" applyFont="1" applyFill="1" applyBorder="1" applyAlignment="1" applyProtection="1">
      <alignment vertical="center"/>
    </xf>
    <xf numFmtId="0" fontId="15" fillId="18" borderId="66" xfId="0" applyFont="1" applyFill="1" applyBorder="1" applyAlignment="1" applyProtection="1">
      <alignment horizontal="left" vertical="center" wrapText="1" indent="1"/>
    </xf>
    <xf numFmtId="0" fontId="15" fillId="18" borderId="158" xfId="0" applyFont="1" applyFill="1" applyBorder="1" applyAlignment="1" applyProtection="1">
      <alignment vertical="center"/>
    </xf>
    <xf numFmtId="0" fontId="26" fillId="3" borderId="0" xfId="0" applyFont="1" applyFill="1" applyAlignment="1" applyProtection="1">
      <alignment horizontal="center" vertical="center"/>
    </xf>
    <xf numFmtId="0" fontId="15" fillId="18" borderId="162" xfId="0" applyFont="1" applyFill="1" applyBorder="1" applyAlignment="1" applyProtection="1">
      <alignment vertical="center" wrapText="1"/>
    </xf>
    <xf numFmtId="1" fontId="15" fillId="18" borderId="129" xfId="0" applyNumberFormat="1" applyFont="1" applyFill="1" applyBorder="1" applyAlignment="1" applyProtection="1">
      <alignment horizontal="center" vertical="center" wrapText="1"/>
    </xf>
    <xf numFmtId="1" fontId="15" fillId="18" borderId="129" xfId="0" applyNumberFormat="1" applyFont="1" applyFill="1" applyBorder="1" applyAlignment="1" applyProtection="1">
      <alignment horizontal="center" vertical="center"/>
    </xf>
    <xf numFmtId="0" fontId="23" fillId="3" borderId="0" xfId="0" applyFont="1" applyFill="1" applyBorder="1" applyAlignment="1" applyProtection="1">
      <alignment horizontal="center" vertical="center"/>
    </xf>
    <xf numFmtId="1" fontId="14" fillId="15" borderId="129" xfId="0" applyNumberFormat="1" applyFont="1" applyFill="1" applyBorder="1" applyAlignment="1" applyProtection="1">
      <alignment horizontal="center" vertical="center" wrapText="1"/>
    </xf>
    <xf numFmtId="2" fontId="15" fillId="16" borderId="158" xfId="0" applyNumberFormat="1" applyFont="1" applyFill="1" applyBorder="1" applyAlignment="1" applyProtection="1">
      <alignment horizontal="center" vertical="center"/>
    </xf>
    <xf numFmtId="2" fontId="15" fillId="15" borderId="105" xfId="0" applyNumberFormat="1" applyFont="1" applyFill="1" applyBorder="1" applyAlignment="1" applyProtection="1">
      <alignment horizontal="center" vertical="center"/>
    </xf>
    <xf numFmtId="2" fontId="15" fillId="15" borderId="155" xfId="0" applyNumberFormat="1" applyFont="1" applyFill="1" applyBorder="1" applyAlignment="1" applyProtection="1">
      <alignment horizontal="center" vertical="center"/>
    </xf>
    <xf numFmtId="1" fontId="15" fillId="16" borderId="155" xfId="0" applyNumberFormat="1" applyFont="1" applyFill="1" applyBorder="1" applyAlignment="1" applyProtection="1">
      <alignment horizontal="center" vertical="center"/>
    </xf>
    <xf numFmtId="0" fontId="14" fillId="18" borderId="129" xfId="0" applyFont="1" applyFill="1" applyBorder="1" applyAlignment="1" applyProtection="1">
      <alignment horizontal="center" vertical="center"/>
    </xf>
    <xf numFmtId="2" fontId="14" fillId="18" borderId="129" xfId="0" applyNumberFormat="1" applyFont="1" applyFill="1" applyBorder="1" applyAlignment="1" applyProtection="1">
      <alignment horizontal="center" vertical="center"/>
    </xf>
    <xf numFmtId="0" fontId="15" fillId="18" borderId="129" xfId="0" applyFont="1" applyFill="1" applyBorder="1" applyAlignment="1" applyProtection="1">
      <alignment horizontal="right" vertical="center"/>
    </xf>
    <xf numFmtId="0" fontId="23" fillId="3" borderId="0" xfId="0" applyFont="1" applyFill="1" applyBorder="1" applyAlignment="1" applyProtection="1">
      <alignment vertical="center"/>
    </xf>
    <xf numFmtId="0" fontId="15" fillId="18" borderId="134" xfId="0" applyFont="1" applyFill="1" applyBorder="1" applyAlignment="1" applyProtection="1">
      <alignment horizontal="left" vertical="center" wrapText="1" indent="1"/>
    </xf>
    <xf numFmtId="1" fontId="14" fillId="15" borderId="150" xfId="0" applyNumberFormat="1" applyFont="1" applyFill="1" applyBorder="1" applyAlignment="1" applyProtection="1">
      <alignment horizontal="center" vertical="center"/>
    </xf>
    <xf numFmtId="1" fontId="14" fillId="15" borderId="150" xfId="0" applyNumberFormat="1" applyFont="1" applyFill="1" applyBorder="1" applyAlignment="1" applyProtection="1">
      <alignment vertical="center"/>
    </xf>
    <xf numFmtId="0" fontId="14" fillId="15" borderId="151" xfId="0" applyFont="1" applyFill="1" applyBorder="1" applyAlignment="1" applyProtection="1">
      <alignment vertical="center"/>
    </xf>
    <xf numFmtId="0" fontId="26" fillId="14" borderId="0" xfId="0" applyFont="1" applyFill="1" applyBorder="1" applyAlignment="1" applyProtection="1">
      <alignment vertical="center"/>
    </xf>
    <xf numFmtId="0" fontId="26" fillId="14" borderId="347" xfId="0" applyFont="1" applyFill="1" applyBorder="1" applyAlignment="1" applyProtection="1">
      <alignment vertical="center"/>
    </xf>
    <xf numFmtId="0" fontId="26" fillId="3" borderId="0" xfId="0" applyFont="1" applyFill="1" applyAlignment="1" applyProtection="1">
      <alignment vertical="center"/>
    </xf>
    <xf numFmtId="0" fontId="14" fillId="0" borderId="0" xfId="0" applyFont="1" applyFill="1" applyAlignment="1" applyProtection="1">
      <alignment vertical="center"/>
    </xf>
    <xf numFmtId="0" fontId="21" fillId="14" borderId="406" xfId="0" applyFont="1" applyFill="1" applyBorder="1" applyAlignment="1" applyProtection="1">
      <alignment vertical="center"/>
    </xf>
    <xf numFmtId="0" fontId="21" fillId="14" borderId="352" xfId="0" applyFont="1" applyFill="1" applyBorder="1" applyAlignment="1" applyProtection="1">
      <alignment vertical="center"/>
    </xf>
    <xf numFmtId="1" fontId="21" fillId="0" borderId="0" xfId="0" applyNumberFormat="1" applyFont="1" applyAlignment="1" applyProtection="1">
      <alignment vertical="center"/>
    </xf>
    <xf numFmtId="170" fontId="21" fillId="0" borderId="0" xfId="0" applyNumberFormat="1" applyFont="1" applyAlignment="1" applyProtection="1">
      <alignment horizontal="right" vertical="center"/>
    </xf>
    <xf numFmtId="2" fontId="21" fillId="0" borderId="0" xfId="0" applyNumberFormat="1" applyFont="1" applyAlignment="1" applyProtection="1">
      <alignment vertical="center"/>
    </xf>
    <xf numFmtId="0" fontId="21" fillId="0" borderId="0" xfId="0" applyFont="1" applyBorder="1" applyAlignment="1" applyProtection="1">
      <alignment vertical="center"/>
    </xf>
    <xf numFmtId="0" fontId="21" fillId="0" borderId="189" xfId="0" applyFont="1" applyBorder="1" applyAlignment="1" applyProtection="1">
      <alignment vertical="center"/>
    </xf>
    <xf numFmtId="0" fontId="21" fillId="14" borderId="344" xfId="0" applyFont="1" applyFill="1" applyBorder="1" applyAlignment="1" applyProtection="1">
      <alignment vertical="center"/>
    </xf>
    <xf numFmtId="171" fontId="14" fillId="14" borderId="442" xfId="0" applyNumberFormat="1" applyFont="1" applyFill="1" applyBorder="1" applyAlignment="1" applyProtection="1">
      <alignment horizontal="left" vertical="center"/>
    </xf>
    <xf numFmtId="0" fontId="8" fillId="14" borderId="345" xfId="0" applyFont="1" applyFill="1" applyBorder="1" applyAlignment="1" applyProtection="1">
      <alignment vertical="center"/>
    </xf>
    <xf numFmtId="0" fontId="8" fillId="0" borderId="0" xfId="0" applyFont="1" applyFill="1" applyBorder="1" applyAlignment="1" applyProtection="1">
      <alignment vertical="center"/>
    </xf>
    <xf numFmtId="0" fontId="22" fillId="0" borderId="0" xfId="0" applyFont="1" applyFill="1" applyAlignment="1" applyProtection="1">
      <alignment vertical="center"/>
    </xf>
    <xf numFmtId="0" fontId="15" fillId="17" borderId="443" xfId="0" applyFont="1" applyFill="1" applyBorder="1" applyAlignment="1" applyProtection="1">
      <alignment horizontal="center" vertical="center"/>
    </xf>
    <xf numFmtId="0" fontId="8" fillId="14" borderId="347" xfId="0" applyFont="1" applyFill="1" applyBorder="1" applyAlignment="1" applyProtection="1">
      <alignment vertical="center"/>
    </xf>
    <xf numFmtId="0" fontId="6" fillId="0" borderId="0" xfId="0" applyFont="1" applyFill="1" applyBorder="1" applyAlignment="1" applyProtection="1">
      <alignment horizontal="center" vertical="center"/>
    </xf>
    <xf numFmtId="0" fontId="4" fillId="0" borderId="0" xfId="0" applyFont="1" applyFill="1" applyAlignment="1" applyProtection="1">
      <alignment vertical="center"/>
    </xf>
    <xf numFmtId="0" fontId="5" fillId="0" borderId="0" xfId="0" applyFont="1" applyFill="1" applyBorder="1" applyAlignment="1" applyProtection="1">
      <alignment vertical="center"/>
    </xf>
    <xf numFmtId="3" fontId="15" fillId="15" borderId="130" xfId="2" applyNumberFormat="1" applyFont="1" applyFill="1" applyBorder="1" applyAlignment="1" applyProtection="1">
      <alignment horizontal="right" vertical="center"/>
    </xf>
    <xf numFmtId="0" fontId="26" fillId="0" borderId="0" xfId="0" applyFont="1" applyFill="1" applyAlignment="1" applyProtection="1">
      <alignment vertical="center"/>
    </xf>
    <xf numFmtId="0" fontId="3" fillId="0" borderId="0" xfId="0" applyFont="1" applyFill="1" applyBorder="1" applyAlignment="1" applyProtection="1">
      <alignment vertical="center"/>
    </xf>
    <xf numFmtId="3" fontId="14" fillId="15" borderId="155" xfId="0" applyNumberFormat="1" applyFont="1" applyFill="1" applyBorder="1" applyAlignment="1" applyProtection="1">
      <alignment horizontal="right" vertical="center"/>
    </xf>
    <xf numFmtId="1" fontId="14" fillId="15" borderId="155" xfId="0" applyNumberFormat="1" applyFont="1" applyFill="1" applyBorder="1" applyAlignment="1" applyProtection="1">
      <alignment horizontal="right" vertical="center"/>
    </xf>
    <xf numFmtId="3" fontId="14" fillId="18" borderId="0" xfId="0" applyNumberFormat="1" applyFont="1" applyFill="1" applyBorder="1" applyAlignment="1" applyProtection="1">
      <alignment horizontal="right" vertical="center"/>
    </xf>
    <xf numFmtId="3" fontId="14" fillId="15" borderId="0" xfId="0" applyNumberFormat="1" applyFont="1" applyFill="1" applyBorder="1" applyAlignment="1" applyProtection="1">
      <alignment horizontal="right" vertical="center"/>
    </xf>
    <xf numFmtId="3" fontId="14" fillId="15" borderId="129" xfId="0" applyNumberFormat="1" applyFont="1" applyFill="1" applyBorder="1" applyAlignment="1" applyProtection="1">
      <alignment horizontal="right" vertical="center"/>
    </xf>
    <xf numFmtId="3" fontId="15" fillId="16" borderId="129" xfId="0" applyNumberFormat="1" applyFont="1" applyFill="1" applyBorder="1" applyAlignment="1" applyProtection="1">
      <alignment horizontal="right" vertical="center"/>
    </xf>
    <xf numFmtId="0" fontId="15" fillId="16" borderId="396" xfId="0" applyFont="1" applyFill="1" applyBorder="1" applyAlignment="1" applyProtection="1">
      <alignment horizontal="left" vertical="center" indent="1"/>
    </xf>
    <xf numFmtId="3" fontId="15" fillId="16" borderId="156" xfId="0" applyNumberFormat="1" applyFont="1" applyFill="1" applyBorder="1" applyAlignment="1" applyProtection="1">
      <alignment horizontal="right" vertical="center"/>
    </xf>
    <xf numFmtId="0" fontId="15" fillId="16" borderId="440" xfId="0" applyFont="1" applyFill="1" applyBorder="1" applyAlignment="1" applyProtection="1">
      <alignment horizontal="left" vertical="center" indent="1"/>
    </xf>
    <xf numFmtId="3" fontId="15" fillId="16" borderId="186" xfId="0" applyNumberFormat="1" applyFont="1" applyFill="1" applyBorder="1" applyAlignment="1" applyProtection="1">
      <alignment horizontal="right" vertical="center"/>
    </xf>
    <xf numFmtId="1" fontId="15" fillId="16" borderId="186" xfId="0" applyNumberFormat="1" applyFont="1" applyFill="1" applyBorder="1" applyAlignment="1" applyProtection="1">
      <alignment horizontal="right" vertical="center"/>
    </xf>
    <xf numFmtId="3" fontId="14" fillId="15" borderId="67" xfId="0" applyNumberFormat="1" applyFont="1" applyFill="1" applyBorder="1" applyAlignment="1" applyProtection="1">
      <alignment horizontal="right" vertical="center"/>
    </xf>
    <xf numFmtId="3" fontId="14" fillId="15" borderId="39" xfId="0" applyNumberFormat="1" applyFont="1" applyFill="1" applyBorder="1" applyAlignment="1" applyProtection="1">
      <alignment horizontal="right" vertical="center"/>
    </xf>
    <xf numFmtId="1" fontId="14" fillId="18" borderId="39" xfId="0" applyNumberFormat="1" applyFont="1" applyFill="1" applyBorder="1" applyAlignment="1" applyProtection="1">
      <alignment horizontal="right" vertical="center"/>
    </xf>
    <xf numFmtId="1" fontId="14" fillId="18" borderId="404" xfId="2" applyNumberFormat="1" applyFont="1" applyFill="1" applyBorder="1" applyAlignment="1" applyProtection="1">
      <alignment horizontal="right" vertical="center"/>
    </xf>
    <xf numFmtId="0" fontId="3" fillId="14" borderId="0" xfId="0" applyFont="1" applyFill="1" applyBorder="1" applyAlignment="1" applyProtection="1">
      <alignment vertical="center"/>
    </xf>
    <xf numFmtId="0" fontId="3" fillId="0" borderId="0" xfId="0" applyFont="1" applyFill="1" applyAlignment="1" applyProtection="1">
      <alignment horizontal="center" vertical="center"/>
    </xf>
    <xf numFmtId="0" fontId="3" fillId="0" borderId="0" xfId="0" applyFont="1" applyFill="1" applyAlignment="1" applyProtection="1">
      <alignment vertical="center"/>
    </xf>
    <xf numFmtId="10" fontId="14" fillId="23" borderId="430" xfId="0" applyNumberFormat="1" applyFont="1" applyFill="1" applyBorder="1" applyAlignment="1" applyProtection="1">
      <alignment horizontal="center" vertical="center"/>
    </xf>
    <xf numFmtId="0" fontId="15" fillId="5" borderId="129" xfId="0" applyFont="1" applyFill="1" applyBorder="1" applyAlignment="1" applyProtection="1">
      <alignment horizontal="center" vertical="center" wrapText="1"/>
    </xf>
    <xf numFmtId="0" fontId="14" fillId="5" borderId="129" xfId="0" applyFont="1" applyFill="1" applyBorder="1" applyAlignment="1" applyProtection="1">
      <alignment horizontal="left" vertical="center" wrapText="1"/>
    </xf>
    <xf numFmtId="0" fontId="14" fillId="5" borderId="129" xfId="0" applyFont="1" applyFill="1" applyBorder="1" applyAlignment="1" applyProtection="1">
      <alignment horizontal="center" vertical="center" wrapText="1"/>
    </xf>
    <xf numFmtId="0" fontId="14" fillId="5" borderId="154" xfId="0" applyFont="1" applyFill="1" applyBorder="1" applyAlignment="1" applyProtection="1">
      <alignment vertical="center"/>
    </xf>
    <xf numFmtId="0" fontId="15" fillId="5" borderId="158" xfId="0" applyFont="1" applyFill="1" applyBorder="1" applyAlignment="1" applyProtection="1">
      <alignment vertical="center"/>
    </xf>
    <xf numFmtId="0" fontId="8" fillId="14" borderId="0" xfId="0" applyFont="1" applyFill="1" applyBorder="1" applyAlignment="1" applyProtection="1">
      <alignment vertical="center"/>
    </xf>
    <xf numFmtId="1" fontId="15" fillId="5" borderId="129" xfId="0" applyNumberFormat="1" applyFont="1" applyFill="1" applyBorder="1" applyAlignment="1" applyProtection="1">
      <alignment horizontal="center" vertical="center" wrapText="1"/>
    </xf>
    <xf numFmtId="1" fontId="14" fillId="5" borderId="129" xfId="0" applyNumberFormat="1" applyFont="1" applyFill="1" applyBorder="1" applyAlignment="1" applyProtection="1">
      <alignment horizontal="center" vertical="center"/>
    </xf>
    <xf numFmtId="0" fontId="15" fillId="5" borderId="129" xfId="0" applyFont="1" applyFill="1" applyBorder="1" applyAlignment="1" applyProtection="1">
      <alignment horizontal="right" vertical="center"/>
    </xf>
    <xf numFmtId="0" fontId="14" fillId="15" borderId="150" xfId="0" applyFont="1" applyFill="1" applyBorder="1" applyAlignment="1" applyProtection="1">
      <alignment vertical="center"/>
    </xf>
    <xf numFmtId="2" fontId="14" fillId="6" borderId="150" xfId="0" applyNumberFormat="1" applyFont="1" applyFill="1" applyBorder="1" applyAlignment="1" applyProtection="1">
      <alignment vertical="center"/>
    </xf>
    <xf numFmtId="0" fontId="14" fillId="6" borderId="151" xfId="0" applyFont="1" applyFill="1" applyBorder="1" applyAlignment="1" applyProtection="1">
      <alignment vertical="center"/>
    </xf>
    <xf numFmtId="0" fontId="3" fillId="14" borderId="406" xfId="0" applyFont="1" applyFill="1" applyBorder="1" applyAlignment="1" applyProtection="1">
      <alignment vertical="center"/>
    </xf>
    <xf numFmtId="0" fontId="3" fillId="14" borderId="352" xfId="0" applyFont="1" applyFill="1" applyBorder="1" applyAlignment="1" applyProtection="1">
      <alignment vertical="center"/>
    </xf>
    <xf numFmtId="1" fontId="3" fillId="14" borderId="352" xfId="0" applyNumberFormat="1" applyFont="1" applyFill="1" applyBorder="1" applyAlignment="1" applyProtection="1">
      <alignment vertical="center"/>
    </xf>
    <xf numFmtId="2" fontId="3" fillId="14" borderId="352" xfId="0" applyNumberFormat="1" applyFont="1" applyFill="1" applyBorder="1" applyAlignment="1" applyProtection="1">
      <alignment vertical="center"/>
    </xf>
    <xf numFmtId="0" fontId="3" fillId="14" borderId="353" xfId="0" applyFont="1" applyFill="1" applyBorder="1" applyAlignment="1" applyProtection="1">
      <alignment vertical="center"/>
    </xf>
    <xf numFmtId="1" fontId="3" fillId="0" borderId="0" xfId="0" applyNumberFormat="1" applyFont="1" applyFill="1" applyAlignment="1" applyProtection="1">
      <alignment vertical="center"/>
    </xf>
    <xf numFmtId="2" fontId="3" fillId="0" borderId="0" xfId="0" applyNumberFormat="1" applyFont="1" applyAlignment="1" applyProtection="1">
      <alignment vertical="center"/>
    </xf>
    <xf numFmtId="0" fontId="3" fillId="0" borderId="0" xfId="0" applyFont="1" applyAlignment="1" applyProtection="1">
      <alignment vertical="center"/>
    </xf>
    <xf numFmtId="1" fontId="3" fillId="0" borderId="0" xfId="0" applyNumberFormat="1" applyFont="1" applyAlignment="1" applyProtection="1">
      <alignment vertical="center"/>
    </xf>
    <xf numFmtId="170" fontId="3" fillId="0" borderId="0" xfId="0" applyNumberFormat="1" applyFont="1" applyAlignment="1" applyProtection="1">
      <alignment horizontal="right" vertical="center"/>
    </xf>
    <xf numFmtId="0" fontId="3" fillId="0" borderId="0" xfId="0" applyFont="1" applyAlignment="1" applyProtection="1">
      <alignment horizontal="center" vertical="center"/>
    </xf>
    <xf numFmtId="0" fontId="24" fillId="0" borderId="0" xfId="0" applyFont="1" applyFill="1" applyAlignment="1" applyProtection="1">
      <alignment horizontal="center" vertical="center"/>
    </xf>
    <xf numFmtId="0" fontId="18" fillId="0" borderId="0" xfId="0" applyFont="1" applyFill="1" applyAlignment="1" applyProtection="1">
      <alignment vertical="center"/>
    </xf>
    <xf numFmtId="2" fontId="14" fillId="14" borderId="344" xfId="0" applyNumberFormat="1" applyFont="1" applyFill="1" applyBorder="1" applyAlignment="1" applyProtection="1">
      <alignment vertical="center"/>
    </xf>
    <xf numFmtId="169" fontId="14" fillId="18" borderId="133" xfId="0" applyNumberFormat="1" applyFont="1" applyFill="1" applyBorder="1" applyAlignment="1" applyProtection="1">
      <alignment horizontal="center" vertical="center"/>
    </xf>
    <xf numFmtId="3" fontId="15" fillId="15" borderId="129" xfId="0" applyNumberFormat="1" applyFont="1" applyFill="1" applyBorder="1" applyAlignment="1" applyProtection="1">
      <alignment horizontal="right" vertical="center"/>
    </xf>
    <xf numFmtId="0" fontId="14" fillId="17" borderId="16" xfId="0" applyFont="1" applyFill="1" applyBorder="1" applyAlignment="1" applyProtection="1">
      <alignment vertical="center"/>
    </xf>
    <xf numFmtId="0" fontId="25" fillId="14" borderId="352" xfId="0" applyFont="1" applyFill="1" applyBorder="1" applyAlignment="1" applyProtection="1">
      <alignment vertical="center"/>
    </xf>
    <xf numFmtId="1" fontId="14" fillId="0" borderId="0" xfId="0" applyNumberFormat="1" applyFont="1" applyFill="1" applyAlignment="1" applyProtection="1">
      <alignment vertical="center"/>
    </xf>
    <xf numFmtId="0" fontId="14" fillId="0" borderId="0" xfId="0" applyFont="1" applyFill="1" applyAlignment="1" applyProtection="1">
      <alignment horizontal="center" vertical="center"/>
    </xf>
    <xf numFmtId="170" fontId="14" fillId="0" borderId="0" xfId="0" applyNumberFormat="1" applyFont="1" applyFill="1" applyAlignment="1" applyProtection="1">
      <alignment horizontal="right" vertical="center"/>
    </xf>
    <xf numFmtId="2" fontId="14" fillId="0" borderId="0" xfId="0" applyNumberFormat="1" applyFont="1" applyFill="1" applyAlignment="1" applyProtection="1">
      <alignment vertical="center"/>
    </xf>
    <xf numFmtId="0" fontId="14" fillId="0" borderId="0" xfId="0" applyFont="1" applyAlignment="1" applyProtection="1">
      <alignment vertical="center"/>
    </xf>
    <xf numFmtId="1" fontId="14" fillId="0" borderId="0" xfId="0" applyNumberFormat="1" applyFont="1" applyAlignment="1" applyProtection="1">
      <alignment vertical="center"/>
    </xf>
    <xf numFmtId="170" fontId="14" fillId="0" borderId="0" xfId="0" applyNumberFormat="1" applyFont="1" applyAlignment="1" applyProtection="1">
      <alignment horizontal="right" vertical="center"/>
    </xf>
    <xf numFmtId="2" fontId="14" fillId="0" borderId="0" xfId="0" applyNumberFormat="1" applyFont="1" applyAlignment="1" applyProtection="1">
      <alignment vertical="center"/>
    </xf>
    <xf numFmtId="0" fontId="87" fillId="14" borderId="343" xfId="0" applyFont="1" applyFill="1" applyBorder="1" applyProtection="1"/>
    <xf numFmtId="0" fontId="5" fillId="0" borderId="0" xfId="0" applyFont="1" applyProtection="1"/>
    <xf numFmtId="0" fontId="88" fillId="14" borderId="346" xfId="0" applyFont="1" applyFill="1" applyBorder="1" applyProtection="1"/>
    <xf numFmtId="0" fontId="10" fillId="14" borderId="347" xfId="0" applyFont="1" applyFill="1" applyBorder="1" applyProtection="1"/>
    <xf numFmtId="0" fontId="10" fillId="0" borderId="0" xfId="0" applyFont="1" applyProtection="1"/>
    <xf numFmtId="0" fontId="87" fillId="14" borderId="346" xfId="0" applyFont="1" applyFill="1" applyBorder="1" applyProtection="1"/>
    <xf numFmtId="0" fontId="14" fillId="15" borderId="129" xfId="0" applyFont="1" applyFill="1" applyBorder="1" applyAlignment="1" applyProtection="1">
      <alignment horizontal="center"/>
    </xf>
    <xf numFmtId="1" fontId="15" fillId="15" borderId="129" xfId="0" applyNumberFormat="1" applyFont="1" applyFill="1" applyBorder="1" applyAlignment="1" applyProtection="1">
      <alignment horizontal="center"/>
    </xf>
    <xf numFmtId="0" fontId="14" fillId="15" borderId="190" xfId="0" applyFont="1" applyFill="1" applyBorder="1" applyAlignment="1" applyProtection="1">
      <alignment horizontal="right"/>
    </xf>
    <xf numFmtId="0" fontId="14" fillId="18" borderId="0" xfId="0" applyFont="1" applyFill="1" applyBorder="1" applyAlignment="1" applyProtection="1">
      <alignment horizontal="right"/>
    </xf>
    <xf numFmtId="0" fontId="15" fillId="18" borderId="91" xfId="0" applyFont="1" applyFill="1" applyBorder="1" applyProtection="1"/>
    <xf numFmtId="0" fontId="15" fillId="15" borderId="129" xfId="0" applyFont="1" applyFill="1" applyBorder="1" applyAlignment="1" applyProtection="1">
      <alignment horizontal="center"/>
    </xf>
    <xf numFmtId="2" fontId="15" fillId="15" borderId="147" xfId="0" applyNumberFormat="1" applyFont="1" applyFill="1" applyBorder="1" applyAlignment="1" applyProtection="1">
      <alignment horizontal="center"/>
    </xf>
    <xf numFmtId="0" fontId="89" fillId="14" borderId="346" xfId="0" applyFont="1" applyFill="1" applyBorder="1" applyProtection="1"/>
    <xf numFmtId="1" fontId="15" fillId="18" borderId="0" xfId="0" applyNumberFormat="1" applyFont="1" applyFill="1" applyBorder="1" applyAlignment="1" applyProtection="1">
      <alignment horizontal="center" wrapText="1"/>
    </xf>
    <xf numFmtId="0" fontId="15" fillId="18" borderId="20" xfId="0" applyFont="1" applyFill="1" applyBorder="1" applyAlignment="1" applyProtection="1">
      <alignment horizontal="center" wrapText="1"/>
    </xf>
    <xf numFmtId="0" fontId="15" fillId="18" borderId="54" xfId="0" applyFont="1" applyFill="1" applyBorder="1" applyAlignment="1" applyProtection="1">
      <alignment horizontal="center" wrapText="1"/>
    </xf>
    <xf numFmtId="0" fontId="15" fillId="15" borderId="0" xfId="0" applyFont="1" applyFill="1" applyBorder="1" applyAlignment="1" applyProtection="1">
      <alignment horizontal="right"/>
    </xf>
    <xf numFmtId="0" fontId="15" fillId="18" borderId="0" xfId="0" applyFont="1" applyFill="1" applyBorder="1" applyAlignment="1" applyProtection="1">
      <alignment horizontal="right"/>
    </xf>
    <xf numFmtId="0" fontId="15" fillId="18" borderId="15" xfId="0" applyFont="1" applyFill="1" applyBorder="1" applyAlignment="1" applyProtection="1">
      <alignment horizontal="right"/>
    </xf>
    <xf numFmtId="0" fontId="2" fillId="14" borderId="347" xfId="0" applyFont="1" applyFill="1" applyBorder="1" applyProtection="1"/>
    <xf numFmtId="0" fontId="2" fillId="0" borderId="0" xfId="0" applyFont="1" applyProtection="1"/>
    <xf numFmtId="0" fontId="14" fillId="18" borderId="191" xfId="0" applyFont="1" applyFill="1" applyBorder="1" applyProtection="1"/>
    <xf numFmtId="0" fontId="14" fillId="15" borderId="54" xfId="0" applyFont="1" applyFill="1" applyBorder="1" applyAlignment="1" applyProtection="1">
      <alignment horizontal="right"/>
    </xf>
    <xf numFmtId="1" fontId="14" fillId="15" borderId="39" xfId="0" applyNumberFormat="1" applyFont="1" applyFill="1" applyBorder="1" applyAlignment="1" applyProtection="1">
      <alignment horizontal="right"/>
    </xf>
    <xf numFmtId="2" fontId="14" fillId="15" borderId="15" xfId="0" applyNumberFormat="1" applyFont="1" applyFill="1" applyBorder="1" applyAlignment="1" applyProtection="1">
      <alignment horizontal="right"/>
    </xf>
    <xf numFmtId="1" fontId="15" fillId="15" borderId="54" xfId="0" applyNumberFormat="1" applyFont="1" applyFill="1" applyBorder="1" applyAlignment="1" applyProtection="1">
      <alignment horizontal="center"/>
    </xf>
    <xf numFmtId="1" fontId="15" fillId="15" borderId="39" xfId="0" applyNumberFormat="1" applyFont="1" applyFill="1" applyBorder="1" applyAlignment="1" applyProtection="1">
      <alignment horizontal="right"/>
    </xf>
    <xf numFmtId="10" fontId="15" fillId="15" borderId="15" xfId="0" applyNumberFormat="1" applyFont="1" applyFill="1" applyBorder="1" applyAlignment="1" applyProtection="1">
      <alignment horizontal="right"/>
    </xf>
    <xf numFmtId="173" fontId="87" fillId="14" borderId="346" xfId="0" applyNumberFormat="1" applyFont="1" applyFill="1" applyBorder="1" applyProtection="1"/>
    <xf numFmtId="1" fontId="15" fillId="8" borderId="192" xfId="0" applyNumberFormat="1" applyFont="1" applyFill="1" applyBorder="1" applyProtection="1"/>
    <xf numFmtId="1" fontId="15" fillId="8" borderId="193" xfId="0" applyNumberFormat="1" applyFont="1" applyFill="1" applyBorder="1" applyProtection="1"/>
    <xf numFmtId="1" fontId="15" fillId="8" borderId="194" xfId="0" applyNumberFormat="1" applyFont="1" applyFill="1" applyBorder="1" applyProtection="1"/>
    <xf numFmtId="1" fontId="15" fillId="8" borderId="195" xfId="0" applyNumberFormat="1" applyFont="1" applyFill="1" applyBorder="1" applyProtection="1"/>
    <xf numFmtId="1" fontId="15" fillId="8" borderId="193" xfId="0" applyNumberFormat="1" applyFont="1" applyFill="1" applyBorder="1" applyAlignment="1" applyProtection="1">
      <alignment horizontal="center"/>
    </xf>
    <xf numFmtId="1" fontId="15" fillId="8" borderId="193" xfId="0" applyNumberFormat="1" applyFont="1" applyFill="1" applyBorder="1" applyAlignment="1" applyProtection="1">
      <alignment horizontal="right"/>
    </xf>
    <xf numFmtId="10" fontId="15" fillId="8" borderId="196" xfId="0" applyNumberFormat="1" applyFont="1" applyFill="1" applyBorder="1" applyAlignment="1" applyProtection="1">
      <alignment horizontal="right"/>
    </xf>
    <xf numFmtId="173" fontId="5" fillId="0" borderId="0" xfId="0" applyNumberFormat="1" applyFont="1" applyProtection="1"/>
    <xf numFmtId="1" fontId="15" fillId="15" borderId="0" xfId="0" applyNumberFormat="1" applyFont="1" applyFill="1" applyBorder="1" applyAlignment="1" applyProtection="1">
      <alignment horizontal="right"/>
    </xf>
    <xf numFmtId="1" fontId="14" fillId="14" borderId="0" xfId="0" applyNumberFormat="1" applyFont="1" applyFill="1" applyBorder="1" applyProtection="1"/>
    <xf numFmtId="1" fontId="14" fillId="14" borderId="0" xfId="0" applyNumberFormat="1" applyFont="1" applyFill="1" applyBorder="1" applyAlignment="1" applyProtection="1">
      <alignment horizontal="right"/>
    </xf>
    <xf numFmtId="1" fontId="15" fillId="14" borderId="0" xfId="0" applyNumberFormat="1" applyFont="1" applyFill="1" applyBorder="1" applyProtection="1"/>
    <xf numFmtId="0" fontId="87" fillId="14" borderId="347" xfId="0" applyFont="1" applyFill="1" applyBorder="1" applyProtection="1"/>
    <xf numFmtId="1" fontId="15" fillId="18" borderId="123" xfId="0" applyNumberFormat="1" applyFont="1" applyFill="1" applyBorder="1" applyProtection="1"/>
    <xf numFmtId="1" fontId="14" fillId="15" borderId="129" xfId="0" applyNumberFormat="1" applyFont="1" applyFill="1" applyBorder="1" applyAlignment="1" applyProtection="1">
      <alignment horizontal="center"/>
    </xf>
    <xf numFmtId="1" fontId="14" fillId="15" borderId="190" xfId="0" applyNumberFormat="1" applyFont="1" applyFill="1" applyBorder="1" applyAlignment="1" applyProtection="1">
      <alignment horizontal="right"/>
    </xf>
    <xf numFmtId="1" fontId="14" fillId="18" borderId="0" xfId="0" applyNumberFormat="1" applyFont="1" applyFill="1" applyBorder="1" applyAlignment="1" applyProtection="1">
      <alignment horizontal="right"/>
    </xf>
    <xf numFmtId="1" fontId="14" fillId="18" borderId="124" xfId="0" applyNumberFormat="1" applyFont="1" applyFill="1" applyBorder="1" applyProtection="1"/>
    <xf numFmtId="1" fontId="15" fillId="18" borderId="146" xfId="0" applyNumberFormat="1" applyFont="1" applyFill="1" applyBorder="1" applyProtection="1"/>
    <xf numFmtId="1" fontId="15" fillId="15" borderId="147" xfId="0" applyNumberFormat="1" applyFont="1" applyFill="1" applyBorder="1" applyAlignment="1" applyProtection="1">
      <alignment horizontal="center"/>
    </xf>
    <xf numFmtId="1" fontId="14" fillId="18" borderId="0" xfId="0" applyNumberFormat="1" applyFont="1" applyFill="1" applyBorder="1" applyAlignment="1" applyProtection="1">
      <alignment horizontal="center"/>
    </xf>
    <xf numFmtId="1" fontId="15" fillId="18" borderId="20" xfId="0" applyNumberFormat="1" applyFont="1" applyFill="1" applyBorder="1" applyAlignment="1" applyProtection="1">
      <alignment horizontal="center" wrapText="1"/>
    </xf>
    <xf numFmtId="1" fontId="15" fillId="18" borderId="0" xfId="0" applyNumberFormat="1" applyFont="1" applyFill="1" applyBorder="1" applyAlignment="1" applyProtection="1">
      <alignment horizontal="right"/>
    </xf>
    <xf numFmtId="1" fontId="15" fillId="18" borderId="124" xfId="0" applyNumberFormat="1" applyFont="1" applyFill="1" applyBorder="1" applyAlignment="1" applyProtection="1">
      <alignment horizontal="right"/>
    </xf>
    <xf numFmtId="1" fontId="14" fillId="18" borderId="123" xfId="0" applyNumberFormat="1" applyFont="1" applyFill="1" applyBorder="1" applyProtection="1"/>
    <xf numFmtId="1" fontId="14" fillId="18" borderId="191" xfId="0" applyNumberFormat="1" applyFont="1" applyFill="1" applyBorder="1" applyProtection="1"/>
    <xf numFmtId="1" fontId="14" fillId="18" borderId="0" xfId="0" applyNumberFormat="1" applyFont="1" applyFill="1" applyBorder="1" applyProtection="1"/>
    <xf numFmtId="1" fontId="14" fillId="15" borderId="54" xfId="0" applyNumberFormat="1" applyFont="1" applyFill="1" applyBorder="1" applyAlignment="1" applyProtection="1">
      <alignment horizontal="right"/>
    </xf>
    <xf numFmtId="1" fontId="14" fillId="15" borderId="124" xfId="0" applyNumberFormat="1" applyFont="1" applyFill="1" applyBorder="1" applyAlignment="1" applyProtection="1">
      <alignment horizontal="right"/>
    </xf>
    <xf numFmtId="10" fontId="15" fillId="15" borderId="124" xfId="0" applyNumberFormat="1" applyFont="1" applyFill="1" applyBorder="1" applyAlignment="1" applyProtection="1">
      <alignment horizontal="right"/>
    </xf>
    <xf numFmtId="1" fontId="15" fillId="8" borderId="197" xfId="0" applyNumberFormat="1" applyFont="1" applyFill="1" applyBorder="1" applyProtection="1"/>
    <xf numFmtId="1" fontId="15" fillId="8" borderId="198" xfId="0" applyNumberFormat="1" applyFont="1" applyFill="1" applyBorder="1" applyProtection="1"/>
    <xf numFmtId="1" fontId="15" fillId="8" borderId="199" xfId="0" applyNumberFormat="1" applyFont="1" applyFill="1" applyBorder="1" applyProtection="1"/>
    <xf numFmtId="1" fontId="15" fillId="8" borderId="200" xfId="0" applyNumberFormat="1" applyFont="1" applyFill="1" applyBorder="1" applyProtection="1"/>
    <xf numFmtId="1" fontId="15" fillId="8" borderId="198" xfId="0" applyNumberFormat="1" applyFont="1" applyFill="1" applyBorder="1" applyAlignment="1" applyProtection="1">
      <alignment horizontal="center"/>
    </xf>
    <xf numFmtId="1" fontId="15" fillId="8" borderId="198" xfId="0" applyNumberFormat="1" applyFont="1" applyFill="1" applyBorder="1" applyAlignment="1" applyProtection="1">
      <alignment horizontal="right"/>
    </xf>
    <xf numFmtId="10" fontId="15" fillId="8" borderId="201" xfId="0" applyNumberFormat="1" applyFont="1" applyFill="1" applyBorder="1" applyAlignment="1" applyProtection="1">
      <alignment horizontal="right"/>
    </xf>
    <xf numFmtId="1" fontId="14" fillId="15" borderId="0" xfId="0" applyNumberFormat="1" applyFont="1" applyFill="1" applyBorder="1" applyAlignment="1" applyProtection="1">
      <alignment horizontal="right"/>
    </xf>
    <xf numFmtId="1" fontId="14" fillId="18" borderId="124" xfId="0" applyNumberFormat="1" applyFont="1" applyFill="1" applyBorder="1" applyAlignment="1" applyProtection="1">
      <alignment horizontal="right"/>
    </xf>
    <xf numFmtId="0" fontId="87" fillId="14" borderId="444" xfId="0" applyFont="1" applyFill="1" applyBorder="1" applyProtection="1"/>
    <xf numFmtId="0" fontId="14" fillId="14" borderId="0" xfId="0" applyFont="1" applyFill="1" applyBorder="1" applyAlignment="1" applyProtection="1">
      <alignment horizontal="right"/>
    </xf>
    <xf numFmtId="0" fontId="15" fillId="14" borderId="0" xfId="0" applyFont="1" applyFill="1" applyBorder="1" applyAlignment="1" applyProtection="1">
      <alignment wrapText="1"/>
    </xf>
    <xf numFmtId="0" fontId="14" fillId="14" borderId="0" xfId="0" applyFont="1" applyFill="1" applyBorder="1" applyAlignment="1" applyProtection="1">
      <alignment wrapText="1"/>
    </xf>
    <xf numFmtId="0" fontId="87" fillId="14" borderId="406" xfId="0" applyFont="1" applyFill="1" applyBorder="1" applyProtection="1"/>
    <xf numFmtId="1" fontId="5" fillId="0" borderId="0" xfId="0" applyNumberFormat="1" applyFont="1" applyProtection="1"/>
    <xf numFmtId="0" fontId="5" fillId="0" borderId="0" xfId="0" applyFont="1" applyAlignment="1" applyProtection="1">
      <alignment horizontal="right"/>
    </xf>
    <xf numFmtId="1" fontId="5" fillId="0" borderId="0" xfId="0" applyNumberFormat="1" applyFont="1" applyAlignment="1" applyProtection="1">
      <alignment horizontal="right"/>
    </xf>
    <xf numFmtId="0" fontId="5" fillId="0" borderId="54" xfId="0" applyFont="1" applyBorder="1" applyProtection="1"/>
    <xf numFmtId="0" fontId="14" fillId="0" borderId="0" xfId="0" applyFont="1" applyAlignment="1" applyProtection="1">
      <alignment horizontal="left" vertical="center"/>
    </xf>
    <xf numFmtId="0" fontId="14" fillId="0" borderId="0" xfId="0" applyFont="1" applyAlignment="1" applyProtection="1">
      <alignment horizontal="right" vertical="center" indent="1"/>
    </xf>
    <xf numFmtId="3" fontId="14" fillId="0" borderId="0" xfId="0" applyNumberFormat="1" applyFont="1" applyAlignment="1" applyProtection="1">
      <alignment vertical="center"/>
    </xf>
    <xf numFmtId="3" fontId="14" fillId="0" borderId="0" xfId="0" applyNumberFormat="1" applyFont="1" applyAlignment="1" applyProtection="1">
      <alignment horizontal="center" vertical="center"/>
    </xf>
    <xf numFmtId="14" fontId="14" fillId="0" borderId="0" xfId="0" applyNumberFormat="1" applyFont="1" applyProtection="1"/>
    <xf numFmtId="0" fontId="14" fillId="0" borderId="0" xfId="0" applyFont="1" applyAlignment="1" applyProtection="1">
      <alignment wrapText="1"/>
    </xf>
    <xf numFmtId="0" fontId="15" fillId="2" borderId="202" xfId="0" applyFont="1" applyFill="1" applyBorder="1" applyAlignment="1" applyProtection="1">
      <alignment horizontal="center"/>
    </xf>
    <xf numFmtId="0" fontId="13" fillId="0" borderId="0" xfId="0" applyFont="1" applyBorder="1" applyAlignment="1" applyProtection="1">
      <alignment horizontal="left" vertical="center"/>
    </xf>
    <xf numFmtId="0" fontId="23" fillId="0" borderId="0" xfId="0" applyFont="1" applyFill="1" applyBorder="1" applyAlignment="1" applyProtection="1">
      <alignment horizontal="center"/>
    </xf>
    <xf numFmtId="0" fontId="14" fillId="0" borderId="0" xfId="0" applyFont="1" applyFill="1" applyBorder="1" applyAlignment="1" applyProtection="1">
      <alignment horizontal="center" wrapText="1"/>
    </xf>
    <xf numFmtId="172" fontId="14" fillId="0" borderId="0" xfId="0" applyNumberFormat="1" applyFont="1" applyFill="1" applyBorder="1" applyAlignment="1" applyProtection="1">
      <alignment horizontal="center"/>
    </xf>
    <xf numFmtId="165" fontId="14" fillId="0" borderId="0" xfId="0" applyNumberFormat="1" applyFont="1" applyFill="1" applyBorder="1" applyProtection="1"/>
    <xf numFmtId="0" fontId="26" fillId="0" borderId="0" xfId="0" applyFont="1" applyFill="1" applyBorder="1" applyAlignment="1" applyProtection="1">
      <alignment horizontal="center"/>
    </xf>
    <xf numFmtId="172" fontId="26" fillId="0" borderId="0" xfId="0" applyNumberFormat="1" applyFont="1" applyFill="1" applyBorder="1" applyAlignment="1" applyProtection="1">
      <alignment horizontal="center"/>
    </xf>
    <xf numFmtId="165" fontId="14" fillId="3" borderId="0" xfId="0" applyNumberFormat="1" applyFont="1" applyFill="1" applyBorder="1" applyProtection="1"/>
    <xf numFmtId="172" fontId="14" fillId="3" borderId="0" xfId="0" applyNumberFormat="1" applyFont="1" applyFill="1" applyBorder="1" applyAlignment="1" applyProtection="1">
      <alignment horizontal="center"/>
    </xf>
    <xf numFmtId="0" fontId="26" fillId="0" borderId="0" xfId="0" applyFont="1" applyFill="1" applyBorder="1" applyAlignment="1" applyProtection="1">
      <alignment horizontal="center" wrapText="1"/>
    </xf>
    <xf numFmtId="44" fontId="14" fillId="0" borderId="0" xfId="2" applyFont="1" applyFill="1" applyBorder="1" applyProtection="1"/>
    <xf numFmtId="44" fontId="14" fillId="0" borderId="0" xfId="2" applyFont="1" applyFill="1" applyBorder="1" applyAlignment="1" applyProtection="1">
      <alignment horizontal="center"/>
    </xf>
    <xf numFmtId="44" fontId="26" fillId="0" borderId="0" xfId="0" applyNumberFormat="1" applyFont="1" applyFill="1" applyBorder="1" applyAlignment="1" applyProtection="1">
      <alignment horizontal="center"/>
    </xf>
    <xf numFmtId="44" fontId="26" fillId="0" borderId="0" xfId="2" applyFont="1" applyFill="1" applyBorder="1" applyAlignment="1" applyProtection="1">
      <alignment horizontal="center"/>
    </xf>
    <xf numFmtId="0" fontId="14" fillId="0" borderId="0" xfId="0" applyFont="1" applyAlignment="1" applyProtection="1">
      <alignment horizontal="center"/>
    </xf>
    <xf numFmtId="1" fontId="14" fillId="0" borderId="0" xfId="2" applyNumberFormat="1" applyFont="1" applyProtection="1"/>
    <xf numFmtId="44" fontId="14" fillId="0" borderId="0" xfId="2" applyFont="1" applyProtection="1"/>
    <xf numFmtId="171" fontId="14" fillId="0" borderId="0" xfId="2" applyNumberFormat="1" applyFont="1" applyProtection="1"/>
    <xf numFmtId="172" fontId="14" fillId="0" borderId="0" xfId="0" applyNumberFormat="1" applyFont="1" applyAlignment="1" applyProtection="1">
      <alignment horizontal="center"/>
    </xf>
    <xf numFmtId="1" fontId="14" fillId="0" borderId="0" xfId="0" applyNumberFormat="1" applyFont="1" applyProtection="1"/>
    <xf numFmtId="171" fontId="14" fillId="0" borderId="0" xfId="0" applyNumberFormat="1" applyFont="1" applyProtection="1"/>
    <xf numFmtId="0" fontId="0" fillId="0" borderId="0" xfId="0" applyFill="1" applyBorder="1" applyProtection="1"/>
    <xf numFmtId="0" fontId="0" fillId="0" borderId="0" xfId="0" applyFill="1" applyBorder="1" applyAlignment="1" applyProtection="1">
      <alignment horizontal="center"/>
    </xf>
    <xf numFmtId="1" fontId="0" fillId="0" borderId="0" xfId="0" applyNumberFormat="1" applyFill="1" applyBorder="1" applyProtection="1"/>
    <xf numFmtId="0" fontId="3" fillId="0" borderId="0" xfId="0" applyFont="1" applyFill="1" applyBorder="1" applyProtection="1"/>
    <xf numFmtId="0" fontId="0" fillId="0" borderId="0" xfId="0" applyProtection="1"/>
    <xf numFmtId="0" fontId="0" fillId="0" borderId="0" xfId="0" applyFill="1" applyProtection="1"/>
    <xf numFmtId="1" fontId="2" fillId="0" borderId="0" xfId="0" applyNumberFormat="1" applyFont="1" applyFill="1" applyProtection="1"/>
    <xf numFmtId="2" fontId="0" fillId="0" borderId="0" xfId="0" applyNumberFormat="1" applyFill="1" applyAlignment="1" applyProtection="1">
      <alignment horizontal="center"/>
    </xf>
    <xf numFmtId="2" fontId="0" fillId="0" borderId="0" xfId="0" applyNumberFormat="1" applyFill="1" applyProtection="1"/>
    <xf numFmtId="10" fontId="0" fillId="0" borderId="0" xfId="0" applyNumberFormat="1" applyFill="1" applyProtection="1"/>
    <xf numFmtId="10" fontId="0" fillId="0" borderId="0" xfId="0" applyNumberFormat="1" applyProtection="1"/>
    <xf numFmtId="0" fontId="0" fillId="0" borderId="0" xfId="0" applyFill="1" applyAlignment="1" applyProtection="1"/>
    <xf numFmtId="2" fontId="14" fillId="0" borderId="0" xfId="0" applyNumberFormat="1" applyFont="1" applyFill="1" applyBorder="1" applyProtection="1"/>
    <xf numFmtId="2" fontId="0" fillId="0" borderId="0" xfId="0" applyNumberFormat="1" applyProtection="1"/>
    <xf numFmtId="9" fontId="0" fillId="0" borderId="0" xfId="0" applyNumberFormat="1" applyFill="1" applyAlignment="1" applyProtection="1">
      <alignment horizontal="center"/>
    </xf>
    <xf numFmtId="10" fontId="0" fillId="0" borderId="0" xfId="0" applyNumberFormat="1" applyFill="1" applyAlignment="1" applyProtection="1">
      <alignment horizontal="center"/>
    </xf>
    <xf numFmtId="2" fontId="2" fillId="0" borderId="0" xfId="0" applyNumberFormat="1" applyFont="1" applyFill="1" applyProtection="1"/>
    <xf numFmtId="168" fontId="14" fillId="0" borderId="0" xfId="0" applyNumberFormat="1" applyFont="1" applyFill="1" applyBorder="1" applyAlignment="1" applyProtection="1">
      <alignment horizontal="center"/>
    </xf>
    <xf numFmtId="0" fontId="15" fillId="0" borderId="0" xfId="0" applyFont="1" applyFill="1" applyBorder="1" applyProtection="1"/>
    <xf numFmtId="9" fontId="24" fillId="0" borderId="0" xfId="0" applyNumberFormat="1" applyFont="1" applyFill="1" applyBorder="1" applyAlignment="1" applyProtection="1">
      <alignment horizontal="center"/>
    </xf>
    <xf numFmtId="2" fontId="24" fillId="0" borderId="0" xfId="0" applyNumberFormat="1" applyFont="1" applyFill="1" applyBorder="1" applyAlignment="1" applyProtection="1">
      <alignment horizontal="center"/>
    </xf>
    <xf numFmtId="0" fontId="24" fillId="0" borderId="0" xfId="0" applyFont="1" applyFill="1" applyBorder="1" applyProtection="1"/>
    <xf numFmtId="2" fontId="24" fillId="0" borderId="0" xfId="0" applyNumberFormat="1" applyFont="1" applyFill="1" applyBorder="1" applyProtection="1"/>
    <xf numFmtId="10" fontId="24" fillId="0" borderId="0" xfId="0" applyNumberFormat="1" applyFont="1" applyFill="1" applyBorder="1" applyProtection="1"/>
    <xf numFmtId="165" fontId="24" fillId="0" borderId="0" xfId="0" applyNumberFormat="1" applyFont="1" applyFill="1" applyBorder="1" applyProtection="1"/>
    <xf numFmtId="2" fontId="14" fillId="0" borderId="0" xfId="0" applyNumberFormat="1" applyFont="1" applyAlignment="1" applyProtection="1">
      <alignment horizontal="center"/>
    </xf>
    <xf numFmtId="10" fontId="14" fillId="0" borderId="0" xfId="0" applyNumberFormat="1" applyFont="1" applyProtection="1"/>
    <xf numFmtId="10" fontId="90" fillId="0" borderId="0" xfId="0" applyNumberFormat="1" applyFont="1" applyAlignment="1" applyProtection="1"/>
    <xf numFmtId="0" fontId="0" fillId="0" borderId="0" xfId="0" applyAlignment="1" applyProtection="1">
      <alignment horizontal="center"/>
    </xf>
    <xf numFmtId="2" fontId="0" fillId="0" borderId="0" xfId="0" applyNumberFormat="1" applyAlignment="1" applyProtection="1">
      <alignment horizontal="center"/>
    </xf>
    <xf numFmtId="0" fontId="15" fillId="0" borderId="61" xfId="0" applyFont="1" applyFill="1" applyBorder="1" applyProtection="1">
      <protection locked="0"/>
    </xf>
    <xf numFmtId="2" fontId="15" fillId="0" borderId="0" xfId="0" applyNumberFormat="1" applyFont="1" applyFill="1" applyBorder="1" applyProtection="1">
      <protection locked="0"/>
    </xf>
    <xf numFmtId="2" fontId="14" fillId="0" borderId="0" xfId="0" applyNumberFormat="1" applyFont="1" applyFill="1" applyAlignment="1" applyProtection="1">
      <alignment horizontal="center"/>
    </xf>
    <xf numFmtId="10" fontId="91" fillId="0" borderId="0" xfId="0" applyNumberFormat="1" applyFont="1" applyAlignment="1" applyProtection="1"/>
    <xf numFmtId="9" fontId="14" fillId="0" borderId="0" xfId="0" applyNumberFormat="1" applyFont="1" applyFill="1" applyAlignment="1" applyProtection="1">
      <alignment horizontal="center"/>
    </xf>
    <xf numFmtId="10" fontId="14" fillId="0" borderId="0" xfId="0" applyNumberFormat="1" applyFont="1" applyFill="1" applyAlignment="1" applyProtection="1">
      <alignment horizontal="center"/>
    </xf>
    <xf numFmtId="9" fontId="15" fillId="23" borderId="360" xfId="0" applyNumberFormat="1" applyFont="1" applyFill="1" applyBorder="1" applyProtection="1"/>
    <xf numFmtId="9" fontId="15" fillId="15" borderId="360" xfId="0" applyNumberFormat="1" applyFont="1" applyFill="1" applyBorder="1" applyProtection="1"/>
    <xf numFmtId="2" fontId="0" fillId="14" borderId="120" xfId="0" applyNumberFormat="1" applyFill="1" applyBorder="1" applyProtection="1"/>
    <xf numFmtId="0" fontId="0" fillId="14" borderId="122" xfId="0" applyFill="1" applyBorder="1" applyProtection="1"/>
    <xf numFmtId="0" fontId="0" fillId="14" borderId="123" xfId="0" applyFill="1" applyBorder="1" applyAlignment="1" applyProtection="1">
      <alignment horizontal="center"/>
    </xf>
    <xf numFmtId="0" fontId="0" fillId="14" borderId="124" xfId="0" applyFill="1" applyBorder="1" applyProtection="1"/>
    <xf numFmtId="2" fontId="3" fillId="14" borderId="0" xfId="0" applyNumberFormat="1" applyFont="1" applyFill="1" applyBorder="1" applyAlignment="1" applyProtection="1">
      <alignment horizontal="left" vertical="center"/>
    </xf>
    <xf numFmtId="0" fontId="7" fillId="14" borderId="123" xfId="0" applyFont="1" applyFill="1" applyBorder="1" applyAlignment="1" applyProtection="1"/>
    <xf numFmtId="0" fontId="7" fillId="17" borderId="109" xfId="0" applyFont="1" applyFill="1" applyBorder="1" applyAlignment="1" applyProtection="1"/>
    <xf numFmtId="0" fontId="0" fillId="17" borderId="110" xfId="0" applyFill="1" applyBorder="1" applyAlignment="1" applyProtection="1"/>
    <xf numFmtId="0" fontId="2" fillId="17" borderId="110" xfId="0" applyFont="1" applyFill="1" applyBorder="1" applyAlignment="1" applyProtection="1"/>
    <xf numFmtId="0" fontId="0" fillId="17" borderId="203" xfId="0" applyFill="1" applyBorder="1" applyProtection="1"/>
    <xf numFmtId="0" fontId="7" fillId="17" borderId="111" xfId="0" applyFont="1" applyFill="1" applyBorder="1" applyAlignment="1" applyProtection="1"/>
    <xf numFmtId="0" fontId="0" fillId="17" borderId="0" xfId="0" applyFill="1" applyBorder="1" applyAlignment="1" applyProtection="1"/>
    <xf numFmtId="0" fontId="2" fillId="17" borderId="0" xfId="0" applyFont="1" applyFill="1" applyBorder="1" applyAlignment="1" applyProtection="1"/>
    <xf numFmtId="0" fontId="0" fillId="17" borderId="112" xfId="0" applyFill="1" applyBorder="1" applyProtection="1"/>
    <xf numFmtId="0" fontId="7" fillId="17" borderId="204" xfId="0" applyFont="1" applyFill="1" applyBorder="1" applyAlignment="1" applyProtection="1"/>
    <xf numFmtId="0" fontId="2" fillId="17" borderId="205" xfId="0" applyFont="1" applyFill="1" applyBorder="1" applyProtection="1"/>
    <xf numFmtId="2" fontId="0" fillId="14" borderId="123" xfId="0" applyNumberFormat="1" applyFill="1" applyBorder="1" applyProtection="1"/>
    <xf numFmtId="2" fontId="2" fillId="17" borderId="111" xfId="0" applyNumberFormat="1" applyFont="1" applyFill="1" applyBorder="1" applyProtection="1"/>
    <xf numFmtId="2" fontId="2" fillId="17" borderId="206" xfId="0" applyNumberFormat="1" applyFont="1" applyFill="1" applyBorder="1" applyAlignment="1" applyProtection="1">
      <alignment horizontal="center"/>
    </xf>
    <xf numFmtId="0" fontId="2" fillId="17" borderId="207" xfId="0" applyFont="1" applyFill="1" applyBorder="1" applyProtection="1"/>
    <xf numFmtId="2" fontId="2" fillId="17" borderId="112" xfId="0" applyNumberFormat="1" applyFont="1" applyFill="1" applyBorder="1" applyAlignment="1" applyProtection="1">
      <alignment horizontal="center"/>
    </xf>
    <xf numFmtId="2" fontId="0" fillId="17" borderId="208" xfId="0" applyNumberFormat="1" applyFill="1" applyBorder="1" applyProtection="1"/>
    <xf numFmtId="2" fontId="0" fillId="17" borderId="209" xfId="0" applyNumberFormat="1" applyFill="1" applyBorder="1" applyProtection="1"/>
    <xf numFmtId="0" fontId="0" fillId="17" borderId="210" xfId="0" applyFill="1" applyBorder="1" applyProtection="1"/>
    <xf numFmtId="0" fontId="2" fillId="17" borderId="209" xfId="0" applyFont="1" applyFill="1" applyBorder="1" applyProtection="1"/>
    <xf numFmtId="2" fontId="0" fillId="17" borderId="210" xfId="0" applyNumberFormat="1" applyFill="1" applyBorder="1" applyProtection="1"/>
    <xf numFmtId="0" fontId="0" fillId="17" borderId="209" xfId="0" applyFill="1" applyBorder="1" applyProtection="1"/>
    <xf numFmtId="0" fontId="0" fillId="17" borderId="211" xfId="0" applyFill="1" applyBorder="1" applyProtection="1"/>
    <xf numFmtId="165" fontId="2" fillId="15" borderId="206" xfId="0" applyNumberFormat="1" applyFont="1" applyFill="1" applyBorder="1" applyAlignment="1" applyProtection="1">
      <alignment vertical="top"/>
    </xf>
    <xf numFmtId="165" fontId="2" fillId="15" borderId="112" xfId="0" applyNumberFormat="1" applyFont="1" applyFill="1" applyBorder="1" applyAlignment="1" applyProtection="1">
      <alignment vertical="top"/>
    </xf>
    <xf numFmtId="2" fontId="0" fillId="5" borderId="111" xfId="0" applyNumberFormat="1" applyFill="1" applyBorder="1" applyAlignment="1" applyProtection="1">
      <alignment wrapText="1"/>
    </xf>
    <xf numFmtId="2" fontId="0" fillId="5" borderId="0" xfId="0" applyNumberFormat="1" applyFill="1" applyBorder="1" applyProtection="1"/>
    <xf numFmtId="0" fontId="0" fillId="5" borderId="212" xfId="0" applyFill="1" applyBorder="1" applyProtection="1"/>
    <xf numFmtId="165" fontId="2" fillId="5" borderId="206" xfId="0" applyNumberFormat="1" applyFont="1" applyFill="1" applyBorder="1" applyProtection="1"/>
    <xf numFmtId="165" fontId="2" fillId="5" borderId="112" xfId="0" applyNumberFormat="1" applyFont="1" applyFill="1" applyBorder="1" applyProtection="1"/>
    <xf numFmtId="2" fontId="2" fillId="8" borderId="213" xfId="0" applyNumberFormat="1" applyFont="1" applyFill="1" applyBorder="1" applyAlignment="1" applyProtection="1"/>
    <xf numFmtId="2" fontId="2" fillId="8" borderId="214" xfId="0" applyNumberFormat="1" applyFont="1" applyFill="1" applyBorder="1" applyProtection="1"/>
    <xf numFmtId="0" fontId="2" fillId="8" borderId="215" xfId="0" applyFont="1" applyFill="1" applyBorder="1" applyProtection="1"/>
    <xf numFmtId="165" fontId="2" fillId="8" borderId="216" xfId="0" applyNumberFormat="1" applyFont="1" applyFill="1" applyBorder="1" applyProtection="1"/>
    <xf numFmtId="165" fontId="2" fillId="8" borderId="217" xfId="0" applyNumberFormat="1" applyFont="1" applyFill="1" applyBorder="1" applyProtection="1"/>
    <xf numFmtId="2" fontId="0" fillId="5" borderId="111" xfId="0" applyNumberFormat="1" applyFill="1" applyBorder="1" applyProtection="1"/>
    <xf numFmtId="9" fontId="2" fillId="15" borderId="214" xfId="9" applyFont="1" applyFill="1" applyBorder="1" applyProtection="1"/>
    <xf numFmtId="0" fontId="0" fillId="5" borderId="111" xfId="0" applyFill="1" applyBorder="1" applyProtection="1"/>
    <xf numFmtId="10" fontId="0" fillId="5" borderId="0" xfId="0" applyNumberFormat="1" applyFill="1" applyBorder="1" applyAlignment="1" applyProtection="1">
      <alignment horizontal="center"/>
    </xf>
    <xf numFmtId="2" fontId="2" fillId="8" borderId="218" xfId="0" applyNumberFormat="1" applyFont="1" applyFill="1" applyBorder="1" applyAlignment="1" applyProtection="1"/>
    <xf numFmtId="2" fontId="2" fillId="8" borderId="219" xfId="0" applyNumberFormat="1" applyFont="1" applyFill="1" applyBorder="1" applyProtection="1"/>
    <xf numFmtId="0" fontId="2" fillId="8" borderId="220" xfId="0" applyFont="1" applyFill="1" applyBorder="1" applyProtection="1"/>
    <xf numFmtId="165" fontId="2" fillId="8" borderId="221" xfId="0" applyNumberFormat="1" applyFont="1" applyFill="1" applyBorder="1" applyProtection="1"/>
    <xf numFmtId="165" fontId="2" fillId="8" borderId="222" xfId="0" applyNumberFormat="1" applyFont="1" applyFill="1" applyBorder="1" applyProtection="1"/>
    <xf numFmtId="2" fontId="0" fillId="14" borderId="152" xfId="0" applyNumberFormat="1" applyFill="1" applyBorder="1" applyProtection="1"/>
    <xf numFmtId="2" fontId="0" fillId="14" borderId="125" xfId="0" applyNumberFormat="1" applyFill="1" applyBorder="1" applyProtection="1"/>
    <xf numFmtId="0" fontId="0" fillId="14" borderId="125" xfId="0" applyFill="1" applyBorder="1" applyProtection="1"/>
    <xf numFmtId="0" fontId="2" fillId="14" borderId="125" xfId="0" applyFont="1" applyFill="1" applyBorder="1" applyProtection="1"/>
    <xf numFmtId="0" fontId="0" fillId="14" borderId="126" xfId="0" applyFill="1" applyBorder="1" applyProtection="1"/>
    <xf numFmtId="0" fontId="5" fillId="0" borderId="0" xfId="21" applyProtection="1"/>
    <xf numFmtId="0" fontId="5" fillId="20" borderId="0" xfId="21" applyFill="1" applyBorder="1" applyProtection="1"/>
    <xf numFmtId="0" fontId="12" fillId="20" borderId="0" xfId="21" applyFont="1" applyFill="1" applyAlignment="1" applyProtection="1">
      <alignment horizontal="left"/>
    </xf>
    <xf numFmtId="174" fontId="12" fillId="20" borderId="0" xfId="21" applyNumberFormat="1" applyFont="1" applyFill="1" applyAlignment="1" applyProtection="1">
      <alignment horizontal="center"/>
    </xf>
    <xf numFmtId="2" fontId="25" fillId="20" borderId="0" xfId="21" applyNumberFormat="1" applyFont="1" applyFill="1" applyBorder="1" applyAlignment="1" applyProtection="1">
      <alignment horizontal="center"/>
    </xf>
    <xf numFmtId="9" fontId="12" fillId="20" borderId="0" xfId="21" applyNumberFormat="1" applyFont="1" applyFill="1" applyAlignment="1" applyProtection="1">
      <alignment horizontal="center"/>
    </xf>
    <xf numFmtId="0" fontId="5" fillId="20" borderId="0" xfId="21" applyFill="1" applyProtection="1"/>
    <xf numFmtId="0" fontId="12" fillId="20" borderId="344" xfId="21" applyFont="1" applyFill="1" applyBorder="1" applyAlignment="1" applyProtection="1">
      <alignment horizontal="left"/>
    </xf>
    <xf numFmtId="174" fontId="12" fillId="20" borderId="344" xfId="21" applyNumberFormat="1" applyFont="1" applyFill="1" applyBorder="1" applyAlignment="1" applyProtection="1">
      <alignment horizontal="center"/>
    </xf>
    <xf numFmtId="2" fontId="25" fillId="20" borderId="344" xfId="21" applyNumberFormat="1" applyFont="1" applyFill="1" applyBorder="1" applyAlignment="1" applyProtection="1">
      <alignment horizontal="center"/>
    </xf>
    <xf numFmtId="9" fontId="12" fillId="20" borderId="344" xfId="21" applyNumberFormat="1" applyFont="1" applyFill="1" applyBorder="1" applyAlignment="1" applyProtection="1">
      <alignment horizontal="center"/>
    </xf>
    <xf numFmtId="174" fontId="12" fillId="20" borderId="345" xfId="21" applyNumberFormat="1" applyFont="1" applyFill="1" applyBorder="1" applyAlignment="1" applyProtection="1">
      <alignment horizontal="center"/>
    </xf>
    <xf numFmtId="174" fontId="12" fillId="20" borderId="0" xfId="21" applyNumberFormat="1" applyFont="1" applyFill="1" applyBorder="1" applyAlignment="1" applyProtection="1">
      <alignment horizontal="center"/>
    </xf>
    <xf numFmtId="9" fontId="12" fillId="20" borderId="0" xfId="21" applyNumberFormat="1" applyFont="1" applyFill="1" applyBorder="1" applyAlignment="1" applyProtection="1">
      <alignment horizontal="center"/>
    </xf>
    <xf numFmtId="0" fontId="12" fillId="20" borderId="352" xfId="21" applyFont="1" applyFill="1" applyBorder="1" applyAlignment="1" applyProtection="1">
      <alignment horizontal="left"/>
    </xf>
    <xf numFmtId="174" fontId="12" fillId="20" borderId="352" xfId="21" applyNumberFormat="1" applyFont="1" applyFill="1" applyBorder="1" applyAlignment="1" applyProtection="1">
      <alignment horizontal="center"/>
    </xf>
    <xf numFmtId="2" fontId="25" fillId="20" borderId="352" xfId="21" applyNumberFormat="1" applyFont="1" applyFill="1" applyBorder="1" applyAlignment="1" applyProtection="1">
      <alignment horizontal="center"/>
    </xf>
    <xf numFmtId="9" fontId="12" fillId="20" borderId="352" xfId="21" applyNumberFormat="1" applyFont="1" applyFill="1" applyBorder="1" applyAlignment="1" applyProtection="1">
      <alignment horizontal="center"/>
    </xf>
    <xf numFmtId="174" fontId="12" fillId="20" borderId="353" xfId="21" applyNumberFormat="1" applyFont="1" applyFill="1" applyBorder="1" applyAlignment="1" applyProtection="1">
      <alignment horizontal="center"/>
    </xf>
    <xf numFmtId="0" fontId="5" fillId="0" borderId="0" xfId="21" applyFill="1" applyProtection="1"/>
    <xf numFmtId="0" fontId="12" fillId="0" borderId="0" xfId="21" applyFont="1" applyAlignment="1" applyProtection="1">
      <alignment horizontal="left"/>
    </xf>
    <xf numFmtId="174" fontId="12" fillId="0" borderId="0" xfId="21" applyNumberFormat="1" applyFont="1" applyAlignment="1" applyProtection="1">
      <alignment horizontal="center"/>
    </xf>
    <xf numFmtId="2" fontId="25" fillId="0" borderId="0" xfId="21" applyNumberFormat="1" applyFont="1" applyBorder="1" applyAlignment="1" applyProtection="1">
      <alignment horizontal="center"/>
    </xf>
    <xf numFmtId="9" fontId="12" fillId="0" borderId="0" xfId="21" applyNumberFormat="1" applyFont="1" applyAlignment="1" applyProtection="1">
      <alignment horizontal="center"/>
    </xf>
    <xf numFmtId="2" fontId="5" fillId="0" borderId="0" xfId="21" applyNumberFormat="1" applyBorder="1" applyAlignment="1" applyProtection="1">
      <alignment horizontal="center"/>
    </xf>
    <xf numFmtId="0" fontId="0" fillId="14" borderId="343" xfId="0" applyFill="1" applyBorder="1" applyProtection="1"/>
    <xf numFmtId="0" fontId="0" fillId="14" borderId="346" xfId="0" applyFill="1" applyBorder="1" applyProtection="1"/>
    <xf numFmtId="0" fontId="0" fillId="14" borderId="347" xfId="0" applyFill="1" applyBorder="1" applyProtection="1"/>
    <xf numFmtId="0" fontId="15" fillId="18" borderId="445" xfId="0" applyFont="1" applyFill="1" applyBorder="1" applyProtection="1"/>
    <xf numFmtId="178" fontId="15" fillId="15" borderId="365" xfId="0" applyNumberFormat="1" applyFont="1" applyFill="1" applyBorder="1" applyProtection="1"/>
    <xf numFmtId="178" fontId="15" fillId="15" borderId="367" xfId="0" applyNumberFormat="1" applyFont="1" applyFill="1" applyBorder="1" applyProtection="1"/>
    <xf numFmtId="178" fontId="15" fillId="14" borderId="347" xfId="0" applyNumberFormat="1" applyFont="1" applyFill="1" applyBorder="1" applyProtection="1"/>
    <xf numFmtId="0" fontId="0" fillId="0" borderId="0" xfId="0" applyBorder="1" applyProtection="1"/>
    <xf numFmtId="178" fontId="15" fillId="18" borderId="365" xfId="0" applyNumberFormat="1" applyFont="1" applyFill="1" applyBorder="1" applyProtection="1"/>
    <xf numFmtId="178" fontId="15" fillId="18" borderId="367" xfId="0" applyNumberFormat="1" applyFont="1" applyFill="1" applyBorder="1" applyProtection="1"/>
    <xf numFmtId="0" fontId="15" fillId="18" borderId="368" xfId="0" applyFont="1" applyFill="1" applyBorder="1" applyProtection="1"/>
    <xf numFmtId="10" fontId="15" fillId="15" borderId="360" xfId="0" applyNumberFormat="1" applyFont="1" applyFill="1" applyBorder="1" applyProtection="1"/>
    <xf numFmtId="10" fontId="15" fillId="15" borderId="369" xfId="0" applyNumberFormat="1" applyFont="1" applyFill="1" applyBorder="1" applyProtection="1"/>
    <xf numFmtId="1" fontId="15" fillId="14" borderId="347" xfId="0" applyNumberFormat="1" applyFont="1" applyFill="1" applyBorder="1" applyProtection="1"/>
    <xf numFmtId="10" fontId="15" fillId="18" borderId="360" xfId="0" applyNumberFormat="1" applyFont="1" applyFill="1" applyBorder="1" applyProtection="1"/>
    <xf numFmtId="10" fontId="15" fillId="18" borderId="369" xfId="0" applyNumberFormat="1" applyFont="1" applyFill="1" applyBorder="1" applyProtection="1"/>
    <xf numFmtId="165" fontId="15" fillId="15" borderId="360" xfId="0" applyNumberFormat="1" applyFont="1" applyFill="1" applyBorder="1" applyProtection="1"/>
    <xf numFmtId="165" fontId="15" fillId="14" borderId="347" xfId="0" applyNumberFormat="1" applyFont="1" applyFill="1" applyBorder="1" applyProtection="1"/>
    <xf numFmtId="0" fontId="15" fillId="14" borderId="347" xfId="0" applyFont="1" applyFill="1" applyBorder="1" applyProtection="1"/>
    <xf numFmtId="0" fontId="0" fillId="0" borderId="54" xfId="0" applyBorder="1" applyProtection="1"/>
    <xf numFmtId="1" fontId="15" fillId="15" borderId="360" xfId="0" applyNumberFormat="1" applyFont="1" applyFill="1" applyBorder="1" applyAlignment="1" applyProtection="1">
      <alignment horizontal="right"/>
    </xf>
    <xf numFmtId="1" fontId="15" fillId="15" borderId="369" xfId="0" applyNumberFormat="1" applyFont="1" applyFill="1" applyBorder="1" applyAlignment="1" applyProtection="1">
      <alignment horizontal="right"/>
    </xf>
    <xf numFmtId="3" fontId="15" fillId="15" borderId="360" xfId="0" applyNumberFormat="1" applyFont="1" applyFill="1" applyBorder="1" applyAlignment="1" applyProtection="1">
      <alignment horizontal="right"/>
    </xf>
    <xf numFmtId="178" fontId="15" fillId="15" borderId="360" xfId="0" applyNumberFormat="1" applyFont="1" applyFill="1" applyBorder="1" applyProtection="1"/>
    <xf numFmtId="178" fontId="15" fillId="15" borderId="369" xfId="0" applyNumberFormat="1" applyFont="1" applyFill="1" applyBorder="1" applyProtection="1"/>
    <xf numFmtId="178" fontId="14" fillId="14" borderId="347" xfId="0" applyNumberFormat="1" applyFont="1" applyFill="1" applyBorder="1" applyProtection="1"/>
    <xf numFmtId="0" fontId="15" fillId="18" borderId="371" xfId="0" applyFont="1" applyFill="1" applyBorder="1" applyProtection="1"/>
    <xf numFmtId="178" fontId="15" fillId="15" borderId="417" xfId="0" applyNumberFormat="1" applyFont="1" applyFill="1" applyBorder="1" applyProtection="1"/>
    <xf numFmtId="178" fontId="15" fillId="15" borderId="413" xfId="0" applyNumberFormat="1" applyFont="1" applyFill="1" applyBorder="1" applyProtection="1"/>
    <xf numFmtId="0" fontId="0" fillId="14" borderId="406" xfId="0" applyFill="1" applyBorder="1" applyProtection="1"/>
    <xf numFmtId="0" fontId="14" fillId="14" borderId="352" xfId="0" applyFont="1" applyFill="1" applyBorder="1" applyProtection="1"/>
    <xf numFmtId="0" fontId="14" fillId="14" borderId="353" xfId="0" applyFont="1" applyFill="1" applyBorder="1" applyProtection="1"/>
    <xf numFmtId="0" fontId="14" fillId="15" borderId="155" xfId="0" applyFont="1" applyFill="1" applyBorder="1" applyAlignment="1" applyProtection="1">
      <alignment horizontal="center"/>
    </xf>
    <xf numFmtId="1" fontId="14" fillId="0" borderId="14" xfId="0" applyNumberFormat="1" applyFont="1" applyBorder="1" applyAlignment="1" applyProtection="1">
      <alignment horizontal="center"/>
      <protection locked="0"/>
    </xf>
    <xf numFmtId="1" fontId="14" fillId="0" borderId="22" xfId="0" applyNumberFormat="1" applyFont="1" applyBorder="1" applyAlignment="1" applyProtection="1">
      <alignment horizontal="center"/>
      <protection locked="0"/>
    </xf>
    <xf numFmtId="1" fontId="14" fillId="17" borderId="65" xfId="0" applyNumberFormat="1" applyFont="1" applyFill="1" applyBorder="1" applyProtection="1"/>
    <xf numFmtId="1" fontId="15" fillId="18" borderId="15" xfId="0" applyNumberFormat="1" applyFont="1" applyFill="1" applyBorder="1" applyAlignment="1" applyProtection="1">
      <alignment horizontal="center" wrapText="1"/>
    </xf>
    <xf numFmtId="1" fontId="14" fillId="0" borderId="7" xfId="0" applyNumberFormat="1" applyFont="1" applyFill="1" applyBorder="1" applyProtection="1">
      <protection locked="0"/>
    </xf>
    <xf numFmtId="1" fontId="14" fillId="0" borderId="7" xfId="0" applyNumberFormat="1" applyFont="1" applyFill="1" applyBorder="1" applyAlignment="1" applyProtection="1">
      <protection locked="0"/>
    </xf>
    <xf numFmtId="1" fontId="14" fillId="0" borderId="223" xfId="0" applyNumberFormat="1" applyFont="1" applyFill="1" applyBorder="1" applyProtection="1">
      <protection locked="0"/>
    </xf>
    <xf numFmtId="0" fontId="27" fillId="17" borderId="73" xfId="0" applyFont="1" applyFill="1" applyBorder="1" applyAlignment="1" applyProtection="1">
      <alignment horizontal="center"/>
    </xf>
    <xf numFmtId="1" fontId="15" fillId="8" borderId="196" xfId="0" applyNumberFormat="1" applyFont="1" applyFill="1" applyBorder="1" applyProtection="1"/>
    <xf numFmtId="1" fontId="14" fillId="15" borderId="155" xfId="0" applyNumberFormat="1" applyFont="1" applyFill="1" applyBorder="1" applyAlignment="1" applyProtection="1">
      <alignment horizontal="center"/>
    </xf>
    <xf numFmtId="1" fontId="27" fillId="17" borderId="122" xfId="0" applyNumberFormat="1" applyFont="1" applyFill="1" applyBorder="1" applyAlignment="1" applyProtection="1">
      <alignment horizontal="center"/>
    </xf>
    <xf numFmtId="1" fontId="14" fillId="17" borderId="224" xfId="0" applyNumberFormat="1" applyFont="1" applyFill="1" applyBorder="1" applyProtection="1"/>
    <xf numFmtId="1" fontId="15" fillId="18" borderId="124" xfId="0" applyNumberFormat="1" applyFont="1" applyFill="1" applyBorder="1" applyAlignment="1" applyProtection="1">
      <alignment horizontal="center" wrapText="1"/>
    </xf>
    <xf numFmtId="1" fontId="14" fillId="0" borderId="225" xfId="0" applyNumberFormat="1" applyFont="1" applyFill="1" applyBorder="1" applyProtection="1">
      <protection locked="0"/>
    </xf>
    <xf numFmtId="1" fontId="14" fillId="0" borderId="225" xfId="0" applyNumberFormat="1" applyFont="1" applyFill="1" applyBorder="1" applyAlignment="1" applyProtection="1">
      <protection locked="0"/>
    </xf>
    <xf numFmtId="1" fontId="14" fillId="0" borderId="226" xfId="0" applyNumberFormat="1" applyFont="1" applyFill="1" applyBorder="1" applyProtection="1">
      <protection locked="0"/>
    </xf>
    <xf numFmtId="1" fontId="15" fillId="8" borderId="201" xfId="0" applyNumberFormat="1" applyFont="1" applyFill="1" applyBorder="1" applyProtection="1"/>
    <xf numFmtId="1" fontId="14" fillId="0" borderId="2" xfId="0" applyNumberFormat="1" applyFont="1" applyFill="1" applyBorder="1" applyProtection="1">
      <protection locked="0"/>
    </xf>
    <xf numFmtId="1" fontId="14" fillId="0" borderId="2" xfId="0" applyNumberFormat="1" applyFont="1" applyFill="1" applyBorder="1" applyAlignment="1" applyProtection="1">
      <protection locked="0"/>
    </xf>
    <xf numFmtId="1" fontId="14" fillId="0" borderId="227" xfId="0" applyNumberFormat="1" applyFont="1" applyFill="1" applyBorder="1" applyProtection="1">
      <protection locked="0"/>
    </xf>
    <xf numFmtId="1" fontId="15" fillId="8" borderId="125" xfId="0" applyNumberFormat="1" applyFont="1" applyFill="1" applyBorder="1" applyProtection="1"/>
    <xf numFmtId="1" fontId="14" fillId="15" borderId="228" xfId="0" applyNumberFormat="1" applyFont="1" applyFill="1" applyBorder="1" applyAlignment="1" applyProtection="1">
      <alignment horizontal="center"/>
    </xf>
    <xf numFmtId="169" fontId="15" fillId="18" borderId="133" xfId="0" applyNumberFormat="1" applyFont="1" applyFill="1" applyBorder="1" applyAlignment="1" applyProtection="1">
      <alignment horizontal="center" vertical="center"/>
    </xf>
    <xf numFmtId="9" fontId="28" fillId="0" borderId="15" xfId="10" applyFont="1" applyFill="1" applyBorder="1" applyAlignment="1" applyProtection="1">
      <alignment horizontal="right"/>
    </xf>
    <xf numFmtId="1" fontId="15" fillId="8" borderId="0" xfId="0" applyNumberFormat="1" applyFont="1" applyFill="1" applyBorder="1" applyProtection="1"/>
    <xf numFmtId="1" fontId="15" fillId="8" borderId="0" xfId="0" applyNumberFormat="1" applyFont="1" applyFill="1" applyBorder="1" applyAlignment="1" applyProtection="1">
      <alignment horizontal="center"/>
    </xf>
    <xf numFmtId="10" fontId="15" fillId="8" borderId="0" xfId="0" applyNumberFormat="1" applyFont="1" applyFill="1" applyBorder="1" applyAlignment="1" applyProtection="1">
      <alignment horizontal="right"/>
    </xf>
    <xf numFmtId="0" fontId="14" fillId="17" borderId="348" xfId="0" applyFont="1" applyFill="1" applyBorder="1" applyAlignment="1" applyProtection="1">
      <protection locked="0"/>
    </xf>
    <xf numFmtId="2" fontId="15" fillId="17" borderId="349" xfId="0" applyNumberFormat="1" applyFont="1" applyFill="1" applyBorder="1" applyAlignment="1" applyProtection="1">
      <alignment horizontal="center" vertical="center"/>
      <protection locked="0"/>
    </xf>
    <xf numFmtId="2" fontId="15" fillId="17" borderId="351" xfId="0" applyNumberFormat="1" applyFont="1" applyFill="1" applyBorder="1" applyAlignment="1" applyProtection="1">
      <alignment horizontal="center" vertical="center"/>
      <protection locked="0"/>
    </xf>
    <xf numFmtId="2" fontId="15" fillId="18" borderId="334" xfId="0" applyNumberFormat="1" applyFont="1" applyFill="1" applyBorder="1" applyAlignment="1" applyProtection="1">
      <alignment horizontal="center" vertical="center"/>
      <protection locked="0"/>
    </xf>
    <xf numFmtId="0" fontId="15" fillId="18" borderId="366" xfId="0" applyFont="1" applyFill="1" applyBorder="1" applyAlignment="1" applyProtection="1">
      <protection locked="0"/>
    </xf>
    <xf numFmtId="165" fontId="15" fillId="8" borderId="367" xfId="0" applyNumberFormat="1" applyFont="1" applyFill="1" applyBorder="1" applyAlignment="1" applyProtection="1">
      <protection locked="0"/>
    </xf>
    <xf numFmtId="165" fontId="15" fillId="8" borderId="413" xfId="0" applyNumberFormat="1" applyFont="1" applyFill="1" applyBorder="1" applyAlignment="1" applyProtection="1">
      <protection locked="0"/>
    </xf>
    <xf numFmtId="2" fontId="15" fillId="14" borderId="0" xfId="0" applyNumberFormat="1" applyFont="1" applyFill="1" applyBorder="1" applyAlignment="1" applyProtection="1">
      <protection locked="0"/>
    </xf>
    <xf numFmtId="2" fontId="14" fillId="0" borderId="0" xfId="0" applyNumberFormat="1" applyFont="1" applyAlignment="1" applyProtection="1">
      <protection locked="0"/>
    </xf>
    <xf numFmtId="2" fontId="14" fillId="14" borderId="0" xfId="0" applyNumberFormat="1" applyFont="1" applyFill="1" applyBorder="1" applyAlignment="1" applyProtection="1">
      <protection locked="0"/>
    </xf>
    <xf numFmtId="2" fontId="14" fillId="0" borderId="0" xfId="0" applyNumberFormat="1" applyFont="1" applyFill="1" applyAlignment="1" applyProtection="1">
      <protection locked="0"/>
    </xf>
    <xf numFmtId="0" fontId="14" fillId="0" borderId="0" xfId="0" applyFont="1" applyAlignment="1" applyProtection="1">
      <protection locked="0"/>
    </xf>
    <xf numFmtId="2" fontId="14" fillId="14" borderId="229" xfId="0" applyNumberFormat="1" applyFont="1" applyFill="1" applyBorder="1" applyAlignment="1" applyProtection="1">
      <protection locked="0"/>
    </xf>
    <xf numFmtId="2" fontId="14" fillId="16" borderId="230" xfId="0" applyNumberFormat="1" applyFont="1" applyFill="1" applyBorder="1" applyAlignment="1" applyProtection="1">
      <protection locked="0"/>
    </xf>
    <xf numFmtId="1" fontId="14" fillId="16" borderId="230" xfId="0" applyNumberFormat="1" applyFont="1" applyFill="1" applyBorder="1" applyAlignment="1" applyProtection="1">
      <protection locked="0"/>
    </xf>
    <xf numFmtId="10" fontId="15" fillId="18" borderId="0" xfId="0" applyNumberFormat="1" applyFont="1" applyFill="1" applyBorder="1" applyAlignment="1" applyProtection="1">
      <alignment horizontal="center" vertical="center" wrapText="1"/>
      <protection locked="0"/>
    </xf>
    <xf numFmtId="2" fontId="15" fillId="18" borderId="346" xfId="0" applyNumberFormat="1" applyFont="1" applyFill="1" applyBorder="1" applyAlignment="1" applyProtection="1">
      <alignment horizontal="center" vertical="center" wrapText="1"/>
      <protection locked="0"/>
    </xf>
    <xf numFmtId="0" fontId="21" fillId="14" borderId="0" xfId="0" applyFont="1" applyFill="1" applyBorder="1" applyProtection="1"/>
    <xf numFmtId="0" fontId="54" fillId="23" borderId="0" xfId="0" applyFont="1" applyFill="1" applyBorder="1" applyProtection="1"/>
    <xf numFmtId="0" fontId="19" fillId="23" borderId="0" xfId="0" applyFont="1" applyFill="1" applyBorder="1" applyProtection="1"/>
    <xf numFmtId="0" fontId="21" fillId="23" borderId="231" xfId="0" applyFont="1" applyFill="1" applyBorder="1" applyProtection="1"/>
    <xf numFmtId="0" fontId="14" fillId="23" borderId="0" xfId="0" applyFont="1" applyFill="1" applyBorder="1" applyProtection="1"/>
    <xf numFmtId="0" fontId="14" fillId="23" borderId="232" xfId="0" applyFont="1" applyFill="1" applyBorder="1" applyProtection="1"/>
    <xf numFmtId="0" fontId="14" fillId="19" borderId="0" xfId="0" applyFont="1" applyFill="1" applyBorder="1" applyAlignment="1" applyProtection="1">
      <alignment wrapText="1"/>
    </xf>
    <xf numFmtId="0" fontId="14" fillId="19" borderId="120" xfId="0" applyFont="1" applyFill="1" applyBorder="1" applyProtection="1"/>
    <xf numFmtId="0" fontId="14" fillId="19" borderId="121" xfId="0" applyFont="1" applyFill="1" applyBorder="1" applyProtection="1"/>
    <xf numFmtId="0" fontId="14" fillId="19" borderId="152" xfId="0" applyFont="1" applyFill="1" applyBorder="1" applyProtection="1"/>
    <xf numFmtId="0" fontId="14" fillId="19" borderId="125" xfId="0" applyFont="1" applyFill="1" applyBorder="1" applyProtection="1"/>
    <xf numFmtId="0" fontId="15" fillId="23" borderId="0" xfId="0" applyFont="1" applyFill="1" applyBorder="1" applyProtection="1"/>
    <xf numFmtId="0" fontId="7" fillId="16" borderId="0" xfId="0" applyFont="1" applyFill="1" applyBorder="1" applyProtection="1"/>
    <xf numFmtId="0" fontId="21" fillId="23" borderId="233" xfId="0" applyFont="1" applyFill="1" applyBorder="1" applyProtection="1"/>
    <xf numFmtId="0" fontId="19" fillId="23" borderId="179" xfId="0" applyFont="1" applyFill="1" applyBorder="1" applyProtection="1"/>
    <xf numFmtId="0" fontId="14" fillId="23" borderId="234" xfId="0" applyFont="1" applyFill="1" applyBorder="1" applyProtection="1"/>
    <xf numFmtId="0" fontId="14" fillId="23" borderId="235" xfId="0" applyFont="1" applyFill="1" applyBorder="1" applyAlignment="1" applyProtection="1">
      <alignment horizontal="center"/>
    </xf>
    <xf numFmtId="0" fontId="14" fillId="23" borderId="232" xfId="0" applyFont="1" applyFill="1" applyBorder="1" applyAlignment="1" applyProtection="1">
      <alignment horizontal="center"/>
    </xf>
    <xf numFmtId="0" fontId="14" fillId="23" borderId="231" xfId="0" applyFont="1" applyFill="1" applyBorder="1" applyProtection="1"/>
    <xf numFmtId="0" fontId="14" fillId="0" borderId="236" xfId="0" applyFont="1" applyFill="1" applyBorder="1" applyProtection="1"/>
    <xf numFmtId="0" fontId="14" fillId="0" borderId="236" xfId="0" applyFont="1" applyFill="1" applyBorder="1" applyAlignment="1" applyProtection="1">
      <alignment horizontal="center"/>
    </xf>
    <xf numFmtId="0" fontId="14" fillId="0" borderId="236" xfId="0" quotePrefix="1" applyFont="1" applyFill="1" applyBorder="1" applyAlignment="1" applyProtection="1">
      <alignment horizontal="center"/>
    </xf>
    <xf numFmtId="0" fontId="14" fillId="19" borderId="236" xfId="0" applyFont="1" applyFill="1" applyBorder="1" applyProtection="1"/>
    <xf numFmtId="1" fontId="55" fillId="0" borderId="236" xfId="9" applyNumberFormat="1" applyFont="1" applyFill="1" applyBorder="1" applyProtection="1"/>
    <xf numFmtId="9" fontId="55" fillId="0" borderId="236" xfId="9" applyFont="1" applyFill="1" applyBorder="1" applyProtection="1"/>
    <xf numFmtId="0" fontId="15" fillId="16" borderId="236" xfId="0" applyFont="1" applyFill="1" applyBorder="1" applyProtection="1"/>
    <xf numFmtId="0" fontId="15" fillId="16" borderId="236" xfId="0" applyFont="1" applyFill="1" applyBorder="1" applyAlignment="1" applyProtection="1">
      <alignment horizontal="center"/>
    </xf>
    <xf numFmtId="0" fontId="0" fillId="0" borderId="236" xfId="0" applyFill="1" applyBorder="1" applyProtection="1"/>
    <xf numFmtId="9" fontId="1" fillId="20" borderId="236" xfId="0" applyNumberFormat="1" applyFont="1" applyFill="1" applyBorder="1" applyAlignment="1" applyProtection="1">
      <alignment horizontal="center"/>
    </xf>
    <xf numFmtId="0" fontId="0" fillId="0" borderId="236" xfId="0" applyFill="1" applyBorder="1" applyAlignment="1" applyProtection="1">
      <alignment horizontal="center"/>
    </xf>
    <xf numFmtId="1" fontId="2" fillId="16" borderId="236" xfId="0" applyNumberFormat="1" applyFont="1" applyFill="1" applyBorder="1" applyAlignment="1" applyProtection="1">
      <alignment horizontal="center"/>
    </xf>
    <xf numFmtId="0" fontId="2" fillId="16" borderId="236" xfId="0" applyFont="1" applyFill="1" applyBorder="1" applyAlignment="1" applyProtection="1">
      <alignment horizontal="center"/>
    </xf>
    <xf numFmtId="0" fontId="30" fillId="0" borderId="236" xfId="0" applyFont="1" applyFill="1" applyBorder="1" applyProtection="1"/>
    <xf numFmtId="1" fontId="14" fillId="0" borderId="129" xfId="0" applyNumberFormat="1" applyFont="1" applyFill="1" applyBorder="1" applyAlignment="1" applyProtection="1">
      <alignment horizontal="right" vertical="center"/>
    </xf>
    <xf numFmtId="0" fontId="14" fillId="17" borderId="88" xfId="0" applyFont="1" applyFill="1" applyBorder="1" applyAlignment="1" applyProtection="1">
      <alignment horizontal="center" vertical="center" wrapText="1"/>
    </xf>
    <xf numFmtId="1" fontId="14" fillId="0" borderId="237" xfId="0" applyNumberFormat="1" applyFont="1" applyFill="1" applyBorder="1" applyAlignment="1" applyProtection="1">
      <alignment horizontal="center"/>
      <protection locked="0"/>
    </xf>
    <xf numFmtId="1" fontId="14" fillId="15" borderId="121" xfId="0" applyNumberFormat="1" applyFont="1" applyFill="1" applyBorder="1" applyAlignment="1" applyProtection="1">
      <alignment horizontal="center" wrapText="1"/>
    </xf>
    <xf numFmtId="10" fontId="14" fillId="0" borderId="238" xfId="0" applyNumberFormat="1" applyFont="1" applyFill="1" applyBorder="1" applyAlignment="1" applyProtection="1">
      <alignment horizontal="center" wrapText="1"/>
      <protection locked="0"/>
    </xf>
    <xf numFmtId="1" fontId="14" fillId="0" borderId="58" xfId="0" applyNumberFormat="1" applyFont="1" applyFill="1" applyBorder="1" applyAlignment="1" applyProtection="1">
      <alignment horizontal="center"/>
      <protection locked="0"/>
    </xf>
    <xf numFmtId="1" fontId="14" fillId="0" borderId="239" xfId="0" applyNumberFormat="1" applyFont="1" applyFill="1" applyBorder="1" applyAlignment="1" applyProtection="1">
      <alignment horizontal="center"/>
      <protection locked="0"/>
    </xf>
    <xf numFmtId="1" fontId="14" fillId="15" borderId="125" xfId="0" applyNumberFormat="1" applyFont="1" applyFill="1" applyBorder="1" applyAlignment="1" applyProtection="1">
      <alignment horizontal="center" wrapText="1"/>
    </xf>
    <xf numFmtId="10" fontId="14" fillId="0" borderId="240" xfId="0" applyNumberFormat="1" applyFont="1" applyFill="1" applyBorder="1" applyAlignment="1" applyProtection="1">
      <alignment horizontal="center"/>
      <protection locked="0"/>
    </xf>
    <xf numFmtId="3" fontId="14" fillId="3" borderId="241" xfId="0" applyNumberFormat="1" applyFont="1" applyFill="1" applyBorder="1" applyProtection="1">
      <protection locked="0"/>
    </xf>
    <xf numFmtId="2" fontId="15" fillId="20" borderId="0" xfId="0" applyNumberFormat="1" applyFont="1" applyFill="1" applyBorder="1" applyAlignment="1" applyProtection="1">
      <protection locked="0"/>
    </xf>
    <xf numFmtId="2" fontId="14" fillId="20" borderId="0" xfId="0" applyNumberFormat="1" applyFont="1" applyFill="1" applyBorder="1" applyAlignment="1" applyProtection="1">
      <protection locked="0"/>
    </xf>
    <xf numFmtId="2" fontId="14" fillId="20" borderId="0" xfId="0" applyNumberFormat="1" applyFont="1" applyFill="1" applyBorder="1" applyProtection="1"/>
    <xf numFmtId="167" fontId="14" fillId="20" borderId="0" xfId="0" applyNumberFormat="1" applyFont="1" applyFill="1" applyBorder="1" applyAlignment="1" applyProtection="1">
      <alignment horizontal="center"/>
    </xf>
    <xf numFmtId="167" fontId="24" fillId="20" borderId="0" xfId="0" applyNumberFormat="1" applyFont="1" applyFill="1" applyBorder="1" applyAlignment="1" applyProtection="1">
      <alignment horizontal="center"/>
    </xf>
    <xf numFmtId="2" fontId="15" fillId="0" borderId="0" xfId="0" applyNumberFormat="1" applyFont="1" applyFill="1" applyBorder="1" applyAlignment="1" applyProtection="1">
      <protection locked="0"/>
    </xf>
    <xf numFmtId="2" fontId="14" fillId="0" borderId="0" xfId="0" applyNumberFormat="1" applyFont="1" applyFill="1" applyBorder="1" applyAlignment="1" applyProtection="1">
      <protection locked="0"/>
    </xf>
    <xf numFmtId="0" fontId="14" fillId="0" borderId="0" xfId="0" applyFont="1" applyFill="1" applyBorder="1" applyAlignment="1" applyProtection="1">
      <protection locked="0"/>
    </xf>
    <xf numFmtId="167" fontId="14" fillId="0" borderId="0" xfId="0" applyNumberFormat="1" applyFont="1" applyFill="1" applyBorder="1" applyAlignment="1" applyProtection="1">
      <alignment horizontal="center"/>
    </xf>
    <xf numFmtId="167" fontId="24" fillId="0" borderId="0" xfId="0" applyNumberFormat="1" applyFont="1" applyFill="1" applyBorder="1" applyAlignment="1" applyProtection="1">
      <alignment horizontal="center"/>
    </xf>
    <xf numFmtId="0" fontId="14" fillId="0" borderId="344" xfId="0" applyFont="1" applyFill="1" applyBorder="1" applyProtection="1"/>
    <xf numFmtId="2" fontId="0" fillId="0" borderId="344" xfId="0" applyNumberFormat="1" applyFill="1" applyBorder="1" applyProtection="1"/>
    <xf numFmtId="2" fontId="0" fillId="0" borderId="0" xfId="0" applyNumberFormat="1" applyFill="1" applyBorder="1" applyProtection="1"/>
    <xf numFmtId="2" fontId="15" fillId="0" borderId="349" xfId="0" applyNumberFormat="1" applyFont="1" applyFill="1" applyBorder="1" applyAlignment="1" applyProtection="1">
      <alignment horizontal="center" vertical="center"/>
      <protection locked="0"/>
    </xf>
    <xf numFmtId="2" fontId="14" fillId="0" borderId="446" xfId="0" applyNumberFormat="1" applyFont="1" applyFill="1" applyBorder="1" applyAlignment="1" applyProtection="1">
      <protection locked="0"/>
    </xf>
    <xf numFmtId="1" fontId="15" fillId="23" borderId="446" xfId="0" applyNumberFormat="1" applyFont="1" applyFill="1" applyBorder="1" applyAlignment="1" applyProtection="1">
      <alignment horizontal="center"/>
      <protection locked="0"/>
    </xf>
    <xf numFmtId="2" fontId="15" fillId="8" borderId="446" xfId="0" applyNumberFormat="1" applyFont="1" applyFill="1" applyBorder="1" applyAlignment="1" applyProtection="1">
      <protection locked="0"/>
    </xf>
    <xf numFmtId="2" fontId="14" fillId="0" borderId="446" xfId="0" applyNumberFormat="1" applyFont="1" applyBorder="1" applyAlignment="1" applyProtection="1">
      <protection locked="0"/>
    </xf>
    <xf numFmtId="2" fontId="14" fillId="0" borderId="446" xfId="0" applyNumberFormat="1" applyFont="1" applyFill="1" applyBorder="1" applyAlignment="1" applyProtection="1">
      <alignment horizontal="center"/>
      <protection locked="0"/>
    </xf>
    <xf numFmtId="4" fontId="15" fillId="8" borderId="446" xfId="0" applyNumberFormat="1" applyFont="1" applyFill="1" applyBorder="1" applyAlignment="1" applyProtection="1">
      <protection locked="0"/>
    </xf>
    <xf numFmtId="2" fontId="15" fillId="20" borderId="447" xfId="0" applyNumberFormat="1" applyFont="1" applyFill="1" applyBorder="1" applyAlignment="1" applyProtection="1">
      <protection locked="0"/>
    </xf>
    <xf numFmtId="0" fontId="2" fillId="20" borderId="448" xfId="0" applyFont="1" applyFill="1" applyBorder="1" applyAlignment="1" applyProtection="1">
      <protection locked="0"/>
    </xf>
    <xf numFmtId="0" fontId="2" fillId="20" borderId="449" xfId="0" applyFont="1" applyFill="1" applyBorder="1" applyAlignment="1" applyProtection="1">
      <protection locked="0"/>
    </xf>
    <xf numFmtId="0" fontId="54" fillId="0" borderId="0" xfId="0" applyFont="1" applyFill="1" applyBorder="1" applyProtection="1"/>
    <xf numFmtId="0" fontId="19" fillId="0" borderId="0" xfId="0" applyFont="1" applyFill="1" applyBorder="1" applyProtection="1"/>
    <xf numFmtId="0" fontId="21" fillId="0" borderId="0" xfId="0" applyFont="1" applyFill="1" applyBorder="1" applyProtection="1"/>
    <xf numFmtId="0" fontId="14" fillId="0" borderId="0" xfId="0" applyFont="1" applyFill="1" applyBorder="1" applyAlignment="1" applyProtection="1">
      <alignment horizontal="center"/>
    </xf>
    <xf numFmtId="0" fontId="14" fillId="0" borderId="0" xfId="0" applyFont="1" applyFill="1" applyBorder="1" applyAlignment="1" applyProtection="1">
      <alignment wrapText="1"/>
    </xf>
    <xf numFmtId="0" fontId="14" fillId="0" borderId="0" xfId="0" quotePrefix="1" applyFont="1" applyFill="1" applyBorder="1" applyAlignment="1" applyProtection="1">
      <alignment horizontal="center"/>
    </xf>
    <xf numFmtId="1" fontId="55" fillId="0" borderId="0" xfId="9" applyNumberFormat="1" applyFont="1" applyFill="1" applyBorder="1" applyProtection="1"/>
    <xf numFmtId="9" fontId="55" fillId="0" borderId="0" xfId="9" applyFont="1" applyFill="1" applyBorder="1" applyProtection="1"/>
    <xf numFmtId="0" fontId="15" fillId="0" borderId="0" xfId="0" applyFont="1" applyFill="1" applyBorder="1" applyAlignment="1" applyProtection="1">
      <alignment horizontal="center"/>
    </xf>
    <xf numFmtId="1" fontId="2" fillId="0" borderId="0" xfId="0" applyNumberFormat="1" applyFont="1" applyFill="1" applyBorder="1" applyAlignment="1" applyProtection="1">
      <alignment horizontal="center"/>
    </xf>
    <xf numFmtId="9" fontId="1" fillId="0" borderId="0" xfId="0" applyNumberFormat="1" applyFont="1" applyFill="1" applyBorder="1" applyAlignment="1" applyProtection="1">
      <alignment horizontal="center"/>
    </xf>
    <xf numFmtId="0" fontId="7" fillId="0" borderId="0" xfId="0" applyFont="1" applyFill="1" applyBorder="1" applyProtection="1"/>
    <xf numFmtId="0" fontId="2" fillId="0" borderId="0" xfId="0" applyFont="1" applyFill="1" applyBorder="1" applyAlignment="1" applyProtection="1">
      <alignment horizontal="center"/>
    </xf>
    <xf numFmtId="0" fontId="30" fillId="0" borderId="0" xfId="0" applyFont="1" applyFill="1" applyBorder="1" applyProtection="1"/>
    <xf numFmtId="1" fontId="14" fillId="0" borderId="0" xfId="10" applyNumberFormat="1" applyFont="1" applyFill="1" applyBorder="1" applyAlignment="1" applyProtection="1">
      <alignment horizontal="center"/>
    </xf>
    <xf numFmtId="0" fontId="21" fillId="20" borderId="184" xfId="0" applyFont="1" applyFill="1" applyBorder="1"/>
    <xf numFmtId="0" fontId="21" fillId="20" borderId="0" xfId="0" applyFont="1" applyFill="1" applyBorder="1"/>
    <xf numFmtId="0" fontId="21" fillId="20" borderId="75" xfId="0" applyFont="1" applyFill="1" applyBorder="1"/>
    <xf numFmtId="0" fontId="18" fillId="20" borderId="246" xfId="0" applyFont="1" applyFill="1" applyBorder="1"/>
    <xf numFmtId="0" fontId="18" fillId="20" borderId="247" xfId="0" applyFont="1" applyFill="1" applyBorder="1"/>
    <xf numFmtId="0" fontId="18" fillId="20" borderId="233" xfId="0" applyFont="1" applyFill="1" applyBorder="1" applyAlignment="1"/>
    <xf numFmtId="0" fontId="21" fillId="20" borderId="0" xfId="0" applyFont="1" applyFill="1"/>
    <xf numFmtId="0" fontId="18" fillId="20" borderId="0" xfId="0" applyFont="1" applyFill="1" applyBorder="1"/>
    <xf numFmtId="0" fontId="18" fillId="20" borderId="248" xfId="0" applyFont="1" applyFill="1" applyBorder="1" applyAlignment="1"/>
    <xf numFmtId="0" fontId="18" fillId="20" borderId="249" xfId="0" applyFont="1" applyFill="1" applyBorder="1"/>
    <xf numFmtId="0" fontId="18" fillId="20" borderId="250" xfId="0" applyFont="1" applyFill="1" applyBorder="1"/>
    <xf numFmtId="0" fontId="18" fillId="20" borderId="233" xfId="0" applyFont="1" applyFill="1" applyBorder="1"/>
    <xf numFmtId="0" fontId="18" fillId="20" borderId="248" xfId="0" applyFont="1" applyFill="1" applyBorder="1"/>
    <xf numFmtId="0" fontId="21" fillId="20" borderId="185" xfId="0" applyFont="1" applyFill="1" applyBorder="1"/>
    <xf numFmtId="0" fontId="21" fillId="20" borderId="83" xfId="0" applyFont="1" applyFill="1" applyBorder="1"/>
    <xf numFmtId="0" fontId="21" fillId="20" borderId="82" xfId="0" applyFont="1" applyFill="1" applyBorder="1"/>
    <xf numFmtId="0" fontId="21" fillId="0" borderId="0" xfId="0" applyFont="1"/>
    <xf numFmtId="0" fontId="21" fillId="6" borderId="183" xfId="0" applyFont="1" applyFill="1" applyBorder="1"/>
    <xf numFmtId="0" fontId="21" fillId="6" borderId="114" xfId="0" applyFont="1" applyFill="1" applyBorder="1"/>
    <xf numFmtId="0" fontId="21" fillId="6" borderId="184" xfId="0" applyFont="1" applyFill="1" applyBorder="1"/>
    <xf numFmtId="0" fontId="21" fillId="6" borderId="0" xfId="0" applyFont="1" applyFill="1" applyBorder="1"/>
    <xf numFmtId="0" fontId="21" fillId="6" borderId="75" xfId="0" applyFont="1" applyFill="1" applyBorder="1"/>
    <xf numFmtId="0" fontId="21" fillId="6" borderId="185" xfId="0" applyFont="1" applyFill="1" applyBorder="1"/>
    <xf numFmtId="0" fontId="21" fillId="6" borderId="83" xfId="0" applyFont="1" applyFill="1" applyBorder="1"/>
    <xf numFmtId="0" fontId="21" fillId="6" borderId="82" xfId="0" applyFont="1" applyFill="1" applyBorder="1"/>
    <xf numFmtId="0" fontId="15" fillId="18" borderId="251" xfId="0" applyFont="1" applyFill="1" applyBorder="1" applyAlignment="1" applyProtection="1">
      <alignment horizontal="left" vertical="center" wrapText="1" indent="1"/>
    </xf>
    <xf numFmtId="0" fontId="15" fillId="18" borderId="157" xfId="0" applyFont="1" applyFill="1" applyBorder="1" applyAlignment="1" applyProtection="1">
      <alignment horizontal="right" vertical="center"/>
    </xf>
    <xf numFmtId="0" fontId="15" fillId="16" borderId="157" xfId="0" applyFont="1" applyFill="1" applyBorder="1" applyAlignment="1" applyProtection="1">
      <alignment horizontal="center" vertical="center" wrapText="1"/>
    </xf>
    <xf numFmtId="1" fontId="14" fillId="20" borderId="157" xfId="0" applyNumberFormat="1" applyFont="1" applyFill="1" applyBorder="1" applyAlignment="1" applyProtection="1">
      <alignment horizontal="center" vertical="center"/>
    </xf>
    <xf numFmtId="0" fontId="15" fillId="5" borderId="157" xfId="0" applyFont="1" applyFill="1" applyBorder="1" applyAlignment="1" applyProtection="1">
      <alignment horizontal="right" vertical="center"/>
    </xf>
    <xf numFmtId="0" fontId="1" fillId="20" borderId="0" xfId="19" applyFill="1"/>
    <xf numFmtId="0" fontId="8" fillId="0" borderId="0" xfId="19" applyFont="1"/>
    <xf numFmtId="0" fontId="1" fillId="0" borderId="0" xfId="19"/>
    <xf numFmtId="0" fontId="56" fillId="6" borderId="0" xfId="19" applyFont="1" applyFill="1" applyAlignment="1"/>
    <xf numFmtId="0" fontId="56" fillId="0" borderId="0" xfId="19" applyFont="1" applyFill="1" applyAlignment="1"/>
    <xf numFmtId="0" fontId="8" fillId="0" borderId="0" xfId="19" applyFont="1" applyAlignment="1"/>
    <xf numFmtId="0" fontId="25" fillId="0" borderId="0" xfId="19" applyFont="1"/>
    <xf numFmtId="0" fontId="24" fillId="0" borderId="0" xfId="19" applyFont="1"/>
    <xf numFmtId="1" fontId="24" fillId="0" borderId="0" xfId="19" applyNumberFormat="1" applyFont="1"/>
    <xf numFmtId="1" fontId="25" fillId="0" borderId="0" xfId="19" applyNumberFormat="1" applyFont="1"/>
    <xf numFmtId="3" fontId="25" fillId="0" borderId="0" xfId="19" applyNumberFormat="1" applyFont="1"/>
    <xf numFmtId="10" fontId="25" fillId="0" borderId="0" xfId="19" applyNumberFormat="1" applyFont="1"/>
    <xf numFmtId="0" fontId="24" fillId="27" borderId="0" xfId="19" applyFont="1" applyFill="1"/>
    <xf numFmtId="0" fontId="25" fillId="27" borderId="0" xfId="19" applyFont="1" applyFill="1"/>
    <xf numFmtId="1" fontId="25" fillId="27" borderId="0" xfId="19" applyNumberFormat="1" applyFont="1" applyFill="1"/>
    <xf numFmtId="3" fontId="25" fillId="27" borderId="0" xfId="19" applyNumberFormat="1" applyFont="1" applyFill="1"/>
    <xf numFmtId="0" fontId="25" fillId="10" borderId="0" xfId="19" applyFont="1" applyFill="1"/>
    <xf numFmtId="1" fontId="25" fillId="10" borderId="0" xfId="19" applyNumberFormat="1" applyFont="1" applyFill="1"/>
    <xf numFmtId="3" fontId="25" fillId="10" borderId="0" xfId="19" applyNumberFormat="1" applyFont="1" applyFill="1"/>
    <xf numFmtId="1" fontId="24" fillId="27" borderId="0" xfId="19" applyNumberFormat="1" applyFont="1" applyFill="1"/>
    <xf numFmtId="2" fontId="25" fillId="0" borderId="0" xfId="19" applyNumberFormat="1" applyFont="1"/>
    <xf numFmtId="0" fontId="24" fillId="6" borderId="0" xfId="19" applyFont="1" applyFill="1"/>
    <xf numFmtId="1" fontId="24" fillId="6" borderId="0" xfId="19" applyNumberFormat="1" applyFont="1" applyFill="1" applyAlignment="1">
      <alignment horizontal="center"/>
    </xf>
    <xf numFmtId="0" fontId="43" fillId="6" borderId="0" xfId="19" applyFont="1" applyFill="1"/>
    <xf numFmtId="0" fontId="1" fillId="6" borderId="0" xfId="19" applyFill="1"/>
    <xf numFmtId="1" fontId="24" fillId="6" borderId="0" xfId="19" applyNumberFormat="1" applyFont="1" applyFill="1"/>
    <xf numFmtId="10" fontId="24" fillId="27" borderId="0" xfId="19" applyNumberFormat="1" applyFont="1" applyFill="1"/>
    <xf numFmtId="1" fontId="1" fillId="0" borderId="0" xfId="19" applyNumberFormat="1"/>
    <xf numFmtId="0" fontId="59" fillId="0" borderId="0" xfId="0" applyFont="1" applyAlignment="1">
      <alignment horizontal="left" indent="4"/>
    </xf>
    <xf numFmtId="0" fontId="60" fillId="0" borderId="0" xfId="0" applyFont="1" applyAlignment="1">
      <alignment horizontal="left" indent="4"/>
    </xf>
    <xf numFmtId="0" fontId="61" fillId="5" borderId="0" xfId="0" applyFont="1" applyFill="1" applyBorder="1" applyProtection="1"/>
    <xf numFmtId="185" fontId="15" fillId="21" borderId="94" xfId="0" applyNumberFormat="1" applyFont="1" applyFill="1" applyBorder="1" applyAlignment="1" applyProtection="1">
      <alignment horizontal="center"/>
      <protection locked="0"/>
    </xf>
    <xf numFmtId="1" fontId="14" fillId="21" borderId="340" xfId="10" applyNumberFormat="1" applyFont="1" applyFill="1" applyBorder="1" applyProtection="1">
      <protection locked="0"/>
    </xf>
    <xf numFmtId="0" fontId="49" fillId="24" borderId="349" xfId="21" applyFont="1" applyFill="1" applyBorder="1" applyAlignment="1" applyProtection="1">
      <alignment vertical="center" wrapText="1"/>
    </xf>
    <xf numFmtId="0" fontId="24" fillId="17" borderId="349" xfId="21" applyFont="1" applyFill="1" applyBorder="1" applyProtection="1"/>
    <xf numFmtId="2" fontId="25" fillId="18" borderId="0" xfId="21" applyNumberFormat="1" applyFont="1" applyFill="1" applyBorder="1" applyAlignment="1" applyProtection="1">
      <alignment horizontal="left"/>
    </xf>
    <xf numFmtId="2" fontId="24" fillId="18" borderId="0" xfId="21" applyNumberFormat="1" applyFont="1" applyFill="1" applyBorder="1" applyAlignment="1" applyProtection="1">
      <alignment horizontal="left" vertical="center"/>
    </xf>
    <xf numFmtId="0" fontId="25" fillId="17" borderId="364" xfId="21" applyFont="1" applyFill="1" applyBorder="1" applyAlignment="1" applyProtection="1">
      <alignment horizontal="left"/>
    </xf>
    <xf numFmtId="0" fontId="25" fillId="0" borderId="450" xfId="21" applyFont="1" applyFill="1" applyBorder="1" applyAlignment="1" applyProtection="1">
      <protection locked="0"/>
    </xf>
    <xf numFmtId="0" fontId="25" fillId="0" borderId="451" xfId="21" applyFont="1" applyFill="1" applyBorder="1" applyAlignment="1" applyProtection="1">
      <protection locked="0"/>
    </xf>
    <xf numFmtId="0" fontId="25" fillId="0" borderId="452" xfId="21" applyFont="1" applyFill="1" applyBorder="1" applyAlignment="1" applyProtection="1">
      <protection locked="0"/>
    </xf>
    <xf numFmtId="0" fontId="24" fillId="16" borderId="418" xfId="21" applyFont="1" applyFill="1" applyBorder="1" applyAlignment="1" applyProtection="1">
      <alignment wrapText="1"/>
    </xf>
    <xf numFmtId="0" fontId="25" fillId="18" borderId="418" xfId="21" applyFont="1" applyFill="1" applyBorder="1" applyAlignment="1" applyProtection="1">
      <alignment wrapText="1"/>
    </xf>
    <xf numFmtId="0" fontId="24" fillId="16" borderId="418" xfId="21" applyFont="1" applyFill="1" applyBorder="1" applyAlignment="1" applyProtection="1">
      <alignment horizontal="left"/>
    </xf>
    <xf numFmtId="9" fontId="25" fillId="18" borderId="418" xfId="21" applyNumberFormat="1" applyFont="1" applyFill="1" applyBorder="1" applyAlignment="1" applyProtection="1">
      <alignment horizontal="left"/>
    </xf>
    <xf numFmtId="0" fontId="24" fillId="20" borderId="344" xfId="21" applyFont="1" applyFill="1" applyBorder="1" applyAlignment="1" applyProtection="1">
      <alignment horizontal="left" wrapText="1"/>
    </xf>
    <xf numFmtId="0" fontId="24" fillId="0" borderId="0" xfId="0" applyFont="1" applyBorder="1" applyAlignment="1" applyProtection="1">
      <alignment horizontal="left" wrapText="1"/>
    </xf>
    <xf numFmtId="2" fontId="25" fillId="18" borderId="0" xfId="21" applyNumberFormat="1" applyFont="1" applyFill="1" applyBorder="1" applyAlignment="1" applyProtection="1"/>
    <xf numFmtId="0" fontId="14" fillId="19" borderId="453" xfId="0" applyFont="1" applyFill="1" applyBorder="1" applyProtection="1"/>
    <xf numFmtId="0" fontId="14" fillId="0" borderId="453" xfId="0" applyFont="1" applyBorder="1" applyProtection="1"/>
    <xf numFmtId="0" fontId="14" fillId="0" borderId="453" xfId="0" applyFont="1" applyFill="1" applyBorder="1" applyProtection="1"/>
    <xf numFmtId="0" fontId="15" fillId="19" borderId="453" xfId="0" applyFont="1" applyFill="1" applyBorder="1" applyProtection="1"/>
    <xf numFmtId="0" fontId="14" fillId="20" borderId="0" xfId="0" applyFont="1" applyFill="1" applyProtection="1"/>
    <xf numFmtId="0" fontId="14" fillId="0" borderId="336" xfId="0" applyFont="1" applyBorder="1" applyProtection="1"/>
    <xf numFmtId="0" fontId="14" fillId="0" borderId="336" xfId="0" applyFont="1" applyFill="1" applyBorder="1" applyProtection="1"/>
    <xf numFmtId="0" fontId="14" fillId="20" borderId="454" xfId="0" applyFont="1" applyFill="1" applyBorder="1" applyProtection="1"/>
    <xf numFmtId="165" fontId="14" fillId="0" borderId="453" xfId="0" applyNumberFormat="1" applyFont="1" applyBorder="1" applyProtection="1"/>
    <xf numFmtId="165" fontId="14" fillId="0" borderId="336" xfId="0" applyNumberFormat="1" applyFont="1" applyBorder="1" applyProtection="1"/>
    <xf numFmtId="0" fontId="14" fillId="19" borderId="455" xfId="0" applyFont="1" applyFill="1" applyBorder="1" applyProtection="1"/>
    <xf numFmtId="0" fontId="14" fillId="0" borderId="455" xfId="0" applyFont="1" applyBorder="1" applyProtection="1"/>
    <xf numFmtId="0" fontId="14" fillId="0" borderId="348" xfId="0" applyFont="1" applyBorder="1" applyProtection="1"/>
    <xf numFmtId="0" fontId="0" fillId="20" borderId="336" xfId="0" applyFill="1" applyBorder="1" applyProtection="1"/>
    <xf numFmtId="0" fontId="0" fillId="20" borderId="337" xfId="0" applyFill="1" applyBorder="1" applyProtection="1"/>
    <xf numFmtId="0" fontId="0" fillId="20" borderId="338" xfId="0" applyFill="1" applyBorder="1" applyProtection="1"/>
    <xf numFmtId="0" fontId="61" fillId="19" borderId="453" xfId="0" applyFont="1" applyFill="1" applyBorder="1" applyProtection="1"/>
    <xf numFmtId="0" fontId="3" fillId="0" borderId="242" xfId="0" applyFont="1" applyFill="1" applyBorder="1" applyProtection="1"/>
    <xf numFmtId="0" fontId="21" fillId="0" borderId="373" xfId="0" applyFont="1" applyFill="1" applyBorder="1" applyAlignment="1" applyProtection="1">
      <alignment vertical="center"/>
      <protection locked="0"/>
    </xf>
    <xf numFmtId="0" fontId="21" fillId="0" borderId="373" xfId="0" applyFont="1" applyFill="1" applyBorder="1" applyAlignment="1" applyProtection="1">
      <alignment vertical="center" wrapText="1"/>
      <protection locked="0"/>
    </xf>
    <xf numFmtId="0" fontId="22" fillId="0" borderId="373" xfId="0" applyFont="1" applyFill="1" applyBorder="1" applyAlignment="1" applyProtection="1">
      <alignment horizontal="center" vertical="center"/>
      <protection locked="0"/>
    </xf>
    <xf numFmtId="9" fontId="25" fillId="18" borderId="418" xfId="21" applyNumberFormat="1" applyFont="1" applyFill="1" applyBorder="1" applyAlignment="1" applyProtection="1">
      <alignment horizontal="center"/>
    </xf>
    <xf numFmtId="164" fontId="14" fillId="3" borderId="255" xfId="0" applyNumberFormat="1" applyFont="1" applyFill="1" applyBorder="1" applyProtection="1">
      <protection locked="0"/>
    </xf>
    <xf numFmtId="0" fontId="15" fillId="3" borderId="135" xfId="0" applyFont="1" applyFill="1" applyBorder="1" applyAlignment="1" applyProtection="1">
      <alignment wrapText="1"/>
      <protection locked="0"/>
    </xf>
    <xf numFmtId="0" fontId="14" fillId="3" borderId="256" xfId="0" applyFont="1" applyFill="1" applyBorder="1" applyAlignment="1" applyProtection="1">
      <alignment wrapText="1"/>
      <protection locked="0"/>
    </xf>
    <xf numFmtId="0" fontId="92" fillId="3" borderId="257" xfId="0" applyFont="1" applyFill="1" applyBorder="1" applyAlignment="1" applyProtection="1">
      <alignment wrapText="1"/>
      <protection locked="0"/>
    </xf>
    <xf numFmtId="0" fontId="92" fillId="3" borderId="258" xfId="0" applyFont="1" applyFill="1" applyBorder="1" applyAlignment="1" applyProtection="1">
      <alignment wrapText="1"/>
      <protection locked="0"/>
    </xf>
    <xf numFmtId="0" fontId="92" fillId="3" borderId="259" xfId="0" applyFont="1" applyFill="1" applyBorder="1" applyAlignment="1" applyProtection="1">
      <alignment wrapText="1"/>
      <protection locked="0"/>
    </xf>
    <xf numFmtId="0" fontId="1" fillId="14" borderId="345" xfId="0" applyFont="1" applyFill="1" applyBorder="1" applyProtection="1"/>
    <xf numFmtId="0" fontId="2" fillId="19" borderId="447" xfId="0" applyFont="1" applyFill="1" applyBorder="1" applyAlignment="1" applyProtection="1">
      <alignment textRotation="90"/>
    </xf>
    <xf numFmtId="0" fontId="2" fillId="19" borderId="447" xfId="0" applyFont="1" applyFill="1" applyBorder="1" applyProtection="1"/>
    <xf numFmtId="0" fontId="1" fillId="23" borderId="448" xfId="0" applyFont="1" applyFill="1" applyBorder="1" applyProtection="1"/>
    <xf numFmtId="2" fontId="1" fillId="23" borderId="448" xfId="0" applyNumberFormat="1" applyFont="1" applyFill="1" applyBorder="1" applyProtection="1"/>
    <xf numFmtId="0" fontId="1" fillId="23" borderId="449" xfId="0" applyFont="1" applyFill="1" applyBorder="1" applyProtection="1"/>
    <xf numFmtId="9" fontId="15" fillId="8" borderId="193" xfId="0" applyNumberFormat="1" applyFont="1" applyFill="1" applyBorder="1" applyAlignment="1" applyProtection="1">
      <alignment horizontal="right"/>
    </xf>
    <xf numFmtId="0" fontId="0" fillId="20" borderId="0" xfId="0" applyFill="1" applyProtection="1"/>
    <xf numFmtId="0" fontId="0" fillId="20" borderId="448" xfId="0" applyFill="1" applyBorder="1" applyProtection="1"/>
    <xf numFmtId="0" fontId="14" fillId="20" borderId="449" xfId="0" applyFont="1" applyFill="1" applyBorder="1" applyProtection="1"/>
    <xf numFmtId="0" fontId="0" fillId="20" borderId="0" xfId="0" applyFill="1" applyBorder="1" applyProtection="1"/>
    <xf numFmtId="0" fontId="14" fillId="0" borderId="0" xfId="0" applyFont="1"/>
    <xf numFmtId="0" fontId="14" fillId="0" borderId="0" xfId="0" applyFont="1" applyFill="1"/>
    <xf numFmtId="0" fontId="14" fillId="0" borderId="48" xfId="0" applyFont="1" applyFill="1" applyBorder="1"/>
    <xf numFmtId="0" fontId="14" fillId="0" borderId="45" xfId="0" applyFont="1" applyFill="1" applyBorder="1"/>
    <xf numFmtId="2" fontId="25" fillId="0" borderId="0" xfId="0" applyNumberFormat="1" applyFont="1" applyFill="1"/>
    <xf numFmtId="0" fontId="25" fillId="0" borderId="0" xfId="0" applyFont="1" applyFill="1"/>
    <xf numFmtId="0" fontId="25" fillId="0" borderId="0" xfId="0" applyFont="1" applyFill="1" applyBorder="1"/>
    <xf numFmtId="183" fontId="63" fillId="0" borderId="0" xfId="0" applyNumberFormat="1" applyFont="1" applyFill="1" applyBorder="1" applyAlignment="1">
      <alignment horizontal="center"/>
    </xf>
    <xf numFmtId="171" fontId="63" fillId="0" borderId="0" xfId="0" applyNumberFormat="1" applyFont="1" applyFill="1" applyBorder="1"/>
    <xf numFmtId="2" fontId="63" fillId="0" borderId="0" xfId="0" applyNumberFormat="1" applyFont="1" applyFill="1" applyBorder="1" applyAlignment="1">
      <alignment horizontal="left"/>
    </xf>
    <xf numFmtId="0" fontId="63" fillId="0" borderId="0" xfId="0" applyFont="1" applyFill="1" applyBorder="1" applyAlignment="1">
      <alignment horizontal="center"/>
    </xf>
    <xf numFmtId="0" fontId="63" fillId="0" borderId="0" xfId="0" applyFont="1" applyFill="1" applyBorder="1"/>
    <xf numFmtId="2" fontId="25" fillId="0" borderId="0" xfId="0" applyNumberFormat="1" applyFont="1" applyFill="1" applyBorder="1" applyAlignment="1">
      <alignment horizontal="center"/>
    </xf>
    <xf numFmtId="171" fontId="24" fillId="0" borderId="0" xfId="0" applyNumberFormat="1" applyFont="1" applyFill="1" applyBorder="1"/>
    <xf numFmtId="2" fontId="24" fillId="0" borderId="0" xfId="0" applyNumberFormat="1" applyFont="1" applyFill="1" applyBorder="1"/>
    <xf numFmtId="9" fontId="24" fillId="0" borderId="0" xfId="0" applyNumberFormat="1" applyFont="1" applyFill="1" applyBorder="1"/>
    <xf numFmtId="2" fontId="64" fillId="0" borderId="0" xfId="0" applyNumberFormat="1" applyFont="1" applyFill="1" applyBorder="1" applyAlignment="1">
      <alignment horizontal="center"/>
    </xf>
    <xf numFmtId="165" fontId="25" fillId="0" borderId="0" xfId="0" applyNumberFormat="1" applyFont="1" applyFill="1" applyBorder="1"/>
    <xf numFmtId="0" fontId="64" fillId="0" borderId="0" xfId="0" applyFont="1" applyFill="1" applyBorder="1" applyAlignment="1">
      <alignment horizontal="center"/>
    </xf>
    <xf numFmtId="0" fontId="64" fillId="0" borderId="0" xfId="0" applyFont="1" applyFill="1" applyBorder="1"/>
    <xf numFmtId="0" fontId="25" fillId="8" borderId="260" xfId="0" applyFont="1" applyFill="1" applyBorder="1"/>
    <xf numFmtId="9" fontId="25" fillId="8" borderId="261" xfId="0" applyNumberFormat="1" applyFont="1" applyFill="1" applyBorder="1"/>
    <xf numFmtId="9" fontId="25" fillId="0" borderId="0" xfId="0" applyNumberFormat="1" applyFont="1" applyFill="1" applyBorder="1" applyAlignment="1">
      <alignment horizontal="center" vertical="center"/>
    </xf>
    <xf numFmtId="2" fontId="24" fillId="16" borderId="0" xfId="0" applyNumberFormat="1" applyFont="1" applyFill="1" applyBorder="1"/>
    <xf numFmtId="1" fontId="24" fillId="8" borderId="0" xfId="0" applyNumberFormat="1" applyFont="1" applyFill="1" applyBorder="1"/>
    <xf numFmtId="2" fontId="64" fillId="8" borderId="0" xfId="0" applyNumberFormat="1" applyFont="1" applyFill="1" applyBorder="1" applyAlignment="1">
      <alignment horizontal="center" wrapText="1"/>
    </xf>
    <xf numFmtId="0" fontId="64" fillId="8" borderId="0" xfId="0" applyFont="1" applyFill="1" applyBorder="1" applyAlignment="1"/>
    <xf numFmtId="0" fontId="25" fillId="20" borderId="0" xfId="0" applyFont="1" applyFill="1"/>
    <xf numFmtId="0" fontId="25" fillId="20" borderId="0" xfId="0" applyFont="1" applyFill="1" applyBorder="1"/>
    <xf numFmtId="0" fontId="0" fillId="7" borderId="139" xfId="0" applyFill="1" applyBorder="1" applyAlignment="1"/>
    <xf numFmtId="0" fontId="0" fillId="7" borderId="104" xfId="0" applyFill="1" applyBorder="1" applyAlignment="1"/>
    <xf numFmtId="9" fontId="18" fillId="11" borderId="136" xfId="0" applyNumberFormat="1" applyFont="1" applyFill="1" applyBorder="1" applyAlignment="1"/>
    <xf numFmtId="2" fontId="25" fillId="0" borderId="0" xfId="0" applyNumberFormat="1" applyFont="1" applyFill="1" applyBorder="1" applyAlignment="1">
      <alignment vertical="center"/>
    </xf>
    <xf numFmtId="165" fontId="63" fillId="0" borderId="0" xfId="0" applyNumberFormat="1" applyFont="1" applyFill="1" applyBorder="1" applyProtection="1">
      <protection locked="0"/>
    </xf>
    <xf numFmtId="165" fontId="64" fillId="0" borderId="0" xfId="0" applyNumberFormat="1" applyFont="1" applyFill="1" applyBorder="1"/>
    <xf numFmtId="1" fontId="64" fillId="0" borderId="0" xfId="0" applyNumberFormat="1" applyFont="1" applyFill="1" applyBorder="1" applyAlignment="1">
      <alignment horizontal="center"/>
    </xf>
    <xf numFmtId="0" fontId="25" fillId="6" borderId="47" xfId="0" applyFont="1" applyFill="1" applyBorder="1"/>
    <xf numFmtId="9" fontId="18" fillId="11" borderId="104" xfId="15" applyNumberFormat="1" applyFont="1" applyFill="1" applyBorder="1" applyAlignment="1">
      <alignment horizontal="center"/>
    </xf>
    <xf numFmtId="165" fontId="25" fillId="6" borderId="0" xfId="0" applyNumberFormat="1" applyFont="1" applyFill="1" applyBorder="1"/>
    <xf numFmtId="0" fontId="25" fillId="6" borderId="0" xfId="0" applyFont="1" applyFill="1" applyBorder="1" applyAlignment="1">
      <alignment wrapText="1"/>
    </xf>
    <xf numFmtId="0" fontId="15" fillId="6" borderId="74" xfId="0" applyFont="1" applyFill="1" applyBorder="1" applyAlignment="1">
      <alignment wrapText="1"/>
    </xf>
    <xf numFmtId="0" fontId="25" fillId="6" borderId="15" xfId="0" applyFont="1" applyFill="1" applyBorder="1"/>
    <xf numFmtId="2" fontId="18" fillId="11" borderId="104" xfId="15" applyNumberFormat="1" applyFont="1" applyFill="1" applyBorder="1" applyAlignment="1">
      <alignment horizontal="center"/>
    </xf>
    <xf numFmtId="2" fontId="18" fillId="11" borderId="139" xfId="0" applyNumberFormat="1" applyFont="1" applyFill="1" applyBorder="1"/>
    <xf numFmtId="2" fontId="18" fillId="11" borderId="136" xfId="0" applyNumberFormat="1" applyFont="1" applyFill="1" applyBorder="1"/>
    <xf numFmtId="2" fontId="18" fillId="11" borderId="262" xfId="0" applyNumberFormat="1" applyFont="1" applyFill="1" applyBorder="1" applyAlignment="1">
      <alignment horizontal="right"/>
    </xf>
    <xf numFmtId="0" fontId="15" fillId="6" borderId="45" xfId="0" applyFont="1" applyFill="1" applyBorder="1" applyAlignment="1">
      <alignment wrapText="1"/>
    </xf>
    <xf numFmtId="2" fontId="25" fillId="5" borderId="15" xfId="0" applyNumberFormat="1" applyFont="1" applyFill="1" applyBorder="1"/>
    <xf numFmtId="0" fontId="25" fillId="5" borderId="0" xfId="0" applyFont="1" applyFill="1" applyBorder="1" applyAlignment="1">
      <alignment horizontal="center"/>
    </xf>
    <xf numFmtId="2" fontId="25" fillId="5" borderId="45" xfId="0" applyNumberFormat="1" applyFont="1" applyFill="1" applyBorder="1"/>
    <xf numFmtId="2" fontId="24" fillId="5" borderId="15" xfId="0" applyNumberFormat="1" applyFont="1" applyFill="1" applyBorder="1"/>
    <xf numFmtId="4" fontId="25" fillId="5" borderId="15" xfId="0" applyNumberFormat="1" applyFont="1" applyFill="1" applyBorder="1"/>
    <xf numFmtId="10" fontId="25" fillId="5" borderId="0" xfId="0" applyNumberFormat="1" applyFont="1" applyFill="1" applyBorder="1" applyAlignment="1">
      <alignment horizontal="center"/>
    </xf>
    <xf numFmtId="0" fontId="25" fillId="5" borderId="253" xfId="0" applyFont="1" applyFill="1" applyBorder="1"/>
    <xf numFmtId="0" fontId="15" fillId="6" borderId="45" xfId="0" applyFont="1" applyFill="1" applyBorder="1" applyAlignment="1"/>
    <xf numFmtId="2" fontId="24" fillId="7" borderId="263" xfId="0" applyNumberFormat="1" applyFont="1" applyFill="1" applyBorder="1" applyProtection="1">
      <protection locked="0"/>
    </xf>
    <xf numFmtId="4" fontId="24" fillId="20" borderId="15" xfId="0" applyNumberFormat="1" applyFont="1" applyFill="1" applyBorder="1"/>
    <xf numFmtId="10" fontId="25" fillId="0" borderId="143" xfId="0" applyNumberFormat="1" applyFont="1" applyFill="1" applyBorder="1" applyAlignment="1" applyProtection="1">
      <alignment horizontal="center"/>
      <protection locked="0"/>
    </xf>
    <xf numFmtId="2" fontId="25" fillId="0" borderId="263" xfId="0" applyNumberFormat="1" applyFont="1" applyFill="1" applyBorder="1" applyProtection="1">
      <protection locked="0"/>
    </xf>
    <xf numFmtId="4" fontId="24" fillId="0" borderId="15" xfId="0" applyNumberFormat="1" applyFont="1" applyFill="1" applyBorder="1"/>
    <xf numFmtId="2" fontId="25" fillId="0" borderId="166" xfId="0" applyNumberFormat="1" applyFont="1" applyFill="1" applyBorder="1" applyProtection="1">
      <protection locked="0"/>
    </xf>
    <xf numFmtId="2" fontId="25" fillId="3" borderId="93" xfId="0" applyNumberFormat="1" applyFont="1" applyFill="1" applyBorder="1" applyAlignment="1" applyProtection="1">
      <alignment horizontal="left"/>
      <protection locked="0"/>
    </xf>
    <xf numFmtId="0" fontId="15" fillId="6" borderId="45" xfId="0" applyFont="1" applyFill="1" applyBorder="1"/>
    <xf numFmtId="0" fontId="24" fillId="5" borderId="15" xfId="0" applyFont="1" applyFill="1" applyBorder="1" applyAlignment="1">
      <alignment horizontal="center"/>
    </xf>
    <xf numFmtId="0" fontId="24" fillId="5" borderId="45" xfId="0" applyFont="1" applyFill="1" applyBorder="1"/>
    <xf numFmtId="0" fontId="24" fillId="5" borderId="253" xfId="0" applyFont="1" applyFill="1" applyBorder="1"/>
    <xf numFmtId="9" fontId="24" fillId="0" borderId="242" xfId="0" applyNumberFormat="1" applyFont="1" applyFill="1" applyBorder="1" applyAlignment="1">
      <alignment horizontal="center" wrapText="1"/>
    </xf>
    <xf numFmtId="0" fontId="24" fillId="5" borderId="0" xfId="0" applyFont="1" applyFill="1" applyBorder="1" applyAlignment="1">
      <alignment horizontal="center" wrapText="1"/>
    </xf>
    <xf numFmtId="0" fontId="18" fillId="5" borderId="45" xfId="0" applyFont="1" applyFill="1" applyBorder="1" applyAlignment="1">
      <alignment horizontal="center" wrapText="1"/>
    </xf>
    <xf numFmtId="0" fontId="24" fillId="5" borderId="15" xfId="0" applyFont="1" applyFill="1" applyBorder="1" applyAlignment="1">
      <alignment horizontal="center" wrapText="1"/>
    </xf>
    <xf numFmtId="0" fontId="24" fillId="5" borderId="45" xfId="0" applyFont="1" applyFill="1" applyBorder="1" applyAlignment="1">
      <alignment wrapText="1"/>
    </xf>
    <xf numFmtId="0" fontId="25" fillId="5" borderId="73" xfId="0" applyFont="1" applyFill="1" applyBorder="1"/>
    <xf numFmtId="0" fontId="25" fillId="5" borderId="87" xfId="0" applyFont="1" applyFill="1" applyBorder="1"/>
    <xf numFmtId="3" fontId="24" fillId="6" borderId="61" xfId="0" applyNumberFormat="1" applyFont="1" applyFill="1" applyBorder="1" applyAlignment="1">
      <alignment horizontal="center"/>
    </xf>
    <xf numFmtId="1" fontId="24" fillId="5" borderId="254" xfId="0" applyNumberFormat="1" applyFont="1" applyFill="1" applyBorder="1"/>
    <xf numFmtId="0" fontId="14" fillId="6" borderId="45" xfId="0" applyFont="1" applyFill="1" applyBorder="1"/>
    <xf numFmtId="0" fontId="14" fillId="23" borderId="96" xfId="0" applyFont="1" applyFill="1" applyBorder="1"/>
    <xf numFmtId="0" fontId="15" fillId="23" borderId="96" xfId="0" applyFont="1" applyFill="1" applyBorder="1"/>
    <xf numFmtId="0" fontId="24" fillId="6" borderId="15" xfId="0" applyFont="1" applyFill="1" applyBorder="1"/>
    <xf numFmtId="0" fontId="25" fillId="6" borderId="0" xfId="0" applyFont="1" applyFill="1" applyBorder="1"/>
    <xf numFmtId="0" fontId="25" fillId="6" borderId="0" xfId="0" applyFont="1" applyFill="1" applyBorder="1" applyProtection="1">
      <protection locked="0"/>
    </xf>
    <xf numFmtId="0" fontId="24" fillId="6" borderId="0" xfId="0" applyFont="1" applyFill="1" applyBorder="1"/>
    <xf numFmtId="183" fontId="63" fillId="6" borderId="0" xfId="0" applyNumberFormat="1" applyFont="1" applyFill="1" applyBorder="1" applyAlignment="1">
      <alignment horizontal="center"/>
    </xf>
    <xf numFmtId="171" fontId="63" fillId="6" borderId="0" xfId="0" applyNumberFormat="1" applyFont="1" applyFill="1" applyBorder="1"/>
    <xf numFmtId="2" fontId="63" fillId="6" borderId="0" xfId="0" applyNumberFormat="1" applyFont="1" applyFill="1" applyBorder="1" applyAlignment="1">
      <alignment horizontal="left"/>
    </xf>
    <xf numFmtId="0" fontId="63" fillId="6" borderId="0" xfId="0" applyFont="1" applyFill="1" applyBorder="1" applyAlignment="1">
      <alignment horizontal="center"/>
    </xf>
    <xf numFmtId="0" fontId="63" fillId="6" borderId="0" xfId="0" applyFont="1" applyFill="1" applyBorder="1"/>
    <xf numFmtId="10" fontId="15" fillId="23" borderId="96" xfId="0" applyNumberFormat="1" applyFont="1" applyFill="1" applyBorder="1"/>
    <xf numFmtId="2" fontId="15" fillId="23" borderId="96" xfId="0" applyNumberFormat="1" applyFont="1" applyFill="1" applyBorder="1"/>
    <xf numFmtId="183" fontId="25" fillId="6" borderId="222" xfId="0" applyNumberFormat="1" applyFont="1" applyFill="1" applyBorder="1" applyAlignment="1">
      <alignment horizontal="center"/>
    </xf>
    <xf numFmtId="9" fontId="24" fillId="0" borderId="264" xfId="0" applyNumberFormat="1" applyFont="1" applyBorder="1"/>
    <xf numFmtId="2" fontId="63" fillId="5" borderId="219" xfId="0" applyNumberFormat="1" applyFont="1" applyFill="1" applyBorder="1" applyAlignment="1">
      <alignment horizontal="left"/>
    </xf>
    <xf numFmtId="186" fontId="15" fillId="23" borderId="96" xfId="0" applyNumberFormat="1" applyFont="1" applyFill="1" applyBorder="1"/>
    <xf numFmtId="4" fontId="24" fillId="28" borderId="265" xfId="0" applyNumberFormat="1" applyFont="1" applyFill="1" applyBorder="1"/>
    <xf numFmtId="9" fontId="24" fillId="28" borderId="266" xfId="0" applyNumberFormat="1" applyFont="1" applyFill="1" applyBorder="1"/>
    <xf numFmtId="2" fontId="64" fillId="28" borderId="116" xfId="0" applyNumberFormat="1" applyFont="1" applyFill="1" applyBorder="1" applyAlignment="1">
      <alignment horizontal="center"/>
    </xf>
    <xf numFmtId="0" fontId="24" fillId="28" borderId="116" xfId="0" applyFont="1" applyFill="1" applyBorder="1" applyAlignment="1"/>
    <xf numFmtId="0" fontId="24" fillId="28" borderId="117" xfId="0" applyFont="1" applyFill="1" applyBorder="1" applyAlignment="1"/>
    <xf numFmtId="0" fontId="14" fillId="19" borderId="0" xfId="0" applyFont="1" applyFill="1"/>
    <xf numFmtId="0" fontId="24" fillId="19" borderId="0" xfId="0" applyFont="1" applyFill="1"/>
    <xf numFmtId="4" fontId="24" fillId="6" borderId="267" xfId="0" applyNumberFormat="1" applyFont="1" applyFill="1" applyBorder="1"/>
    <xf numFmtId="9" fontId="24" fillId="0" borderId="189" xfId="0" applyNumberFormat="1" applyFont="1" applyBorder="1"/>
    <xf numFmtId="2" fontId="64" fillId="5" borderId="0" xfId="0" applyNumberFormat="1" applyFont="1" applyFill="1" applyBorder="1" applyAlignment="1">
      <alignment horizontal="center"/>
    </xf>
    <xf numFmtId="10" fontId="15" fillId="0" borderId="96" xfId="0" applyNumberFormat="1" applyFont="1" applyFill="1" applyBorder="1"/>
    <xf numFmtId="4" fontId="24" fillId="6" borderId="268" xfId="0" applyNumberFormat="1" applyFont="1" applyFill="1" applyBorder="1"/>
    <xf numFmtId="9" fontId="24" fillId="5" borderId="269" xfId="0" applyNumberFormat="1" applyFont="1" applyFill="1" applyBorder="1"/>
    <xf numFmtId="0" fontId="15" fillId="19" borderId="0" xfId="0" applyFont="1" applyFill="1"/>
    <xf numFmtId="9" fontId="24" fillId="0" borderId="189" xfId="0" applyNumberFormat="1" applyFont="1" applyFill="1" applyBorder="1"/>
    <xf numFmtId="0" fontId="14" fillId="23" borderId="270" xfId="0" applyFont="1" applyFill="1" applyBorder="1"/>
    <xf numFmtId="0" fontId="15" fillId="23" borderId="270" xfId="0" applyFont="1" applyFill="1" applyBorder="1"/>
    <xf numFmtId="10" fontId="27" fillId="23" borderId="456" xfId="0" applyNumberFormat="1" applyFont="1" applyFill="1" applyBorder="1"/>
    <xf numFmtId="0" fontId="27" fillId="23" borderId="457" xfId="0" applyFont="1" applyFill="1" applyBorder="1"/>
    <xf numFmtId="2" fontId="27" fillId="23" borderId="458" xfId="0" applyNumberFormat="1" applyFont="1" applyFill="1" applyBorder="1"/>
    <xf numFmtId="0" fontId="27" fillId="19" borderId="459" xfId="0" applyFont="1" applyFill="1" applyBorder="1"/>
    <xf numFmtId="0" fontId="27" fillId="19" borderId="460" xfId="0" applyFont="1" applyFill="1" applyBorder="1"/>
    <xf numFmtId="4" fontId="24" fillId="6" borderId="15" xfId="0" applyNumberFormat="1" applyFont="1" applyFill="1" applyBorder="1"/>
    <xf numFmtId="0" fontId="64" fillId="5" borderId="0" xfId="0" applyFont="1" applyFill="1" applyBorder="1" applyAlignment="1">
      <alignment horizontal="center"/>
    </xf>
    <xf numFmtId="2" fontId="15" fillId="0" borderId="87" xfId="0" applyNumberFormat="1" applyFont="1" applyFill="1" applyBorder="1"/>
    <xf numFmtId="2" fontId="15" fillId="23" borderId="254" xfId="0" applyNumberFormat="1" applyFont="1" applyFill="1" applyBorder="1"/>
    <xf numFmtId="0" fontId="24" fillId="5" borderId="111" xfId="0" applyFont="1" applyFill="1" applyBorder="1"/>
    <xf numFmtId="0" fontId="15" fillId="23" borderId="102" xfId="0" applyFont="1" applyFill="1" applyBorder="1"/>
    <xf numFmtId="4" fontId="24" fillId="6" borderId="271" xfId="0" applyNumberFormat="1" applyFont="1" applyFill="1" applyBorder="1"/>
    <xf numFmtId="1" fontId="24" fillId="6" borderId="189" xfId="0" applyNumberFormat="1" applyFont="1" applyFill="1" applyBorder="1"/>
    <xf numFmtId="2" fontId="64" fillId="5" borderId="0" xfId="0" applyNumberFormat="1" applyFont="1" applyFill="1" applyBorder="1" applyAlignment="1">
      <alignment horizontal="center" wrapText="1"/>
    </xf>
    <xf numFmtId="10" fontId="15" fillId="0" borderId="102" xfId="0" applyNumberFormat="1" applyFont="1" applyFill="1" applyBorder="1"/>
    <xf numFmtId="4" fontId="24" fillId="0" borderId="268" xfId="0" applyNumberFormat="1" applyFont="1" applyFill="1" applyBorder="1"/>
    <xf numFmtId="0" fontId="64" fillId="19" borderId="15" xfId="0" applyFont="1" applyFill="1" applyBorder="1"/>
    <xf numFmtId="0" fontId="64" fillId="19" borderId="0" xfId="0" applyFont="1" applyFill="1" applyBorder="1"/>
    <xf numFmtId="2" fontId="64" fillId="19" borderId="0" xfId="0" applyNumberFormat="1" applyFont="1" applyFill="1" applyBorder="1" applyAlignment="1">
      <alignment horizontal="center"/>
    </xf>
    <xf numFmtId="0" fontId="24" fillId="19" borderId="0" xfId="0" applyFont="1" applyFill="1" applyBorder="1" applyAlignment="1">
      <alignment horizontal="center"/>
    </xf>
    <xf numFmtId="0" fontId="24" fillId="19" borderId="111" xfId="0" applyFont="1" applyFill="1" applyBorder="1" applyAlignment="1">
      <alignment horizontal="center"/>
    </xf>
    <xf numFmtId="165" fontId="24" fillId="6" borderId="15" xfId="0" applyNumberFormat="1" applyFont="1" applyFill="1" applyBorder="1"/>
    <xf numFmtId="1" fontId="24" fillId="6" borderId="0" xfId="0" applyNumberFormat="1" applyFont="1" applyFill="1" applyBorder="1" applyAlignment="1" applyProtection="1">
      <alignment horizontal="center"/>
      <protection locked="0"/>
    </xf>
    <xf numFmtId="165" fontId="25" fillId="6" borderId="0" xfId="0" applyNumberFormat="1" applyFont="1" applyFill="1" applyBorder="1" applyProtection="1">
      <protection locked="0"/>
    </xf>
    <xf numFmtId="165" fontId="24" fillId="6" borderId="0" xfId="0" applyNumberFormat="1" applyFont="1" applyFill="1" applyBorder="1"/>
    <xf numFmtId="3" fontId="24" fillId="6" borderId="0" xfId="0" applyNumberFormat="1" applyFont="1" applyFill="1" applyBorder="1" applyAlignment="1">
      <alignment horizontal="center"/>
    </xf>
    <xf numFmtId="165" fontId="63" fillId="19" borderId="15" xfId="0" applyNumberFormat="1" applyFont="1" applyFill="1" applyBorder="1" applyProtection="1">
      <protection locked="0"/>
    </xf>
    <xf numFmtId="165" fontId="64" fillId="19" borderId="0" xfId="0" applyNumberFormat="1" applyFont="1" applyFill="1" applyBorder="1"/>
    <xf numFmtId="1" fontId="64" fillId="19" borderId="0" xfId="0" applyNumberFormat="1" applyFont="1" applyFill="1" applyBorder="1" applyAlignment="1">
      <alignment horizontal="center"/>
    </xf>
    <xf numFmtId="165" fontId="25" fillId="19" borderId="0" xfId="0" applyNumberFormat="1" applyFont="1" applyFill="1" applyBorder="1" applyProtection="1">
      <protection locked="0"/>
    </xf>
    <xf numFmtId="0" fontId="24" fillId="19" borderId="0" xfId="0" applyFont="1" applyFill="1" applyBorder="1" applyAlignment="1"/>
    <xf numFmtId="4" fontId="24" fillId="28" borderId="96" xfId="0" applyNumberFormat="1" applyFont="1" applyFill="1" applyBorder="1"/>
    <xf numFmtId="1" fontId="24" fillId="6" borderId="96" xfId="0" applyNumberFormat="1" applyFont="1" applyFill="1" applyBorder="1" applyAlignment="1" applyProtection="1">
      <alignment horizontal="center"/>
      <protection locked="0"/>
    </xf>
    <xf numFmtId="165" fontId="25" fillId="0" borderId="96" xfId="0" applyNumberFormat="1" applyFont="1" applyFill="1" applyBorder="1" applyProtection="1">
      <protection locked="0"/>
    </xf>
    <xf numFmtId="3" fontId="24" fillId="6" borderId="103" xfId="0" applyNumberFormat="1" applyFont="1" applyFill="1" applyBorder="1" applyAlignment="1">
      <alignment horizontal="center"/>
    </xf>
    <xf numFmtId="4" fontId="25" fillId="0" borderId="96" xfId="0" applyNumberFormat="1" applyFont="1" applyFill="1" applyBorder="1" applyProtection="1">
      <protection locked="0"/>
    </xf>
    <xf numFmtId="0" fontId="24" fillId="5" borderId="253" xfId="0" applyFont="1" applyFill="1" applyBorder="1" applyAlignment="1"/>
    <xf numFmtId="2" fontId="24" fillId="6" borderId="96" xfId="0" applyNumberFormat="1" applyFont="1" applyFill="1" applyBorder="1" applyAlignment="1">
      <alignment horizontal="center"/>
    </xf>
    <xf numFmtId="1" fontId="24" fillId="6" borderId="103" xfId="0" applyNumberFormat="1" applyFont="1" applyFill="1" applyBorder="1" applyAlignment="1">
      <alignment horizontal="center"/>
    </xf>
    <xf numFmtId="165" fontId="63" fillId="0" borderId="96" xfId="0" applyNumberFormat="1" applyFont="1" applyFill="1" applyBorder="1" applyProtection="1">
      <protection locked="0"/>
    </xf>
    <xf numFmtId="1" fontId="64" fillId="6" borderId="96" xfId="0" applyNumberFormat="1" applyFont="1" applyFill="1" applyBorder="1" applyAlignment="1">
      <alignment horizontal="center"/>
    </xf>
    <xf numFmtId="0" fontId="15" fillId="0" borderId="102" xfId="0" applyFont="1" applyBorder="1"/>
    <xf numFmtId="2" fontId="15" fillId="0" borderId="96" xfId="0" applyNumberFormat="1" applyFont="1" applyBorder="1"/>
    <xf numFmtId="0" fontId="15" fillId="0" borderId="96" xfId="0" applyFont="1" applyBorder="1"/>
    <xf numFmtId="0" fontId="25" fillId="5" borderId="15" xfId="0" applyFont="1" applyFill="1" applyBorder="1"/>
    <xf numFmtId="0" fontId="25" fillId="19" borderId="45" xfId="0" applyFont="1" applyFill="1" applyBorder="1"/>
    <xf numFmtId="0" fontId="25" fillId="19" borderId="15" xfId="0" applyFont="1" applyFill="1" applyBorder="1"/>
    <xf numFmtId="165" fontId="25" fillId="5" borderId="45" xfId="0" applyNumberFormat="1" applyFont="1" applyFill="1" applyBorder="1"/>
    <xf numFmtId="0" fontId="15" fillId="19" borderId="254" xfId="0" applyFont="1" applyFill="1" applyBorder="1" applyAlignment="1">
      <alignment wrapText="1"/>
    </xf>
    <xf numFmtId="0" fontId="25" fillId="5" borderId="254" xfId="0" applyFont="1" applyFill="1" applyBorder="1"/>
    <xf numFmtId="0" fontId="14" fillId="6" borderId="0" xfId="0" applyFont="1" applyFill="1" applyBorder="1"/>
    <xf numFmtId="2" fontId="19" fillId="6" borderId="0" xfId="0" applyNumberFormat="1" applyFont="1" applyFill="1" applyBorder="1" applyAlignment="1">
      <alignment horizontal="left" vertical="center"/>
    </xf>
    <xf numFmtId="0" fontId="14" fillId="6" borderId="61" xfId="0" applyFont="1" applyFill="1" applyBorder="1"/>
    <xf numFmtId="0" fontId="14" fillId="6" borderId="87" xfId="0" applyFont="1" applyFill="1" applyBorder="1"/>
    <xf numFmtId="0" fontId="0" fillId="6" borderId="0" xfId="0" applyFill="1"/>
    <xf numFmtId="0" fontId="0" fillId="5" borderId="0" xfId="0" applyFill="1"/>
    <xf numFmtId="0" fontId="0" fillId="0" borderId="94" xfId="0" applyBorder="1"/>
    <xf numFmtId="0" fontId="1" fillId="0" borderId="94" xfId="0" applyFont="1" applyBorder="1" applyAlignment="1">
      <alignment horizontal="center"/>
    </xf>
    <xf numFmtId="0" fontId="1" fillId="5" borderId="0" xfId="0" applyFont="1" applyFill="1"/>
    <xf numFmtId="3" fontId="0" fillId="0" borderId="94" xfId="0" applyNumberFormat="1" applyBorder="1"/>
    <xf numFmtId="0" fontId="0" fillId="0" borderId="94" xfId="0" applyBorder="1" applyAlignment="1">
      <alignment horizontal="center"/>
    </xf>
    <xf numFmtId="2" fontId="0" fillId="0" borderId="94" xfId="0" applyNumberFormat="1" applyBorder="1"/>
    <xf numFmtId="10" fontId="0" fillId="0" borderId="94" xfId="0" applyNumberFormat="1" applyBorder="1" applyAlignment="1">
      <alignment horizontal="center"/>
    </xf>
    <xf numFmtId="9" fontId="0" fillId="0" borderId="94" xfId="0" applyNumberFormat="1" applyBorder="1" applyAlignment="1">
      <alignment horizontal="center"/>
    </xf>
    <xf numFmtId="2" fontId="66" fillId="0" borderId="94" xfId="0" applyNumberFormat="1" applyFont="1" applyBorder="1"/>
    <xf numFmtId="0" fontId="7" fillId="5" borderId="0" xfId="0" applyFont="1" applyFill="1"/>
    <xf numFmtId="2" fontId="7" fillId="0" borderId="94" xfId="0" applyNumberFormat="1" applyFont="1" applyBorder="1"/>
    <xf numFmtId="0" fontId="7" fillId="0" borderId="94" xfId="0" applyFont="1" applyBorder="1"/>
    <xf numFmtId="10" fontId="0" fillId="6" borderId="0" xfId="0" applyNumberFormat="1" applyFill="1"/>
    <xf numFmtId="0" fontId="15" fillId="18" borderId="415" xfId="0" applyFont="1" applyFill="1" applyBorder="1" applyProtection="1"/>
    <xf numFmtId="0" fontId="14" fillId="20" borderId="347" xfId="0" applyFont="1" applyFill="1" applyBorder="1" applyProtection="1"/>
    <xf numFmtId="178" fontId="15" fillId="23" borderId="453" xfId="0" applyNumberFormat="1" applyFont="1" applyFill="1" applyBorder="1" applyProtection="1"/>
    <xf numFmtId="178" fontId="15" fillId="19" borderId="453" xfId="0" applyNumberFormat="1" applyFont="1" applyFill="1" applyBorder="1" applyProtection="1"/>
    <xf numFmtId="6" fontId="15" fillId="23" borderId="453" xfId="0" applyNumberFormat="1" applyFont="1" applyFill="1" applyBorder="1" applyProtection="1"/>
    <xf numFmtId="0" fontId="14" fillId="0" borderId="272" xfId="0" applyFont="1" applyFill="1" applyBorder="1" applyProtection="1"/>
    <xf numFmtId="0" fontId="14" fillId="0" borderId="273" xfId="0" applyFont="1" applyFill="1" applyBorder="1" applyProtection="1"/>
    <xf numFmtId="0" fontId="14" fillId="0" borderId="141" xfId="0" applyFont="1" applyFill="1" applyBorder="1" applyProtection="1"/>
    <xf numFmtId="0" fontId="14" fillId="0" borderId="127" xfId="0" applyFont="1" applyFill="1" applyBorder="1" applyProtection="1"/>
    <xf numFmtId="0" fontId="14" fillId="0" borderId="274" xfId="0" applyFont="1" applyFill="1" applyBorder="1" applyProtection="1"/>
    <xf numFmtId="0" fontId="14" fillId="0" borderId="275" xfId="0" applyFont="1" applyFill="1" applyBorder="1" applyProtection="1"/>
    <xf numFmtId="1" fontId="14" fillId="0" borderId="141" xfId="0" applyNumberFormat="1" applyFont="1" applyFill="1" applyBorder="1" applyProtection="1"/>
    <xf numFmtId="10" fontId="47" fillId="20" borderId="127" xfId="0" applyNumberFormat="1" applyFont="1" applyFill="1" applyBorder="1" applyProtection="1"/>
    <xf numFmtId="0" fontId="14" fillId="20" borderId="127" xfId="0" applyFont="1" applyFill="1" applyBorder="1" applyProtection="1"/>
    <xf numFmtId="0" fontId="14" fillId="0" borderId="276" xfId="0" applyFont="1" applyFill="1" applyBorder="1" applyProtection="1"/>
    <xf numFmtId="0" fontId="14" fillId="0" borderId="252" xfId="0" applyFont="1" applyFill="1" applyBorder="1" applyProtection="1"/>
    <xf numFmtId="1" fontId="14" fillId="0" borderId="252" xfId="0" applyNumberFormat="1" applyFont="1" applyFill="1" applyBorder="1" applyProtection="1"/>
    <xf numFmtId="0" fontId="14" fillId="0" borderId="277" xfId="0" applyFont="1" applyFill="1" applyBorder="1" applyProtection="1"/>
    <xf numFmtId="1" fontId="14" fillId="20" borderId="127" xfId="0" applyNumberFormat="1" applyFont="1" applyFill="1" applyBorder="1" applyProtection="1"/>
    <xf numFmtId="0" fontId="14" fillId="0" borderId="243" xfId="0" applyFont="1" applyFill="1" applyBorder="1" applyProtection="1"/>
    <xf numFmtId="0" fontId="14" fillId="0" borderId="244" xfId="0" applyFont="1" applyFill="1" applyBorder="1" applyProtection="1"/>
    <xf numFmtId="0" fontId="15" fillId="18" borderId="45" xfId="0" applyFont="1" applyFill="1" applyBorder="1" applyAlignment="1" applyProtection="1">
      <alignment horizontal="left"/>
    </xf>
    <xf numFmtId="0" fontId="25" fillId="6" borderId="278" xfId="0" applyFont="1" applyFill="1" applyBorder="1" applyAlignment="1">
      <alignment horizontal="center" vertical="center"/>
    </xf>
    <xf numFmtId="1" fontId="25" fillId="6" borderId="181" xfId="0" applyNumberFormat="1" applyFont="1" applyFill="1" applyBorder="1" applyAlignment="1">
      <alignment horizontal="center" vertical="center"/>
    </xf>
    <xf numFmtId="0" fontId="0" fillId="19" borderId="0" xfId="0" applyFill="1"/>
    <xf numFmtId="1" fontId="61" fillId="5" borderId="0" xfId="0" applyNumberFormat="1" applyFont="1" applyFill="1" applyBorder="1" applyProtection="1"/>
    <xf numFmtId="0" fontId="93" fillId="0" borderId="372" xfId="0" applyFont="1" applyBorder="1" applyAlignment="1" applyProtection="1">
      <alignment vertical="center"/>
      <protection locked="0"/>
    </xf>
    <xf numFmtId="0" fontId="93" fillId="0" borderId="373" xfId="0" applyFont="1" applyFill="1" applyBorder="1" applyAlignment="1" applyProtection="1">
      <alignment vertical="center" wrapText="1"/>
      <protection locked="0"/>
    </xf>
    <xf numFmtId="1" fontId="15" fillId="17" borderId="462" xfId="0" applyNumberFormat="1" applyFont="1" applyFill="1" applyBorder="1" applyAlignment="1" applyProtection="1">
      <alignment horizontal="center" vertical="center"/>
      <protection locked="0"/>
    </xf>
    <xf numFmtId="1" fontId="15" fillId="17" borderId="349" xfId="0" applyNumberFormat="1" applyFont="1" applyFill="1" applyBorder="1" applyAlignment="1" applyProtection="1">
      <alignment horizontal="center" vertical="center"/>
      <protection locked="0"/>
    </xf>
    <xf numFmtId="1" fontId="15" fillId="17" borderId="463" xfId="0" applyNumberFormat="1" applyFont="1" applyFill="1" applyBorder="1" applyAlignment="1" applyProtection="1">
      <alignment horizontal="center" vertical="center"/>
      <protection locked="0"/>
    </xf>
    <xf numFmtId="2" fontId="15" fillId="0" borderId="0" xfId="0" applyNumberFormat="1" applyFont="1" applyFill="1" applyBorder="1" applyProtection="1"/>
    <xf numFmtId="2" fontId="15" fillId="14" borderId="15" xfId="0" applyNumberFormat="1" applyFont="1" applyFill="1" applyBorder="1" applyAlignment="1" applyProtection="1">
      <alignment wrapText="1"/>
    </xf>
    <xf numFmtId="2" fontId="14" fillId="14" borderId="15" xfId="0" applyNumberFormat="1" applyFont="1" applyFill="1" applyBorder="1" applyAlignment="1" applyProtection="1"/>
    <xf numFmtId="2" fontId="14" fillId="14" borderId="47" xfId="0" applyNumberFormat="1" applyFont="1" applyFill="1" applyBorder="1" applyAlignment="1" applyProtection="1"/>
    <xf numFmtId="2" fontId="15" fillId="8" borderId="117" xfId="0" applyNumberFormat="1" applyFont="1" applyFill="1" applyBorder="1" applyProtection="1"/>
    <xf numFmtId="2" fontId="15" fillId="8" borderId="116" xfId="0" applyNumberFormat="1" applyFont="1" applyFill="1" applyBorder="1" applyAlignment="1" applyProtection="1"/>
    <xf numFmtId="2" fontId="15" fillId="8" borderId="280" xfId="0" applyNumberFormat="1" applyFont="1" applyFill="1" applyBorder="1" applyAlignment="1" applyProtection="1"/>
    <xf numFmtId="2" fontId="15" fillId="8" borderId="281" xfId="0" applyNumberFormat="1" applyFont="1" applyFill="1" applyBorder="1" applyProtection="1"/>
    <xf numFmtId="2" fontId="15" fillId="8" borderId="282" xfId="0" applyNumberFormat="1" applyFont="1" applyFill="1" applyBorder="1" applyProtection="1"/>
    <xf numFmtId="2" fontId="15" fillId="8" borderId="283" xfId="0" applyNumberFormat="1" applyFont="1" applyFill="1" applyBorder="1" applyProtection="1"/>
    <xf numFmtId="1" fontId="15" fillId="8" borderId="284" xfId="0" applyNumberFormat="1" applyFont="1" applyFill="1" applyBorder="1" applyAlignment="1" applyProtection="1">
      <alignment horizontal="center"/>
    </xf>
    <xf numFmtId="2" fontId="24" fillId="5" borderId="96" xfId="0" applyNumberFormat="1" applyFont="1" applyFill="1" applyBorder="1" applyAlignment="1">
      <alignment horizontal="center" wrapText="1"/>
    </xf>
    <xf numFmtId="10" fontId="24" fillId="5" borderId="96" xfId="0" applyNumberFormat="1" applyFont="1" applyFill="1" applyBorder="1" applyAlignment="1">
      <alignment horizontal="center" wrapText="1"/>
    </xf>
    <xf numFmtId="165" fontId="25" fillId="5" borderId="0" xfId="0" applyNumberFormat="1" applyFont="1" applyFill="1" applyBorder="1"/>
    <xf numFmtId="0" fontId="25" fillId="19" borderId="61" xfId="0" applyFont="1" applyFill="1" applyBorder="1"/>
    <xf numFmtId="0" fontId="94" fillId="18" borderId="45" xfId="0" applyFont="1" applyFill="1" applyBorder="1" applyAlignment="1" applyProtection="1">
      <alignment horizontal="left"/>
    </xf>
    <xf numFmtId="0" fontId="94" fillId="0" borderId="335" xfId="0" applyFont="1" applyBorder="1" applyAlignment="1" applyProtection="1">
      <protection locked="0"/>
    </xf>
    <xf numFmtId="0" fontId="0" fillId="29" borderId="0" xfId="0" applyFill="1"/>
    <xf numFmtId="0" fontId="0" fillId="20" borderId="0" xfId="0" applyFill="1"/>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xf>
    <xf numFmtId="0" fontId="1" fillId="0" borderId="285" xfId="0" applyFont="1" applyBorder="1"/>
    <xf numFmtId="0" fontId="0" fillId="0" borderId="286" xfId="0" applyBorder="1"/>
    <xf numFmtId="0" fontId="0" fillId="0" borderId="287" xfId="0" applyBorder="1"/>
    <xf numFmtId="0" fontId="0" fillId="0" borderId="288" xfId="0" applyBorder="1"/>
    <xf numFmtId="0" fontId="0" fillId="0" borderId="0" xfId="0" applyBorder="1"/>
    <xf numFmtId="0" fontId="0" fillId="0" borderId="289" xfId="0" applyBorder="1"/>
    <xf numFmtId="0" fontId="1" fillId="0" borderId="288" xfId="0" applyFont="1" applyBorder="1"/>
    <xf numFmtId="0" fontId="0" fillId="0" borderId="290" xfId="0" applyBorder="1"/>
    <xf numFmtId="0" fontId="0" fillId="0" borderId="291" xfId="0" applyBorder="1"/>
    <xf numFmtId="0" fontId="0" fillId="0" borderId="292" xfId="0" applyBorder="1"/>
    <xf numFmtId="0" fontId="0" fillId="0" borderId="285" xfId="0" applyBorder="1"/>
    <xf numFmtId="0" fontId="68" fillId="0" borderId="0" xfId="0" applyFont="1"/>
    <xf numFmtId="2" fontId="14" fillId="15" borderId="0" xfId="0" applyNumberFormat="1" applyFont="1" applyFill="1" applyBorder="1" applyProtection="1"/>
    <xf numFmtId="0" fontId="14" fillId="17" borderId="124" xfId="0" applyFont="1" applyFill="1" applyBorder="1" applyProtection="1"/>
    <xf numFmtId="0" fontId="15" fillId="17" borderId="124" xfId="0" applyFont="1" applyFill="1" applyBorder="1" applyProtection="1"/>
    <xf numFmtId="0" fontId="14" fillId="17" borderId="0" xfId="0" applyFont="1" applyFill="1" applyProtection="1"/>
    <xf numFmtId="0" fontId="15" fillId="17" borderId="0" xfId="0" applyFont="1" applyFill="1" applyAlignment="1" applyProtection="1">
      <alignment horizontal="center"/>
    </xf>
    <xf numFmtId="0" fontId="9" fillId="14" borderId="0" xfId="0" applyFont="1" applyFill="1" applyBorder="1" applyAlignment="1" applyProtection="1">
      <alignment wrapText="1"/>
    </xf>
    <xf numFmtId="0" fontId="14" fillId="30" borderId="0" xfId="0" applyFont="1" applyFill="1" applyProtection="1"/>
    <xf numFmtId="0" fontId="15" fillId="30" borderId="0" xfId="0" applyFont="1" applyFill="1" applyProtection="1"/>
    <xf numFmtId="2" fontId="14" fillId="0" borderId="157" xfId="0" applyNumberFormat="1" applyFont="1" applyFill="1" applyBorder="1" applyProtection="1"/>
    <xf numFmtId="2" fontId="14" fillId="0" borderId="39" xfId="0" applyNumberFormat="1" applyFont="1" applyFill="1" applyBorder="1" applyProtection="1"/>
    <xf numFmtId="0" fontId="9" fillId="14" borderId="253" xfId="0" applyFont="1" applyFill="1" applyBorder="1" applyAlignment="1" applyProtection="1">
      <alignment wrapText="1"/>
    </xf>
    <xf numFmtId="0" fontId="24" fillId="18" borderId="0" xfId="21" applyFont="1" applyFill="1" applyBorder="1" applyAlignment="1" applyProtection="1">
      <alignment horizontal="center"/>
    </xf>
    <xf numFmtId="0" fontId="15" fillId="18" borderId="129" xfId="0" applyFont="1" applyFill="1" applyBorder="1" applyAlignment="1" applyProtection="1">
      <alignment horizontal="left" vertical="center" wrapText="1"/>
    </xf>
    <xf numFmtId="0" fontId="15" fillId="18" borderId="157" xfId="0" applyFont="1" applyFill="1" applyBorder="1" applyAlignment="1" applyProtection="1">
      <alignment horizontal="left" vertical="center" wrapText="1"/>
    </xf>
    <xf numFmtId="9" fontId="14" fillId="0" borderId="132" xfId="0" applyNumberFormat="1" applyFont="1" applyFill="1" applyBorder="1" applyAlignment="1" applyProtection="1">
      <alignment horizontal="center" vertical="center" wrapText="1"/>
    </xf>
    <xf numFmtId="9" fontId="14" fillId="0" borderId="40" xfId="0" applyNumberFormat="1" applyFont="1" applyFill="1" applyBorder="1" applyAlignment="1" applyProtection="1">
      <alignment horizontal="center" vertical="center" wrapText="1"/>
    </xf>
    <xf numFmtId="1" fontId="14" fillId="20" borderId="129" xfId="0" applyNumberFormat="1" applyFont="1" applyFill="1" applyBorder="1" applyAlignment="1" applyProtection="1">
      <alignment horizontal="center" vertical="center" wrapText="1"/>
    </xf>
    <xf numFmtId="0" fontId="83" fillId="0" borderId="0" xfId="17"/>
    <xf numFmtId="0" fontId="95" fillId="0" borderId="0" xfId="17" applyFont="1" applyAlignment="1">
      <alignment horizontal="center"/>
    </xf>
    <xf numFmtId="0" fontId="84" fillId="0" borderId="0" xfId="17" applyFont="1"/>
    <xf numFmtId="0" fontId="85" fillId="0" borderId="0" xfId="6"/>
    <xf numFmtId="0" fontId="1" fillId="0" borderId="94" xfId="19" applyFill="1" applyBorder="1"/>
    <xf numFmtId="169" fontId="1" fillId="20" borderId="0" xfId="19" applyNumberFormat="1" applyFill="1"/>
    <xf numFmtId="0" fontId="1" fillId="20" borderId="94" xfId="19" applyFill="1" applyBorder="1"/>
    <xf numFmtId="0" fontId="2" fillId="0" borderId="0" xfId="19" applyFont="1"/>
    <xf numFmtId="1" fontId="2" fillId="0" borderId="0" xfId="19" applyNumberFormat="1" applyFont="1"/>
    <xf numFmtId="0" fontId="1" fillId="20" borderId="293" xfId="19" applyFill="1" applyBorder="1"/>
    <xf numFmtId="0" fontId="1" fillId="20" borderId="294" xfId="19" applyFill="1" applyBorder="1"/>
    <xf numFmtId="1" fontId="1" fillId="20" borderId="295" xfId="19" applyNumberFormat="1" applyFill="1" applyBorder="1"/>
    <xf numFmtId="0" fontId="1" fillId="20" borderId="296" xfId="19" applyFill="1" applyBorder="1"/>
    <xf numFmtId="0" fontId="1" fillId="20" borderId="297" xfId="19" applyFill="1" applyBorder="1"/>
    <xf numFmtId="0" fontId="1" fillId="20" borderId="298" xfId="19" applyFill="1" applyBorder="1"/>
    <xf numFmtId="0" fontId="96" fillId="0" borderId="0" xfId="0" applyFont="1" applyProtection="1">
      <protection locked="0"/>
    </xf>
    <xf numFmtId="0" fontId="96" fillId="31" borderId="464" xfId="0" applyFont="1" applyFill="1" applyBorder="1" applyProtection="1">
      <protection locked="0"/>
    </xf>
    <xf numFmtId="0" fontId="96" fillId="31" borderId="465" xfId="0" applyFont="1" applyFill="1" applyBorder="1" applyProtection="1">
      <protection locked="0"/>
    </xf>
    <xf numFmtId="0" fontId="96" fillId="32" borderId="466" xfId="0" applyFont="1" applyFill="1" applyBorder="1" applyProtection="1">
      <protection locked="0"/>
    </xf>
    <xf numFmtId="0" fontId="96" fillId="32" borderId="467" xfId="0" applyFont="1" applyFill="1" applyBorder="1" applyProtection="1">
      <protection locked="0"/>
    </xf>
    <xf numFmtId="0" fontId="96" fillId="32" borderId="467" xfId="0" applyFont="1" applyFill="1" applyBorder="1" applyAlignment="1" applyProtection="1">
      <alignment horizontal="center"/>
      <protection locked="0"/>
    </xf>
    <xf numFmtId="0" fontId="96" fillId="32" borderId="468" xfId="0" applyFont="1" applyFill="1" applyBorder="1" applyAlignment="1" applyProtection="1">
      <alignment horizontal="center"/>
      <protection locked="0"/>
    </xf>
    <xf numFmtId="0" fontId="97" fillId="33" borderId="246" xfId="0" applyFont="1" applyFill="1" applyBorder="1" applyAlignment="1" applyProtection="1">
      <alignment vertical="center"/>
    </xf>
    <xf numFmtId="0" fontId="96" fillId="31" borderId="469" xfId="0" applyFont="1" applyFill="1" applyBorder="1" applyProtection="1">
      <protection locked="0"/>
    </xf>
    <xf numFmtId="0" fontId="96" fillId="31" borderId="470" xfId="0" applyFont="1" applyFill="1" applyBorder="1" applyProtection="1">
      <protection locked="0"/>
    </xf>
    <xf numFmtId="1" fontId="96" fillId="32" borderId="471" xfId="0" applyNumberFormat="1" applyFont="1" applyFill="1" applyBorder="1" applyProtection="1"/>
    <xf numFmtId="1" fontId="96" fillId="32" borderId="472" xfId="0" applyNumberFormat="1" applyFont="1" applyFill="1" applyBorder="1" applyProtection="1"/>
    <xf numFmtId="1" fontId="96" fillId="32" borderId="473" xfId="0" applyNumberFormat="1" applyFont="1" applyFill="1" applyBorder="1" applyProtection="1"/>
    <xf numFmtId="0" fontId="97" fillId="33" borderId="299" xfId="0" applyFont="1" applyFill="1" applyBorder="1" applyAlignment="1" applyProtection="1">
      <alignment vertical="center"/>
    </xf>
    <xf numFmtId="0" fontId="98" fillId="33" borderId="0" xfId="0" applyFont="1" applyFill="1" applyBorder="1" applyAlignment="1" applyProtection="1">
      <alignment vertical="center"/>
    </xf>
    <xf numFmtId="0" fontId="97" fillId="34" borderId="300" xfId="0" applyNumberFormat="1" applyFont="1" applyFill="1" applyBorder="1" applyAlignment="1" applyProtection="1">
      <alignment vertical="center"/>
      <protection locked="0"/>
    </xf>
    <xf numFmtId="0" fontId="96" fillId="31" borderId="469" xfId="0" applyFont="1" applyFill="1" applyBorder="1" applyAlignment="1" applyProtection="1">
      <alignment wrapText="1"/>
      <protection locked="0"/>
    </xf>
    <xf numFmtId="1" fontId="96" fillId="32" borderId="474" xfId="0" applyNumberFormat="1" applyFont="1" applyFill="1" applyBorder="1" applyProtection="1"/>
    <xf numFmtId="1" fontId="96" fillId="32" borderId="475" xfId="0" applyNumberFormat="1" applyFont="1" applyFill="1" applyBorder="1" applyProtection="1"/>
    <xf numFmtId="1" fontId="96" fillId="32" borderId="476" xfId="0" applyNumberFormat="1" applyFont="1" applyFill="1" applyBorder="1" applyProtection="1"/>
    <xf numFmtId="0" fontId="99" fillId="33" borderId="248" xfId="0" applyFont="1" applyFill="1" applyBorder="1" applyAlignment="1" applyProtection="1">
      <alignment vertical="center"/>
    </xf>
    <xf numFmtId="0" fontId="96" fillId="0" borderId="474" xfId="0" applyFont="1" applyFill="1" applyBorder="1" applyProtection="1">
      <protection locked="0"/>
    </xf>
    <xf numFmtId="1" fontId="96" fillId="0" borderId="476" xfId="0" applyNumberFormat="1" applyFont="1" applyFill="1" applyBorder="1" applyProtection="1">
      <protection locked="0"/>
    </xf>
    <xf numFmtId="1" fontId="96" fillId="32" borderId="477" xfId="0" applyNumberFormat="1" applyFont="1" applyFill="1" applyBorder="1" applyProtection="1"/>
    <xf numFmtId="0" fontId="96" fillId="0" borderId="475" xfId="0" applyFont="1" applyFill="1" applyBorder="1" applyProtection="1">
      <protection locked="0"/>
    </xf>
    <xf numFmtId="0" fontId="96" fillId="0" borderId="476" xfId="0" applyFont="1" applyFill="1" applyBorder="1" applyProtection="1">
      <protection locked="0"/>
    </xf>
    <xf numFmtId="0" fontId="96" fillId="31" borderId="478" xfId="0" applyFont="1" applyFill="1" applyBorder="1" applyProtection="1">
      <protection locked="0"/>
    </xf>
    <xf numFmtId="0" fontId="96" fillId="31" borderId="479" xfId="0" applyFont="1" applyFill="1" applyBorder="1" applyProtection="1">
      <protection locked="0"/>
    </xf>
    <xf numFmtId="1" fontId="96" fillId="32" borderId="478" xfId="0" applyNumberFormat="1" applyFont="1" applyFill="1" applyBorder="1" applyProtection="1"/>
    <xf numFmtId="1" fontId="96" fillId="32" borderId="479" xfId="0" applyNumberFormat="1" applyFont="1" applyFill="1" applyBorder="1" applyProtection="1"/>
    <xf numFmtId="0" fontId="96" fillId="31" borderId="480" xfId="0" applyFont="1" applyFill="1" applyBorder="1" applyProtection="1">
      <protection locked="0"/>
    </xf>
    <xf numFmtId="0" fontId="96" fillId="31" borderId="481" xfId="0" applyFont="1" applyFill="1" applyBorder="1" applyProtection="1">
      <protection locked="0"/>
    </xf>
    <xf numFmtId="1" fontId="96" fillId="32" borderId="482" xfId="0" applyNumberFormat="1" applyFont="1" applyFill="1" applyBorder="1" applyProtection="1"/>
    <xf numFmtId="0" fontId="97" fillId="0" borderId="0" xfId="0" applyFont="1" applyAlignment="1" applyProtection="1">
      <alignment vertical="center"/>
    </xf>
    <xf numFmtId="0" fontId="100" fillId="0" borderId="0" xfId="0" applyFont="1" applyAlignment="1" applyProtection="1">
      <alignment horizontal="left" vertical="center" wrapText="1"/>
    </xf>
    <xf numFmtId="0" fontId="101" fillId="0" borderId="0" xfId="0" applyFont="1" applyAlignment="1" applyProtection="1">
      <alignment vertical="center" wrapText="1"/>
    </xf>
    <xf numFmtId="0" fontId="102" fillId="0" borderId="0" xfId="0" applyFont="1" applyAlignment="1" applyProtection="1">
      <alignment vertical="center"/>
    </xf>
    <xf numFmtId="0" fontId="103" fillId="33" borderId="285" xfId="0" applyFont="1" applyFill="1" applyBorder="1" applyAlignment="1" applyProtection="1">
      <alignment vertical="center"/>
    </xf>
    <xf numFmtId="0" fontId="98" fillId="33" borderId="288" xfId="0" applyFont="1" applyFill="1" applyBorder="1" applyAlignment="1" applyProtection="1">
      <alignment vertical="center"/>
    </xf>
    <xf numFmtId="0" fontId="99" fillId="33" borderId="288" xfId="0" applyFont="1" applyFill="1" applyBorder="1" applyAlignment="1" applyProtection="1">
      <alignment vertical="center"/>
    </xf>
    <xf numFmtId="0" fontId="104" fillId="33" borderId="0" xfId="0" applyFont="1" applyFill="1" applyBorder="1" applyAlignment="1" applyProtection="1">
      <alignment vertical="center"/>
    </xf>
    <xf numFmtId="0" fontId="99" fillId="33" borderId="0" xfId="0" applyFont="1" applyFill="1" applyBorder="1" applyAlignment="1" applyProtection="1">
      <alignment vertical="center"/>
    </xf>
    <xf numFmtId="175" fontId="99" fillId="33" borderId="0" xfId="0" applyNumberFormat="1" applyFont="1" applyFill="1" applyBorder="1" applyAlignment="1" applyProtection="1">
      <alignment vertical="center"/>
    </xf>
    <xf numFmtId="0" fontId="99" fillId="33" borderId="289" xfId="0" applyFont="1" applyFill="1" applyBorder="1" applyAlignment="1" applyProtection="1">
      <alignment vertical="center"/>
    </xf>
    <xf numFmtId="10" fontId="99" fillId="33" borderId="0" xfId="0" applyNumberFormat="1" applyFont="1" applyFill="1" applyBorder="1" applyAlignment="1" applyProtection="1">
      <alignment vertical="center"/>
    </xf>
    <xf numFmtId="0" fontId="105" fillId="0" borderId="301" xfId="0" applyFont="1" applyFill="1" applyBorder="1" applyAlignment="1" applyProtection="1">
      <alignment horizontal="center" vertical="center"/>
    </xf>
    <xf numFmtId="0" fontId="105" fillId="0" borderId="94" xfId="0" applyFont="1" applyFill="1" applyBorder="1" applyAlignment="1" applyProtection="1">
      <alignment horizontal="center" vertical="center"/>
    </xf>
    <xf numFmtId="0" fontId="105" fillId="0" borderId="302" xfId="0" applyFont="1" applyFill="1" applyBorder="1" applyAlignment="1" applyProtection="1">
      <alignment horizontal="center" vertical="center"/>
    </xf>
    <xf numFmtId="175" fontId="105" fillId="0" borderId="94" xfId="0" applyNumberFormat="1" applyFont="1" applyFill="1" applyBorder="1" applyAlignment="1" applyProtection="1">
      <alignment horizontal="center" vertical="center"/>
    </xf>
    <xf numFmtId="0" fontId="99" fillId="0" borderId="0" xfId="0" applyFont="1" applyAlignment="1" applyProtection="1">
      <alignment vertical="center"/>
    </xf>
    <xf numFmtId="0" fontId="99" fillId="0" borderId="483" xfId="0" applyFont="1" applyFill="1" applyBorder="1" applyAlignment="1" applyProtection="1">
      <alignment horizontal="center" vertical="center"/>
    </xf>
    <xf numFmtId="165" fontId="99" fillId="0" borderId="484" xfId="0" applyNumberFormat="1" applyFont="1" applyFill="1" applyBorder="1" applyAlignment="1" applyProtection="1">
      <alignment vertical="center"/>
    </xf>
    <xf numFmtId="165" fontId="99" fillId="0" borderId="485" xfId="0" applyNumberFormat="1" applyFont="1" applyFill="1" applyBorder="1" applyAlignment="1" applyProtection="1">
      <alignment vertical="center"/>
    </xf>
    <xf numFmtId="0" fontId="99" fillId="0" borderId="486" xfId="0" applyFont="1" applyFill="1" applyBorder="1" applyAlignment="1" applyProtection="1">
      <alignment horizontal="center" vertical="center"/>
    </xf>
    <xf numFmtId="165" fontId="99" fillId="0" borderId="487" xfId="0" applyNumberFormat="1" applyFont="1" applyFill="1" applyBorder="1" applyAlignment="1" applyProtection="1">
      <alignment vertical="center"/>
    </xf>
    <xf numFmtId="165" fontId="99" fillId="0" borderId="488" xfId="0" applyNumberFormat="1" applyFont="1" applyFill="1" applyBorder="1" applyAlignment="1" applyProtection="1">
      <alignment vertical="center"/>
    </xf>
    <xf numFmtId="165" fontId="105" fillId="0" borderId="94" xfId="0" applyNumberFormat="1" applyFont="1" applyFill="1" applyBorder="1" applyAlignment="1" applyProtection="1">
      <alignment vertical="center"/>
    </xf>
    <xf numFmtId="0" fontId="106" fillId="0" borderId="94" xfId="0" applyFont="1" applyFill="1" applyBorder="1" applyAlignment="1" applyProtection="1">
      <alignment vertical="center"/>
    </xf>
    <xf numFmtId="175" fontId="97" fillId="0" borderId="0" xfId="0" applyNumberFormat="1" applyFont="1" applyAlignment="1" applyProtection="1">
      <alignment vertical="center"/>
    </xf>
    <xf numFmtId="0" fontId="97" fillId="33" borderId="286" xfId="0" applyFont="1" applyFill="1" applyBorder="1" applyAlignment="1" applyProtection="1">
      <alignment vertical="center"/>
    </xf>
    <xf numFmtId="0" fontId="98" fillId="33" borderId="286" xfId="0" applyFont="1" applyFill="1" applyBorder="1" applyAlignment="1" applyProtection="1">
      <alignment vertical="center"/>
    </xf>
    <xf numFmtId="178" fontId="97" fillId="34" borderId="269" xfId="0" applyNumberFormat="1" applyFont="1" applyFill="1" applyBorder="1" applyAlignment="1" applyProtection="1">
      <alignment vertical="center"/>
      <protection locked="0"/>
    </xf>
    <xf numFmtId="0" fontId="98" fillId="33" borderId="287" xfId="0" applyFont="1" applyFill="1" applyBorder="1" applyAlignment="1" applyProtection="1">
      <alignment vertical="center"/>
    </xf>
    <xf numFmtId="0" fontId="97" fillId="33" borderId="0" xfId="0" applyFont="1" applyFill="1" applyBorder="1" applyAlignment="1" applyProtection="1">
      <alignment vertical="center"/>
    </xf>
    <xf numFmtId="0" fontId="98" fillId="33" borderId="289" xfId="0" applyFont="1" applyFill="1" applyBorder="1" applyAlignment="1" applyProtection="1">
      <alignment vertical="center"/>
    </xf>
    <xf numFmtId="10" fontId="14" fillId="15" borderId="39" xfId="2" applyNumberFormat="1" applyFont="1" applyFill="1" applyBorder="1" applyAlignment="1" applyProtection="1">
      <alignment horizontal="center"/>
    </xf>
    <xf numFmtId="0" fontId="75" fillId="0" borderId="0" xfId="0" applyFont="1" applyProtection="1"/>
    <xf numFmtId="0" fontId="99" fillId="35" borderId="486" xfId="0" applyFont="1" applyFill="1" applyBorder="1" applyAlignment="1" applyProtection="1">
      <alignment horizontal="center" vertical="center"/>
    </xf>
    <xf numFmtId="165" fontId="99" fillId="35" borderId="487" xfId="0" applyNumberFormat="1" applyFont="1" applyFill="1" applyBorder="1" applyAlignment="1" applyProtection="1">
      <alignment vertical="center"/>
    </xf>
    <xf numFmtId="165" fontId="99" fillId="35" borderId="488" xfId="0" applyNumberFormat="1" applyFont="1" applyFill="1" applyBorder="1" applyAlignment="1" applyProtection="1">
      <alignment vertical="center"/>
    </xf>
    <xf numFmtId="0" fontId="99" fillId="36" borderId="486" xfId="0" applyFont="1" applyFill="1" applyBorder="1" applyAlignment="1" applyProtection="1">
      <alignment horizontal="center" vertical="center"/>
    </xf>
    <xf numFmtId="165" fontId="99" fillId="36" borderId="487" xfId="0" applyNumberFormat="1" applyFont="1" applyFill="1" applyBorder="1" applyAlignment="1" applyProtection="1">
      <alignment vertical="center"/>
    </xf>
    <xf numFmtId="165" fontId="99" fillId="36" borderId="488" xfId="0" applyNumberFormat="1" applyFont="1" applyFill="1" applyBorder="1" applyAlignment="1" applyProtection="1">
      <alignment vertical="center"/>
    </xf>
    <xf numFmtId="165" fontId="73" fillId="0" borderId="7" xfId="0" applyNumberFormat="1" applyFont="1" applyFill="1" applyBorder="1" applyProtection="1">
      <protection locked="0"/>
    </xf>
    <xf numFmtId="0" fontId="98" fillId="0" borderId="0" xfId="0" applyFont="1" applyFill="1" applyBorder="1" applyAlignment="1" applyProtection="1">
      <alignment vertical="center"/>
    </xf>
    <xf numFmtId="0" fontId="99" fillId="0" borderId="0" xfId="0" applyFont="1" applyFill="1" applyBorder="1" applyAlignment="1" applyProtection="1">
      <alignment vertical="center"/>
    </xf>
    <xf numFmtId="10" fontId="99" fillId="0" borderId="0" xfId="0" applyNumberFormat="1" applyFont="1" applyFill="1" applyBorder="1" applyAlignment="1" applyProtection="1">
      <alignment vertical="center"/>
    </xf>
    <xf numFmtId="0" fontId="109" fillId="0" borderId="0" xfId="8" applyFont="1" applyAlignment="1" applyProtection="1">
      <alignment wrapText="1"/>
    </xf>
    <xf numFmtId="0" fontId="109" fillId="0" borderId="0" xfId="8" applyFont="1" applyAlignment="1" applyProtection="1">
      <alignment vertical="center"/>
      <protection locked="0"/>
    </xf>
    <xf numFmtId="1" fontId="96" fillId="32" borderId="489" xfId="0" applyNumberFormat="1" applyFont="1" applyFill="1" applyBorder="1" applyProtection="1"/>
    <xf numFmtId="1" fontId="96" fillId="32" borderId="490" xfId="0" applyNumberFormat="1" applyFont="1" applyFill="1" applyBorder="1" applyProtection="1"/>
    <xf numFmtId="0" fontId="58" fillId="0" borderId="0" xfId="0" applyFont="1" applyAlignment="1"/>
    <xf numFmtId="0" fontId="78" fillId="0" borderId="0" xfId="0" applyFont="1"/>
    <xf numFmtId="0" fontId="76" fillId="0" borderId="0" xfId="0" applyFont="1" applyAlignment="1">
      <alignment horizontal="left" indent="10"/>
    </xf>
    <xf numFmtId="15" fontId="78" fillId="0" borderId="0" xfId="0" applyNumberFormat="1" applyFont="1" applyAlignment="1">
      <alignment horizontal="left" indent="10"/>
    </xf>
    <xf numFmtId="0" fontId="78" fillId="0" borderId="0" xfId="0" applyFont="1" applyAlignment="1">
      <alignment horizontal="left" indent="10"/>
    </xf>
    <xf numFmtId="0" fontId="79" fillId="0" borderId="0" xfId="0" applyFont="1" applyAlignment="1">
      <alignment horizontal="left" indent="4"/>
    </xf>
    <xf numFmtId="0" fontId="78" fillId="0" borderId="0" xfId="0" applyFont="1" applyAlignment="1"/>
    <xf numFmtId="0" fontId="79" fillId="0" borderId="0" xfId="0" applyFont="1" applyAlignment="1">
      <alignment horizontal="right"/>
    </xf>
    <xf numFmtId="0" fontId="3" fillId="0" borderId="0" xfId="0" applyFont="1"/>
    <xf numFmtId="2" fontId="1" fillId="0" borderId="448" xfId="0" applyNumberFormat="1" applyFont="1" applyFill="1" applyBorder="1" applyProtection="1"/>
    <xf numFmtId="2" fontId="1" fillId="0" borderId="449" xfId="0" applyNumberFormat="1" applyFont="1" applyFill="1" applyBorder="1" applyProtection="1"/>
    <xf numFmtId="1" fontId="19" fillId="14" borderId="121" xfId="0" applyNumberFormat="1" applyFont="1" applyFill="1" applyBorder="1" applyAlignment="1" applyProtection="1">
      <alignment horizontal="left" vertical="center"/>
    </xf>
    <xf numFmtId="2" fontId="1" fillId="15" borderId="0" xfId="0" applyNumberFormat="1" applyFont="1" applyFill="1" applyBorder="1" applyProtection="1"/>
    <xf numFmtId="166" fontId="14" fillId="0" borderId="2" xfId="0" applyNumberFormat="1" applyFont="1" applyFill="1" applyBorder="1" applyAlignment="1" applyProtection="1">
      <alignment horizontal="center"/>
      <protection locked="0"/>
    </xf>
    <xf numFmtId="3" fontId="25" fillId="0" borderId="21" xfId="0" applyNumberFormat="1" applyFont="1" applyFill="1" applyBorder="1" applyAlignment="1" applyProtection="1">
      <alignment horizontal="center"/>
      <protection locked="0"/>
    </xf>
    <xf numFmtId="0" fontId="110" fillId="0" borderId="0" xfId="0" applyFont="1"/>
    <xf numFmtId="0" fontId="111" fillId="0" borderId="0" xfId="0" applyFont="1" applyAlignment="1">
      <alignment horizontal="center"/>
    </xf>
    <xf numFmtId="0" fontId="0" fillId="0" borderId="491" xfId="0" applyBorder="1"/>
    <xf numFmtId="0" fontId="0" fillId="0" borderId="492" xfId="0" applyBorder="1"/>
    <xf numFmtId="0" fontId="0" fillId="0" borderId="493" xfId="0" applyBorder="1"/>
    <xf numFmtId="0" fontId="110" fillId="37" borderId="494" xfId="0" applyFont="1" applyFill="1" applyBorder="1"/>
    <xf numFmtId="0" fontId="0" fillId="0" borderId="0" xfId="0" applyFont="1" applyBorder="1"/>
    <xf numFmtId="0" fontId="0" fillId="0" borderId="0" xfId="0" applyFont="1" applyBorder="1" applyAlignment="1">
      <alignment horizontal="center"/>
    </xf>
    <xf numFmtId="0" fontId="0" fillId="0" borderId="495" xfId="0" applyBorder="1"/>
    <xf numFmtId="0" fontId="0" fillId="0" borderId="496" xfId="0" applyBorder="1"/>
    <xf numFmtId="0" fontId="0" fillId="0" borderId="497" xfId="0" applyFont="1" applyBorder="1"/>
    <xf numFmtId="0" fontId="0" fillId="0" borderId="497" xfId="0" applyBorder="1"/>
    <xf numFmtId="0" fontId="0" fillId="0" borderId="497" xfId="0" applyFont="1" applyBorder="1" applyAlignment="1">
      <alignment horizontal="center"/>
    </xf>
    <xf numFmtId="0" fontId="0" fillId="0" borderId="498" xfId="0" applyBorder="1"/>
    <xf numFmtId="0" fontId="0" fillId="0" borderId="0" xfId="0" applyFont="1"/>
    <xf numFmtId="4" fontId="0" fillId="0" borderId="0" xfId="0" applyNumberFormat="1" applyAlignment="1">
      <alignment horizontal="center"/>
    </xf>
    <xf numFmtId="0" fontId="0" fillId="0" borderId="0" xfId="0" applyFont="1" applyAlignment="1">
      <alignment horizontal="center"/>
    </xf>
    <xf numFmtId="0" fontId="110" fillId="37" borderId="491" xfId="0" applyFont="1" applyFill="1" applyBorder="1"/>
    <xf numFmtId="0" fontId="0" fillId="0" borderId="492" xfId="0" applyFont="1" applyBorder="1"/>
    <xf numFmtId="4" fontId="0" fillId="0" borderId="492" xfId="0" applyNumberFormat="1" applyBorder="1" applyAlignment="1">
      <alignment horizontal="center"/>
    </xf>
    <xf numFmtId="0" fontId="0" fillId="0" borderId="492" xfId="0" applyFont="1" applyBorder="1" applyAlignment="1">
      <alignment horizontal="center"/>
    </xf>
    <xf numFmtId="0" fontId="0" fillId="0" borderId="494" xfId="0" applyBorder="1"/>
    <xf numFmtId="4" fontId="0" fillId="0" borderId="0" xfId="0" applyNumberFormat="1" applyBorder="1" applyAlignment="1">
      <alignment horizontal="center"/>
    </xf>
    <xf numFmtId="4" fontId="0" fillId="0" borderId="0" xfId="0" applyNumberFormat="1" applyBorder="1"/>
    <xf numFmtId="4" fontId="0" fillId="0" borderId="497" xfId="0" applyNumberFormat="1" applyBorder="1" applyAlignment="1">
      <alignment horizontal="center"/>
    </xf>
    <xf numFmtId="0" fontId="0" fillId="0" borderId="499" xfId="0" applyBorder="1"/>
    <xf numFmtId="0" fontId="0" fillId="0" borderId="500" xfId="0" applyFont="1" applyBorder="1"/>
    <xf numFmtId="0" fontId="0" fillId="0" borderId="500" xfId="0" applyBorder="1"/>
    <xf numFmtId="0" fontId="0" fillId="0" borderId="500" xfId="0" applyFont="1" applyBorder="1" applyAlignment="1">
      <alignment horizontal="center"/>
    </xf>
    <xf numFmtId="0" fontId="0" fillId="0" borderId="501" xfId="0" applyBorder="1"/>
    <xf numFmtId="0" fontId="0" fillId="0" borderId="502" xfId="0" applyBorder="1"/>
    <xf numFmtId="0" fontId="0" fillId="0" borderId="503" xfId="0" applyBorder="1"/>
    <xf numFmtId="4" fontId="0" fillId="0" borderId="0" xfId="0" applyNumberFormat="1" applyBorder="1" applyAlignment="1">
      <alignment horizontal="center" wrapText="1"/>
    </xf>
    <xf numFmtId="0" fontId="0" fillId="0" borderId="504" xfId="0" applyBorder="1"/>
    <xf numFmtId="0" fontId="0" fillId="0" borderId="505" xfId="0" applyFont="1" applyBorder="1"/>
    <xf numFmtId="0" fontId="0" fillId="0" borderId="505" xfId="0" applyBorder="1"/>
    <xf numFmtId="0" fontId="0" fillId="0" borderId="505" xfId="0" applyFont="1" applyBorder="1" applyAlignment="1">
      <alignment horizontal="center"/>
    </xf>
    <xf numFmtId="0" fontId="0" fillId="0" borderId="506" xfId="0" applyBorder="1"/>
    <xf numFmtId="2" fontId="15" fillId="17" borderId="104" xfId="0" applyNumberFormat="1" applyFont="1" applyFill="1" applyBorder="1" applyAlignment="1" applyProtection="1">
      <alignment horizontal="center"/>
    </xf>
    <xf numFmtId="1" fontId="14" fillId="0" borderId="303" xfId="0" applyNumberFormat="1" applyFont="1" applyFill="1" applyBorder="1" applyAlignment="1" applyProtection="1">
      <alignment horizontal="center"/>
      <protection locked="0"/>
    </xf>
    <xf numFmtId="10" fontId="14" fillId="0" borderId="304" xfId="0" applyNumberFormat="1" applyFont="1" applyFill="1" applyBorder="1" applyAlignment="1" applyProtection="1">
      <alignment horizontal="center" wrapText="1"/>
      <protection locked="0"/>
    </xf>
    <xf numFmtId="0" fontId="82" fillId="0" borderId="0" xfId="20"/>
    <xf numFmtId="0" fontId="82" fillId="20" borderId="0" xfId="20" applyFill="1"/>
    <xf numFmtId="0" fontId="82" fillId="0" borderId="94" xfId="20" applyFill="1" applyBorder="1"/>
    <xf numFmtId="169" fontId="82" fillId="20" borderId="0" xfId="20" applyNumberFormat="1" applyFill="1"/>
    <xf numFmtId="0" fontId="82" fillId="20" borderId="94" xfId="20" applyFill="1" applyBorder="1"/>
    <xf numFmtId="0" fontId="2" fillId="0" borderId="0" xfId="20" applyFont="1"/>
    <xf numFmtId="1" fontId="2" fillId="0" borderId="0" xfId="20" applyNumberFormat="1" applyFont="1"/>
    <xf numFmtId="0" fontId="82" fillId="20" borderId="293" xfId="20" applyFill="1" applyBorder="1"/>
    <xf numFmtId="0" fontId="82" fillId="20" borderId="294" xfId="20" applyFill="1" applyBorder="1"/>
    <xf numFmtId="1" fontId="82" fillId="20" borderId="295" xfId="20" applyNumberFormat="1" applyFill="1" applyBorder="1"/>
    <xf numFmtId="0" fontId="82" fillId="20" borderId="296" xfId="20" applyFill="1" applyBorder="1"/>
    <xf numFmtId="0" fontId="82" fillId="20" borderId="297" xfId="20" applyFill="1" applyBorder="1"/>
    <xf numFmtId="0" fontId="82" fillId="20" borderId="298" xfId="20" applyFill="1" applyBorder="1"/>
    <xf numFmtId="0" fontId="10" fillId="10" borderId="0" xfId="20" applyFont="1" applyFill="1"/>
    <xf numFmtId="0" fontId="10" fillId="10" borderId="0" xfId="20" applyFont="1" applyFill="1" applyAlignment="1">
      <alignment wrapText="1"/>
    </xf>
    <xf numFmtId="0" fontId="2" fillId="10" borderId="0" xfId="20" applyFont="1" applyFill="1" applyAlignment="1">
      <alignment wrapText="1"/>
    </xf>
    <xf numFmtId="0" fontId="82" fillId="10" borderId="0" xfId="20" applyFill="1"/>
    <xf numFmtId="0" fontId="2" fillId="12" borderId="0" xfId="20" applyFont="1" applyFill="1" applyAlignment="1"/>
    <xf numFmtId="0" fontId="2" fillId="9" borderId="0" xfId="20" applyFont="1" applyFill="1"/>
    <xf numFmtId="0" fontId="2" fillId="6" borderId="0" xfId="20" applyFont="1" applyFill="1" applyAlignment="1"/>
    <xf numFmtId="0" fontId="2" fillId="13" borderId="0" xfId="20" applyFont="1" applyFill="1"/>
    <xf numFmtId="0" fontId="82" fillId="13" borderId="0" xfId="20" applyFill="1"/>
    <xf numFmtId="0" fontId="82" fillId="23" borderId="0" xfId="20" applyFill="1"/>
    <xf numFmtId="0" fontId="0" fillId="0" borderId="346" xfId="0" applyBorder="1" applyAlignment="1">
      <alignment textRotation="180"/>
    </xf>
    <xf numFmtId="0" fontId="76" fillId="0" borderId="0" xfId="0" applyFont="1" applyAlignment="1">
      <alignment horizontal="left"/>
    </xf>
    <xf numFmtId="0" fontId="0" fillId="0" borderId="0" xfId="0" applyAlignment="1">
      <alignment wrapText="1"/>
    </xf>
    <xf numFmtId="0" fontId="15" fillId="17" borderId="349" xfId="0" applyFont="1" applyFill="1" applyBorder="1" applyAlignment="1" applyProtection="1">
      <alignment horizontal="center" vertical="center"/>
    </xf>
    <xf numFmtId="0" fontId="15" fillId="17" borderId="61" xfId="0" applyFont="1" applyFill="1" applyBorder="1" applyAlignment="1" applyProtection="1">
      <alignment horizontal="center"/>
    </xf>
    <xf numFmtId="0" fontId="15" fillId="17" borderId="87" xfId="0" applyFont="1" applyFill="1" applyBorder="1" applyAlignment="1" applyProtection="1">
      <alignment horizontal="center"/>
    </xf>
    <xf numFmtId="0" fontId="23" fillId="14" borderId="347" xfId="0" applyFont="1" applyFill="1" applyBorder="1" applyAlignment="1" applyProtection="1">
      <alignment horizontal="center" vertical="center"/>
    </xf>
    <xf numFmtId="0" fontId="19" fillId="14" borderId="344" xfId="0" applyFont="1" applyFill="1" applyBorder="1" applyAlignment="1" applyProtection="1">
      <alignment horizontal="left" vertical="center"/>
    </xf>
    <xf numFmtId="0" fontId="19" fillId="14" borderId="461" xfId="0" applyFont="1" applyFill="1" applyBorder="1" applyAlignment="1" applyProtection="1">
      <alignment horizontal="left" vertical="center"/>
    </xf>
    <xf numFmtId="0" fontId="24" fillId="17" borderId="87" xfId="0" applyFont="1" applyFill="1" applyBorder="1" applyAlignment="1" applyProtection="1">
      <alignment horizontal="center" vertical="center"/>
    </xf>
    <xf numFmtId="0" fontId="14" fillId="18" borderId="66" xfId="0" applyNumberFormat="1" applyFont="1" applyFill="1" applyBorder="1" applyAlignment="1" applyProtection="1">
      <alignment horizontal="left" vertical="center"/>
    </xf>
    <xf numFmtId="0" fontId="14" fillId="18" borderId="431" xfId="0" applyNumberFormat="1" applyFont="1" applyFill="1" applyBorder="1" applyAlignment="1" applyProtection="1">
      <alignment horizontal="left" vertical="center"/>
    </xf>
    <xf numFmtId="0" fontId="107" fillId="0" borderId="0" xfId="0" applyFont="1" applyAlignment="1" applyProtection="1">
      <alignment horizontal="left" vertical="center" wrapText="1"/>
    </xf>
    <xf numFmtId="0" fontId="108" fillId="0" borderId="0" xfId="0" applyFont="1" applyAlignment="1" applyProtection="1">
      <alignment vertical="center" wrapText="1"/>
    </xf>
    <xf numFmtId="0" fontId="24" fillId="17" borderId="45" xfId="0" applyFont="1" applyFill="1" applyBorder="1" applyAlignment="1" applyProtection="1">
      <alignment vertical="center"/>
    </xf>
    <xf numFmtId="0" fontId="24" fillId="17" borderId="0" xfId="0" applyFont="1" applyFill="1" applyBorder="1" applyAlignment="1" applyProtection="1">
      <alignment vertical="center"/>
    </xf>
    <xf numFmtId="0" fontId="0" fillId="0" borderId="0" xfId="0" applyBorder="1" applyAlignment="1">
      <alignment wrapText="1"/>
    </xf>
    <xf numFmtId="0" fontId="19" fillId="14" borderId="0" xfId="0" applyFont="1" applyFill="1" applyBorder="1" applyAlignment="1" applyProtection="1">
      <alignment horizontal="left" vertical="center"/>
    </xf>
    <xf numFmtId="0" fontId="19" fillId="14" borderId="101" xfId="0" applyFont="1" applyFill="1" applyBorder="1" applyAlignment="1" applyProtection="1">
      <alignment horizontal="left" vertical="center"/>
    </xf>
    <xf numFmtId="0" fontId="15" fillId="19" borderId="341" xfId="0" applyFont="1" applyFill="1" applyBorder="1" applyAlignment="1" applyProtection="1">
      <alignment horizontal="left" wrapText="1"/>
    </xf>
    <xf numFmtId="0" fontId="15" fillId="19" borderId="0" xfId="0" applyFont="1" applyFill="1" applyBorder="1" applyAlignment="1" applyProtection="1">
      <alignment horizontal="left" wrapText="1"/>
    </xf>
    <xf numFmtId="0" fontId="15" fillId="18" borderId="341" xfId="0" applyFont="1" applyFill="1" applyBorder="1" applyAlignment="1" applyProtection="1"/>
    <xf numFmtId="0" fontId="15" fillId="18" borderId="0" xfId="0" applyFont="1" applyFill="1" applyBorder="1" applyAlignment="1" applyProtection="1"/>
    <xf numFmtId="0" fontId="14" fillId="18" borderId="0" xfId="0" applyFont="1" applyFill="1" applyBorder="1" applyAlignment="1" applyProtection="1"/>
    <xf numFmtId="2" fontId="15" fillId="8" borderId="284" xfId="0" applyNumberFormat="1" applyFont="1" applyFill="1" applyBorder="1" applyAlignment="1" applyProtection="1">
      <alignment horizontal="center"/>
    </xf>
    <xf numFmtId="2" fontId="14" fillId="14" borderId="0" xfId="0" applyNumberFormat="1" applyFont="1" applyFill="1" applyBorder="1" applyAlignment="1" applyProtection="1"/>
    <xf numFmtId="0" fontId="19" fillId="14" borderId="110" xfId="0" applyFont="1" applyFill="1" applyBorder="1" applyAlignment="1" applyProtection="1">
      <alignment horizontal="left" vertical="center"/>
    </xf>
    <xf numFmtId="0" fontId="15" fillId="0" borderId="0" xfId="0" applyFont="1" applyFill="1" applyAlignment="1" applyProtection="1">
      <alignment wrapText="1"/>
    </xf>
    <xf numFmtId="0" fontId="14" fillId="0" borderId="0" xfId="0" applyFont="1" applyFill="1" applyAlignment="1" applyProtection="1">
      <alignment wrapText="1"/>
    </xf>
    <xf numFmtId="0" fontId="14" fillId="0" borderId="0" xfId="0" applyFont="1" applyFill="1" applyAlignment="1" applyProtection="1"/>
    <xf numFmtId="0" fontId="19" fillId="14" borderId="121" xfId="0" applyFont="1" applyFill="1" applyBorder="1" applyAlignment="1" applyProtection="1">
      <alignment horizontal="left" vertical="center"/>
    </xf>
    <xf numFmtId="0" fontId="14" fillId="14" borderId="0" xfId="0" applyFont="1" applyFill="1" applyBorder="1" applyAlignment="1" applyProtection="1">
      <alignment vertical="center"/>
    </xf>
    <xf numFmtId="2" fontId="19" fillId="6" borderId="61" xfId="0" applyNumberFormat="1" applyFont="1" applyFill="1" applyBorder="1" applyAlignment="1">
      <alignment horizontal="left" vertical="center"/>
    </xf>
    <xf numFmtId="0" fontId="24" fillId="5" borderId="45" xfId="0" applyFont="1" applyFill="1" applyBorder="1" applyAlignment="1">
      <alignment horizontal="center"/>
    </xf>
    <xf numFmtId="0" fontId="24" fillId="5" borderId="0" xfId="0" applyFont="1" applyFill="1" applyBorder="1" applyAlignment="1">
      <alignment horizontal="center"/>
    </xf>
    <xf numFmtId="0" fontId="24" fillId="5" borderId="111" xfId="0" applyFont="1" applyFill="1" applyBorder="1" applyAlignment="1"/>
    <xf numFmtId="0" fontId="24" fillId="5" borderId="0" xfId="0" applyFont="1" applyFill="1" applyBorder="1" applyAlignment="1"/>
    <xf numFmtId="0" fontId="65" fillId="8" borderId="0" xfId="0" applyFont="1" applyFill="1" applyBorder="1" applyAlignment="1"/>
    <xf numFmtId="0" fontId="64" fillId="0" borderId="0" xfId="0" applyFont="1" applyFill="1" applyBorder="1" applyAlignment="1"/>
    <xf numFmtId="0" fontId="25" fillId="18" borderId="0" xfId="21" applyFont="1" applyFill="1" applyBorder="1" applyAlignment="1" applyProtection="1">
      <alignment horizontal="left"/>
    </xf>
    <xf numFmtId="2" fontId="25" fillId="16" borderId="411" xfId="21" applyNumberFormat="1" applyFont="1" applyFill="1" applyBorder="1" applyAlignment="1" applyProtection="1">
      <alignment horizontal="left"/>
    </xf>
    <xf numFmtId="2" fontId="24" fillId="18" borderId="337" xfId="21" applyNumberFormat="1" applyFont="1" applyFill="1" applyBorder="1" applyAlignment="1" applyProtection="1">
      <alignment horizontal="left"/>
    </xf>
    <xf numFmtId="0" fontId="25" fillId="0" borderId="362" xfId="21" applyFont="1" applyFill="1" applyBorder="1" applyAlignment="1" applyProtection="1">
      <alignment horizontal="left"/>
      <protection locked="0"/>
    </xf>
    <xf numFmtId="0" fontId="25" fillId="0" borderId="340" xfId="21" applyFont="1" applyFill="1" applyBorder="1" applyAlignment="1" applyProtection="1">
      <alignment horizontal="left"/>
      <protection locked="0"/>
    </xf>
    <xf numFmtId="0" fontId="24" fillId="16" borderId="360" xfId="21" applyFont="1" applyFill="1" applyBorder="1" applyAlignment="1" applyProtection="1"/>
    <xf numFmtId="174" fontId="25" fillId="17" borderId="360" xfId="21" applyNumberFormat="1" applyFont="1" applyFill="1" applyBorder="1" applyAlignment="1" applyProtection="1">
      <alignment horizontal="center"/>
    </xf>
    <xf numFmtId="0" fontId="25" fillId="0" borderId="358" xfId="21" applyFont="1" applyFill="1" applyBorder="1" applyAlignment="1" applyProtection="1">
      <alignment horizontal="left"/>
      <protection locked="0"/>
    </xf>
    <xf numFmtId="174" fontId="24" fillId="16" borderId="417" xfId="21" applyNumberFormat="1" applyFont="1" applyFill="1" applyBorder="1" applyAlignment="1" applyProtection="1">
      <alignment horizontal="center"/>
    </xf>
    <xf numFmtId="0" fontId="24" fillId="14" borderId="418" xfId="21" applyFont="1" applyFill="1" applyBorder="1" applyAlignment="1" applyProtection="1">
      <alignment horizontal="center"/>
    </xf>
    <xf numFmtId="174" fontId="24" fillId="16" borderId="360" xfId="21" applyNumberFormat="1" applyFont="1" applyFill="1" applyBorder="1" applyAlignment="1" applyProtection="1">
      <alignment horizontal="center"/>
    </xf>
    <xf numFmtId="174" fontId="25" fillId="18" borderId="360" xfId="21" applyNumberFormat="1" applyFont="1" applyFill="1" applyBorder="1" applyAlignment="1" applyProtection="1">
      <alignment horizontal="center"/>
    </xf>
    <xf numFmtId="0" fontId="24" fillId="14" borderId="418" xfId="21" applyFont="1" applyFill="1" applyBorder="1" applyAlignment="1" applyProtection="1">
      <alignment horizontal="center" wrapText="1"/>
    </xf>
    <xf numFmtId="0" fontId="24" fillId="6" borderId="0" xfId="19" applyFont="1" applyFill="1" applyAlignment="1"/>
    <xf numFmtId="0" fontId="1" fillId="0" borderId="0" xfId="0" applyFont="1" applyFill="1" applyAlignment="1" applyProtection="1">
      <alignment vertical="center"/>
    </xf>
    <xf numFmtId="0" fontId="1" fillId="0" borderId="0" xfId="0" applyFont="1" applyFill="1" applyBorder="1" applyAlignment="1" applyProtection="1">
      <alignment vertical="center"/>
    </xf>
    <xf numFmtId="0" fontId="1" fillId="0" borderId="0" xfId="0" applyFont="1" applyBorder="1" applyProtection="1"/>
    <xf numFmtId="0" fontId="1" fillId="0" borderId="0" xfId="0" applyFont="1" applyProtection="1"/>
    <xf numFmtId="0" fontId="1" fillId="0" borderId="0" xfId="0" applyFont="1" applyAlignment="1" applyProtection="1">
      <alignment horizontal="right"/>
    </xf>
    <xf numFmtId="1" fontId="1" fillId="0" borderId="0" xfId="0" applyNumberFormat="1" applyFont="1" applyAlignment="1" applyProtection="1">
      <alignment horizontal="right"/>
    </xf>
    <xf numFmtId="0" fontId="1" fillId="14" borderId="347" xfId="0" applyFont="1" applyFill="1" applyBorder="1" applyProtection="1"/>
    <xf numFmtId="173" fontId="1" fillId="14" borderId="347" xfId="0" applyNumberFormat="1" applyFont="1" applyFill="1" applyBorder="1" applyProtection="1"/>
    <xf numFmtId="173" fontId="1" fillId="0" borderId="0" xfId="0" applyNumberFormat="1" applyFont="1" applyProtection="1"/>
    <xf numFmtId="0" fontId="1" fillId="14" borderId="0" xfId="0" applyFont="1" applyFill="1" applyBorder="1" applyAlignment="1" applyProtection="1">
      <alignment horizontal="right"/>
    </xf>
    <xf numFmtId="1" fontId="1" fillId="14" borderId="0" xfId="0" applyNumberFormat="1" applyFont="1" applyFill="1" applyBorder="1" applyAlignment="1" applyProtection="1">
      <alignment horizontal="right"/>
    </xf>
    <xf numFmtId="0" fontId="1" fillId="14" borderId="0" xfId="0" applyFont="1" applyFill="1" applyBorder="1" applyProtection="1"/>
    <xf numFmtId="0" fontId="1" fillId="14" borderId="352" xfId="0" applyFont="1" applyFill="1" applyBorder="1" applyProtection="1"/>
    <xf numFmtId="1" fontId="1" fillId="14" borderId="352" xfId="0" applyNumberFormat="1" applyFont="1" applyFill="1" applyBorder="1" applyProtection="1"/>
    <xf numFmtId="0" fontId="1" fillId="14" borderId="352" xfId="0" applyFont="1" applyFill="1" applyBorder="1" applyAlignment="1" applyProtection="1">
      <alignment horizontal="right"/>
    </xf>
    <xf numFmtId="1" fontId="1" fillId="14" borderId="352" xfId="0" applyNumberFormat="1" applyFont="1" applyFill="1" applyBorder="1" applyAlignment="1" applyProtection="1">
      <alignment horizontal="right"/>
    </xf>
    <xf numFmtId="0" fontId="1" fillId="14" borderId="353" xfId="0" applyFont="1" applyFill="1" applyBorder="1" applyProtection="1"/>
    <xf numFmtId="1" fontId="1" fillId="0" borderId="0" xfId="0" applyNumberFormat="1" applyFont="1" applyProtection="1"/>
    <xf numFmtId="0" fontId="1" fillId="14" borderId="120" xfId="0" applyFont="1" applyFill="1" applyBorder="1" applyProtection="1"/>
    <xf numFmtId="0" fontId="1" fillId="14" borderId="122" xfId="0" applyFont="1" applyFill="1" applyBorder="1" applyProtection="1"/>
    <xf numFmtId="0" fontId="1" fillId="0" borderId="0" xfId="0" applyFont="1" applyFill="1" applyBorder="1" applyProtection="1"/>
    <xf numFmtId="0" fontId="1" fillId="14" borderId="123" xfId="0" applyFont="1" applyFill="1" applyBorder="1" applyProtection="1"/>
    <xf numFmtId="0" fontId="1" fillId="14" borderId="124" xfId="0" applyFont="1" applyFill="1" applyBorder="1" applyProtection="1"/>
    <xf numFmtId="1" fontId="1" fillId="0" borderId="0" xfId="0" applyNumberFormat="1" applyFont="1" applyFill="1" applyBorder="1" applyAlignment="1" applyProtection="1">
      <alignment horizontal="center"/>
    </xf>
    <xf numFmtId="0" fontId="1" fillId="0" borderId="0" xfId="0" applyFont="1" applyFill="1" applyBorder="1" applyAlignment="1" applyProtection="1">
      <alignment horizontal="center"/>
    </xf>
    <xf numFmtId="0" fontId="1" fillId="17" borderId="45" xfId="0" applyFont="1" applyFill="1" applyBorder="1" applyProtection="1"/>
    <xf numFmtId="0" fontId="1" fillId="5" borderId="45" xfId="0" applyFont="1" applyFill="1" applyBorder="1" applyProtection="1"/>
    <xf numFmtId="0" fontId="1" fillId="16" borderId="136" xfId="0" applyFont="1" applyFill="1" applyBorder="1" applyProtection="1"/>
    <xf numFmtId="0" fontId="1" fillId="17" borderId="0" xfId="0" applyFont="1" applyFill="1" applyBorder="1" applyAlignment="1" applyProtection="1">
      <alignment horizontal="center"/>
    </xf>
    <xf numFmtId="0" fontId="1" fillId="17" borderId="0" xfId="0" applyFont="1" applyFill="1" applyBorder="1" applyProtection="1"/>
    <xf numFmtId="1" fontId="1" fillId="17" borderId="0" xfId="0" applyNumberFormat="1" applyFont="1" applyFill="1" applyBorder="1" applyProtection="1"/>
    <xf numFmtId="1" fontId="1" fillId="14" borderId="253" xfId="0" applyNumberFormat="1" applyFont="1" applyFill="1" applyBorder="1" applyProtection="1"/>
    <xf numFmtId="1" fontId="1" fillId="14" borderId="124" xfId="0" applyNumberFormat="1" applyFont="1" applyFill="1" applyBorder="1" applyProtection="1"/>
    <xf numFmtId="0" fontId="1" fillId="17" borderId="15" xfId="0" applyFont="1" applyFill="1" applyBorder="1" applyProtection="1"/>
    <xf numFmtId="0" fontId="1" fillId="0" borderId="184" xfId="0" applyFont="1" applyBorder="1" applyProtection="1"/>
    <xf numFmtId="1" fontId="1" fillId="14" borderId="0" xfId="0" applyNumberFormat="1" applyFont="1" applyFill="1" applyBorder="1" applyProtection="1"/>
    <xf numFmtId="0" fontId="1" fillId="16" borderId="102" xfId="0" applyFont="1" applyFill="1" applyBorder="1" applyProtection="1"/>
    <xf numFmtId="0" fontId="1" fillId="14" borderId="152" xfId="0" applyFont="1" applyFill="1" applyBorder="1" applyProtection="1"/>
    <xf numFmtId="0" fontId="1" fillId="14" borderId="125" xfId="0" applyFont="1" applyFill="1" applyBorder="1" applyProtection="1"/>
    <xf numFmtId="1" fontId="1" fillId="14" borderId="125" xfId="0" applyNumberFormat="1" applyFont="1" applyFill="1" applyBorder="1" applyProtection="1"/>
    <xf numFmtId="0" fontId="1" fillId="14" borderId="126" xfId="0" applyFont="1" applyFill="1" applyBorder="1" applyProtection="1"/>
    <xf numFmtId="0" fontId="1" fillId="0" borderId="0" xfId="0" applyFont="1" applyFill="1" applyProtection="1"/>
    <xf numFmtId="0" fontId="1" fillId="23" borderId="87" xfId="0" applyFont="1" applyFill="1" applyBorder="1" applyProtection="1"/>
    <xf numFmtId="0" fontId="1" fillId="23" borderId="61" xfId="0" applyFont="1" applyFill="1" applyBorder="1" applyProtection="1"/>
    <xf numFmtId="0" fontId="1" fillId="0" borderId="236" xfId="0" applyFont="1" applyBorder="1" applyProtection="1"/>
    <xf numFmtId="1" fontId="1" fillId="20" borderId="236" xfId="0" applyNumberFormat="1" applyFont="1" applyFill="1" applyBorder="1" applyAlignment="1" applyProtection="1">
      <alignment horizontal="center"/>
    </xf>
    <xf numFmtId="0" fontId="1" fillId="23" borderId="152" xfId="0" applyFont="1" applyFill="1" applyBorder="1" applyProtection="1"/>
    <xf numFmtId="0" fontId="1" fillId="23" borderId="125" xfId="0" applyFont="1" applyFill="1" applyBorder="1" applyProtection="1"/>
    <xf numFmtId="0" fontId="1" fillId="0" borderId="236" xfId="0" applyFont="1" applyFill="1" applyBorder="1" applyProtection="1"/>
    <xf numFmtId="0" fontId="1" fillId="0" borderId="236" xfId="0" applyFont="1" applyFill="1" applyBorder="1" applyAlignment="1" applyProtection="1">
      <alignment horizontal="center"/>
    </xf>
    <xf numFmtId="0" fontId="1" fillId="16" borderId="236" xfId="0" applyFont="1" applyFill="1" applyBorder="1" applyProtection="1"/>
    <xf numFmtId="2" fontId="1" fillId="0" borderId="10" xfId="0" applyNumberFormat="1" applyFont="1" applyBorder="1" applyAlignment="1" applyProtection="1">
      <alignment vertical="top" wrapText="1"/>
      <protection locked="0"/>
    </xf>
    <xf numFmtId="0" fontId="37" fillId="0" borderId="346" xfId="0" applyFont="1" applyBorder="1" applyAlignment="1" applyProtection="1">
      <alignment textRotation="180"/>
    </xf>
    <xf numFmtId="0" fontId="0" fillId="0" borderId="346" xfId="0" applyBorder="1" applyAlignment="1">
      <alignment textRotation="180"/>
    </xf>
    <xf numFmtId="0" fontId="112" fillId="0" borderId="0" xfId="0" applyFont="1" applyAlignment="1">
      <alignment wrapText="1"/>
    </xf>
    <xf numFmtId="0" fontId="113" fillId="0" borderId="0" xfId="0" applyFont="1" applyAlignment="1">
      <alignment wrapText="1"/>
    </xf>
    <xf numFmtId="0" fontId="76" fillId="0" borderId="0" xfId="0" applyFont="1" applyAlignment="1">
      <alignment horizontal="left"/>
    </xf>
    <xf numFmtId="0" fontId="78" fillId="0" borderId="0" xfId="0" applyFont="1" applyAlignment="1">
      <alignment horizontal="left"/>
    </xf>
    <xf numFmtId="0" fontId="79" fillId="0" borderId="0" xfId="0" applyFont="1" applyAlignment="1">
      <alignment wrapText="1"/>
    </xf>
    <xf numFmtId="0" fontId="2" fillId="0" borderId="0" xfId="0" applyFont="1" applyAlignment="1">
      <alignment wrapText="1"/>
    </xf>
    <xf numFmtId="0" fontId="80" fillId="0" borderId="0" xfId="0" applyFont="1" applyAlignment="1">
      <alignment vertical="top" wrapText="1"/>
    </xf>
    <xf numFmtId="0" fontId="0" fillId="0" borderId="0" xfId="0" applyAlignment="1">
      <alignment vertical="top" wrapText="1"/>
    </xf>
    <xf numFmtId="0" fontId="0" fillId="0" borderId="0" xfId="0" applyAlignment="1"/>
    <xf numFmtId="14" fontId="3" fillId="0" borderId="0" xfId="0" applyNumberFormat="1" applyFont="1" applyAlignment="1"/>
    <xf numFmtId="0" fontId="3" fillId="0" borderId="0" xfId="0" applyFont="1" applyAlignment="1"/>
    <xf numFmtId="0" fontId="116" fillId="0" borderId="0" xfId="17" applyFont="1" applyAlignment="1">
      <alignment wrapText="1"/>
    </xf>
    <xf numFmtId="0" fontId="114" fillId="28" borderId="0" xfId="17" applyFont="1" applyFill="1" applyAlignment="1"/>
    <xf numFmtId="0" fontId="115" fillId="28" borderId="0" xfId="17" applyFont="1" applyFill="1" applyAlignment="1"/>
    <xf numFmtId="0" fontId="13" fillId="29" borderId="0" xfId="0" applyFont="1" applyFill="1" applyAlignment="1"/>
    <xf numFmtId="0" fontId="13" fillId="0" borderId="0" xfId="0" applyFont="1" applyAlignment="1"/>
    <xf numFmtId="0" fontId="14" fillId="0" borderId="0" xfId="0" applyFont="1" applyAlignment="1">
      <alignment wrapText="1"/>
    </xf>
    <xf numFmtId="0" fontId="0" fillId="0" borderId="0" xfId="0" applyAlignment="1">
      <alignment wrapText="1"/>
    </xf>
    <xf numFmtId="0" fontId="19" fillId="20" borderId="0" xfId="0" applyFont="1" applyFill="1" applyAlignment="1">
      <alignment wrapText="1"/>
    </xf>
    <xf numFmtId="0" fontId="19" fillId="14" borderId="344" xfId="0" applyFont="1" applyFill="1" applyBorder="1" applyAlignment="1" applyProtection="1">
      <alignment wrapText="1"/>
    </xf>
    <xf numFmtId="0" fontId="0" fillId="14" borderId="344" xfId="0" applyFill="1" applyBorder="1" applyAlignment="1" applyProtection="1"/>
    <xf numFmtId="0" fontId="0" fillId="14" borderId="345" xfId="0" applyFill="1" applyBorder="1" applyAlignment="1" applyProtection="1"/>
    <xf numFmtId="0" fontId="15" fillId="17" borderId="349" xfId="0" applyFont="1" applyFill="1" applyBorder="1" applyAlignment="1" applyProtection="1">
      <alignment horizontal="center" vertical="center"/>
    </xf>
    <xf numFmtId="0" fontId="0" fillId="17" borderId="0" xfId="0" applyFill="1" applyBorder="1" applyAlignment="1" applyProtection="1">
      <alignment vertical="center"/>
    </xf>
    <xf numFmtId="0" fontId="15" fillId="17" borderId="351" xfId="0" applyFont="1" applyFill="1" applyBorder="1" applyAlignment="1" applyProtection="1">
      <alignment horizontal="center" vertical="center"/>
    </xf>
    <xf numFmtId="0" fontId="0" fillId="17" borderId="334" xfId="0" applyFill="1" applyBorder="1" applyAlignment="1" applyProtection="1">
      <alignment vertical="center"/>
    </xf>
    <xf numFmtId="0" fontId="15" fillId="14" borderId="347" xfId="0" applyFont="1" applyFill="1" applyBorder="1" applyAlignment="1" applyProtection="1">
      <alignment horizontal="center" vertical="center"/>
    </xf>
    <xf numFmtId="0" fontId="0" fillId="14" borderId="347" xfId="0" applyFill="1" applyBorder="1" applyAlignment="1" applyProtection="1">
      <alignment vertical="center"/>
    </xf>
    <xf numFmtId="0" fontId="15" fillId="17" borderId="348" xfId="0" applyFont="1" applyFill="1" applyBorder="1" applyAlignment="1" applyProtection="1">
      <alignment horizontal="center" vertical="center"/>
    </xf>
    <xf numFmtId="0" fontId="15" fillId="17" borderId="341" xfId="0" applyFont="1" applyFill="1" applyBorder="1" applyAlignment="1" applyProtection="1">
      <alignment horizontal="center" vertical="center"/>
    </xf>
    <xf numFmtId="0" fontId="15" fillId="18" borderId="366" xfId="0" applyFont="1" applyFill="1" applyBorder="1" applyAlignment="1" applyProtection="1">
      <alignment horizontal="center"/>
    </xf>
    <xf numFmtId="0" fontId="15" fillId="18" borderId="339" xfId="0" applyFont="1" applyFill="1" applyBorder="1" applyAlignment="1" applyProtection="1">
      <alignment horizontal="center"/>
    </xf>
    <xf numFmtId="0" fontId="15" fillId="18" borderId="507" xfId="0" applyFont="1" applyFill="1" applyBorder="1" applyAlignment="1" applyProtection="1">
      <alignment horizontal="center"/>
    </xf>
    <xf numFmtId="0" fontId="14" fillId="18" borderId="366" xfId="0" applyFont="1" applyFill="1" applyBorder="1" applyAlignment="1" applyProtection="1">
      <alignment horizontal="center"/>
    </xf>
    <xf numFmtId="0" fontId="14" fillId="18" borderId="339" xfId="0" applyFont="1" applyFill="1" applyBorder="1" applyAlignment="1" applyProtection="1">
      <alignment horizontal="center"/>
    </xf>
    <xf numFmtId="0" fontId="14" fillId="18" borderId="507" xfId="0" applyFont="1" applyFill="1" applyBorder="1" applyAlignment="1" applyProtection="1">
      <alignment horizontal="center"/>
    </xf>
    <xf numFmtId="0" fontId="1" fillId="14" borderId="0" xfId="0" applyFont="1" applyFill="1" applyBorder="1" applyAlignment="1" applyProtection="1">
      <alignment horizontal="center" vertical="center"/>
    </xf>
    <xf numFmtId="0" fontId="15" fillId="17" borderId="73" xfId="0" applyFont="1" applyFill="1" applyBorder="1" applyAlignment="1" applyProtection="1">
      <alignment horizontal="left" vertical="center"/>
    </xf>
    <xf numFmtId="0" fontId="15" fillId="17" borderId="15" xfId="0" applyFont="1" applyFill="1" applyBorder="1" applyAlignment="1" applyProtection="1">
      <alignment horizontal="left" vertical="center"/>
    </xf>
    <xf numFmtId="0" fontId="15" fillId="17" borderId="47" xfId="0" applyFont="1" applyFill="1" applyBorder="1" applyAlignment="1" applyProtection="1">
      <alignment horizontal="left" vertical="center"/>
    </xf>
    <xf numFmtId="0" fontId="15" fillId="17" borderId="61" xfId="0" applyFont="1" applyFill="1" applyBorder="1" applyAlignment="1" applyProtection="1">
      <alignment horizontal="center"/>
    </xf>
    <xf numFmtId="0" fontId="15" fillId="17" borderId="73" xfId="0" applyFont="1" applyFill="1" applyBorder="1" applyAlignment="1" applyProtection="1">
      <alignment horizontal="center"/>
    </xf>
    <xf numFmtId="0" fontId="14" fillId="20" borderId="0" xfId="0" applyFont="1" applyFill="1" applyAlignment="1" applyProtection="1"/>
    <xf numFmtId="0" fontId="21" fillId="0" borderId="244" xfId="0" applyFont="1" applyFill="1" applyBorder="1" applyAlignment="1" applyProtection="1">
      <alignment textRotation="180"/>
    </xf>
    <xf numFmtId="0" fontId="0" fillId="0" borderId="244" xfId="0" applyBorder="1" applyAlignment="1"/>
    <xf numFmtId="0" fontId="0" fillId="0" borderId="245" xfId="0" applyBorder="1" applyAlignment="1"/>
    <xf numFmtId="0" fontId="43" fillId="20" borderId="123" xfId="0" applyFont="1" applyFill="1" applyBorder="1" applyAlignment="1" applyProtection="1">
      <alignment wrapText="1"/>
    </xf>
    <xf numFmtId="0" fontId="43" fillId="20" borderId="0" xfId="0" applyFont="1" applyFill="1" applyBorder="1" applyAlignment="1" applyProtection="1">
      <alignment wrapText="1"/>
    </xf>
    <xf numFmtId="0" fontId="48" fillId="20" borderId="0" xfId="0" applyFont="1" applyFill="1" applyAlignment="1">
      <alignment wrapText="1"/>
    </xf>
    <xf numFmtId="0" fontId="48" fillId="20" borderId="123" xfId="0" applyFont="1" applyFill="1" applyBorder="1" applyAlignment="1">
      <alignment wrapText="1"/>
    </xf>
    <xf numFmtId="0" fontId="48" fillId="20" borderId="0" xfId="0" applyFont="1" applyFill="1" applyBorder="1" applyAlignment="1">
      <alignment wrapText="1"/>
    </xf>
    <xf numFmtId="0" fontId="48" fillId="0" borderId="346" xfId="0" applyFont="1" applyBorder="1" applyAlignment="1">
      <alignment wrapText="1"/>
    </xf>
    <xf numFmtId="0" fontId="48" fillId="0" borderId="0" xfId="0" applyFont="1" applyBorder="1" applyAlignment="1">
      <alignment wrapText="1"/>
    </xf>
    <xf numFmtId="0" fontId="48" fillId="0" borderId="0" xfId="0" applyFont="1" applyAlignment="1">
      <alignment wrapText="1"/>
    </xf>
    <xf numFmtId="0" fontId="14" fillId="21" borderId="0" xfId="0" applyFont="1" applyFill="1" applyBorder="1" applyAlignment="1" applyProtection="1">
      <alignment wrapText="1"/>
    </xf>
    <xf numFmtId="0" fontId="0" fillId="21" borderId="0" xfId="0" applyFill="1" applyBorder="1" applyAlignment="1">
      <alignment wrapText="1"/>
    </xf>
    <xf numFmtId="0" fontId="0" fillId="17" borderId="15" xfId="0" applyFill="1" applyBorder="1" applyAlignment="1" applyProtection="1">
      <alignment horizontal="left" vertical="center"/>
    </xf>
    <xf numFmtId="0" fontId="15" fillId="17" borderId="87" xfId="0" applyFont="1" applyFill="1" applyBorder="1" applyAlignment="1" applyProtection="1">
      <alignment horizontal="center"/>
    </xf>
    <xf numFmtId="0" fontId="19" fillId="14" borderId="344" xfId="0" applyFont="1" applyFill="1" applyBorder="1" applyAlignment="1" applyProtection="1">
      <alignment horizontal="left" vertical="center"/>
    </xf>
    <xf numFmtId="0" fontId="0" fillId="0" borderId="344" xfId="0" applyBorder="1" applyAlignment="1">
      <alignment horizontal="left" vertical="center"/>
    </xf>
    <xf numFmtId="0" fontId="18" fillId="14" borderId="346" xfId="0" applyFont="1" applyFill="1" applyBorder="1" applyAlignment="1" applyProtection="1">
      <alignment horizontal="center" textRotation="90"/>
    </xf>
    <xf numFmtId="0" fontId="2" fillId="14" borderId="346" xfId="0" applyFont="1" applyFill="1" applyBorder="1" applyAlignment="1" applyProtection="1">
      <alignment horizontal="center"/>
    </xf>
    <xf numFmtId="0" fontId="14" fillId="17" borderId="443" xfId="0" applyFont="1" applyFill="1" applyBorder="1" applyAlignment="1" applyProtection="1">
      <alignment horizontal="center" vertical="top" wrapText="1"/>
    </xf>
    <xf numFmtId="0" fontId="0" fillId="17" borderId="6" xfId="0" applyFill="1" applyBorder="1" applyAlignment="1" applyProtection="1">
      <alignment horizontal="center" vertical="top"/>
    </xf>
    <xf numFmtId="1" fontId="14" fillId="19" borderId="512" xfId="0" applyNumberFormat="1" applyFont="1" applyFill="1" applyBorder="1" applyAlignment="1" applyProtection="1">
      <alignment horizontal="right" vertical="center"/>
    </xf>
    <xf numFmtId="0" fontId="0" fillId="0" borderId="513" xfId="0" applyBorder="1" applyAlignment="1">
      <alignment horizontal="right" vertical="center"/>
    </xf>
    <xf numFmtId="0" fontId="0" fillId="0" borderId="441" xfId="0" applyBorder="1" applyAlignment="1">
      <alignment horizontal="right" vertical="center"/>
    </xf>
    <xf numFmtId="1" fontId="14" fillId="19" borderId="158" xfId="0" applyNumberFormat="1" applyFont="1" applyFill="1" applyBorder="1" applyAlignment="1" applyProtection="1">
      <alignment horizontal="right" vertical="center"/>
    </xf>
    <xf numFmtId="0" fontId="0" fillId="19" borderId="105" xfId="0" applyFill="1" applyBorder="1" applyAlignment="1">
      <alignment horizontal="right" vertical="center"/>
    </xf>
    <xf numFmtId="0" fontId="0" fillId="19" borderId="155" xfId="0" applyFill="1" applyBorder="1" applyAlignment="1">
      <alignment horizontal="right" vertical="center"/>
    </xf>
    <xf numFmtId="0" fontId="15" fillId="17" borderId="508" xfId="0" applyFont="1" applyFill="1" applyBorder="1" applyAlignment="1" applyProtection="1">
      <alignment horizontal="center" vertical="center"/>
    </xf>
    <xf numFmtId="0" fontId="0" fillId="17" borderId="509" xfId="0" applyFill="1" applyBorder="1" applyAlignment="1" applyProtection="1">
      <alignment horizontal="center" vertical="center"/>
    </xf>
    <xf numFmtId="1" fontId="15" fillId="16" borderId="150" xfId="0" applyNumberFormat="1" applyFont="1" applyFill="1" applyBorder="1" applyAlignment="1" applyProtection="1">
      <alignment horizontal="center" vertical="center"/>
    </xf>
    <xf numFmtId="1" fontId="15" fillId="18" borderId="158" xfId="0" applyNumberFormat="1" applyFont="1" applyFill="1" applyBorder="1" applyAlignment="1" applyProtection="1">
      <alignment horizontal="center" vertical="center"/>
    </xf>
    <xf numFmtId="1" fontId="15" fillId="18" borderId="155" xfId="0" applyNumberFormat="1" applyFont="1" applyFill="1" applyBorder="1" applyAlignment="1" applyProtection="1">
      <alignment horizontal="center" vertical="center"/>
    </xf>
    <xf numFmtId="0" fontId="43" fillId="18" borderId="343" xfId="0" applyFont="1" applyFill="1" applyBorder="1" applyAlignment="1" applyProtection="1">
      <alignment vertical="center" wrapText="1"/>
    </xf>
    <xf numFmtId="0" fontId="48" fillId="18" borderId="346" xfId="0" applyFont="1" applyFill="1" applyBorder="1" applyAlignment="1" applyProtection="1">
      <alignment vertical="center" wrapText="1"/>
    </xf>
    <xf numFmtId="0" fontId="14" fillId="17" borderId="305" xfId="0" applyFont="1" applyFill="1" applyBorder="1" applyAlignment="1" applyProtection="1">
      <alignment horizontal="left" vertical="center" wrapText="1"/>
    </xf>
    <xf numFmtId="0" fontId="1" fillId="17" borderId="90" xfId="0" applyFont="1" applyFill="1" applyBorder="1" applyAlignment="1" applyProtection="1">
      <alignment vertical="center"/>
    </xf>
    <xf numFmtId="0" fontId="14" fillId="17" borderId="88" xfId="0" applyFont="1" applyFill="1" applyBorder="1" applyAlignment="1" applyProtection="1">
      <alignment horizontal="center" vertical="center"/>
    </xf>
    <xf numFmtId="0" fontId="14" fillId="17" borderId="305" xfId="0" applyFont="1" applyFill="1" applyBorder="1" applyAlignment="1" applyProtection="1">
      <alignment horizontal="center" vertical="center"/>
    </xf>
    <xf numFmtId="0" fontId="23" fillId="14" borderId="0" xfId="0" applyFont="1" applyFill="1" applyBorder="1" applyAlignment="1" applyProtection="1">
      <alignment horizontal="center" vertical="center"/>
    </xf>
    <xf numFmtId="0" fontId="23" fillId="14" borderId="347" xfId="0" applyFont="1" applyFill="1" applyBorder="1" applyAlignment="1" applyProtection="1">
      <alignment horizontal="center" vertical="center"/>
    </xf>
    <xf numFmtId="0" fontId="15" fillId="16" borderId="129" xfId="0" applyFont="1" applyFill="1" applyBorder="1" applyAlignment="1" applyProtection="1">
      <alignment horizontal="center" vertical="center" wrapText="1"/>
    </xf>
    <xf numFmtId="0" fontId="14" fillId="18" borderId="510" xfId="0" applyFont="1" applyFill="1" applyBorder="1" applyAlignment="1" applyProtection="1">
      <alignment horizontal="left" vertical="center"/>
    </xf>
    <xf numFmtId="0" fontId="0" fillId="0" borderId="55" xfId="0" applyBorder="1" applyAlignment="1">
      <alignment vertical="center"/>
    </xf>
    <xf numFmtId="0" fontId="14" fillId="18" borderId="511" xfId="0" applyFont="1" applyFill="1" applyBorder="1" applyAlignment="1" applyProtection="1">
      <alignment horizontal="left" vertical="center"/>
    </xf>
    <xf numFmtId="0" fontId="0" fillId="0" borderId="441" xfId="0" applyBorder="1" applyAlignment="1">
      <alignment vertical="center"/>
    </xf>
    <xf numFmtId="2" fontId="15" fillId="18" borderId="129" xfId="0" applyNumberFormat="1" applyFont="1" applyFill="1" applyBorder="1" applyAlignment="1" applyProtection="1">
      <alignment horizontal="center" vertical="center" wrapText="1"/>
    </xf>
    <xf numFmtId="1" fontId="15" fillId="16" borderId="129" xfId="0" applyNumberFormat="1" applyFont="1" applyFill="1" applyBorder="1" applyAlignment="1" applyProtection="1">
      <alignment horizontal="center" vertical="center" wrapText="1"/>
    </xf>
    <xf numFmtId="0" fontId="43" fillId="18" borderId="346" xfId="0" applyFont="1" applyFill="1" applyBorder="1" applyAlignment="1" applyProtection="1">
      <alignment vertical="center" wrapText="1"/>
    </xf>
    <xf numFmtId="0" fontId="18" fillId="14" borderId="346" xfId="0" applyFont="1" applyFill="1" applyBorder="1" applyAlignment="1" applyProtection="1">
      <alignment horizontal="center" vertical="center" textRotation="90"/>
    </xf>
    <xf numFmtId="0" fontId="19" fillId="14" borderId="461" xfId="0" applyFont="1" applyFill="1" applyBorder="1" applyAlignment="1" applyProtection="1">
      <alignment horizontal="left" vertical="center"/>
    </xf>
    <xf numFmtId="3" fontId="15" fillId="16" borderId="150" xfId="0" applyNumberFormat="1" applyFont="1" applyFill="1" applyBorder="1" applyAlignment="1" applyProtection="1">
      <alignment horizontal="center" vertical="center"/>
    </xf>
    <xf numFmtId="1" fontId="15" fillId="5" borderId="158" xfId="0" applyNumberFormat="1" applyFont="1" applyFill="1" applyBorder="1" applyAlignment="1" applyProtection="1">
      <alignment horizontal="center" vertical="center"/>
    </xf>
    <xf numFmtId="1" fontId="15" fillId="5" borderId="155" xfId="0" applyNumberFormat="1" applyFont="1" applyFill="1" applyBorder="1" applyAlignment="1" applyProtection="1">
      <alignment horizontal="center" vertical="center"/>
    </xf>
    <xf numFmtId="0" fontId="0" fillId="0" borderId="461" xfId="0" applyBorder="1" applyAlignment="1">
      <alignment horizontal="left" vertical="center"/>
    </xf>
    <xf numFmtId="2" fontId="15" fillId="5" borderId="129" xfId="0" applyNumberFormat="1" applyFont="1" applyFill="1" applyBorder="1" applyAlignment="1" applyProtection="1">
      <alignment horizontal="center" vertical="center" wrapText="1"/>
    </xf>
    <xf numFmtId="0" fontId="15" fillId="17" borderId="443" xfId="0" applyFont="1" applyFill="1" applyBorder="1" applyAlignment="1" applyProtection="1">
      <alignment horizontal="center" vertical="top" wrapText="1"/>
    </xf>
    <xf numFmtId="0" fontId="2" fillId="17" borderId="6" xfId="0" applyFont="1" applyFill="1" applyBorder="1" applyAlignment="1" applyProtection="1">
      <alignment horizontal="center" vertical="top"/>
    </xf>
    <xf numFmtId="0" fontId="47" fillId="18" borderId="346" xfId="0" applyFont="1" applyFill="1" applyBorder="1" applyAlignment="1" applyProtection="1">
      <alignment vertical="center" wrapText="1"/>
    </xf>
    <xf numFmtId="0" fontId="41" fillId="18" borderId="346" xfId="0" applyFont="1" applyFill="1" applyBorder="1" applyAlignment="1" applyProtection="1">
      <alignment vertical="center" wrapText="1"/>
    </xf>
    <xf numFmtId="0" fontId="0" fillId="14" borderId="346" xfId="0" applyFill="1" applyBorder="1" applyAlignment="1" applyProtection="1">
      <alignment vertical="center"/>
    </xf>
    <xf numFmtId="1" fontId="14" fillId="17" borderId="346" xfId="0" applyNumberFormat="1" applyFont="1" applyFill="1" applyBorder="1" applyAlignment="1" applyProtection="1">
      <alignment horizontal="center" wrapText="1"/>
    </xf>
    <xf numFmtId="0" fontId="0" fillId="0" borderId="346" xfId="0" applyBorder="1" applyAlignment="1">
      <alignment wrapText="1"/>
    </xf>
    <xf numFmtId="1" fontId="14" fillId="18" borderId="190" xfId="0" applyNumberFormat="1" applyFont="1" applyFill="1" applyBorder="1" applyAlignment="1" applyProtection="1">
      <alignment horizontal="center"/>
    </xf>
    <xf numFmtId="1" fontId="14" fillId="18" borderId="318" xfId="0" applyNumberFormat="1" applyFont="1" applyFill="1" applyBorder="1" applyAlignment="1" applyProtection="1">
      <alignment horizontal="center"/>
    </xf>
    <xf numFmtId="1" fontId="14" fillId="18" borderId="147" xfId="0" applyNumberFormat="1" applyFont="1" applyFill="1" applyBorder="1" applyAlignment="1" applyProtection="1">
      <alignment horizontal="center"/>
    </xf>
    <xf numFmtId="1" fontId="14" fillId="18" borderId="224" xfId="0" applyNumberFormat="1" applyFont="1" applyFill="1" applyBorder="1" applyAlignment="1" applyProtection="1">
      <alignment horizontal="center"/>
    </xf>
    <xf numFmtId="0" fontId="24" fillId="15" borderId="308" xfId="0" applyFont="1" applyFill="1" applyBorder="1" applyAlignment="1" applyProtection="1">
      <alignment horizontal="center" vertical="center"/>
    </xf>
    <xf numFmtId="0" fontId="24" fillId="15" borderId="305" xfId="0" applyFont="1" applyFill="1" applyBorder="1" applyAlignment="1" applyProtection="1">
      <alignment horizontal="center" vertical="center"/>
    </xf>
    <xf numFmtId="0" fontId="24" fillId="15" borderId="309" xfId="0" applyFont="1" applyFill="1" applyBorder="1" applyAlignment="1" applyProtection="1">
      <alignment horizontal="center" vertical="center"/>
    </xf>
    <xf numFmtId="0" fontId="24" fillId="15" borderId="129" xfId="0" applyFont="1" applyFill="1" applyBorder="1" applyAlignment="1" applyProtection="1">
      <alignment horizontal="center" vertical="center"/>
    </xf>
    <xf numFmtId="1" fontId="24" fillId="15" borderId="310" xfId="0" applyNumberFormat="1" applyFont="1" applyFill="1" applyBorder="1" applyAlignment="1" applyProtection="1">
      <alignment horizontal="center" vertical="center"/>
    </xf>
    <xf numFmtId="1" fontId="24" fillId="15" borderId="129" xfId="0" applyNumberFormat="1" applyFont="1" applyFill="1" applyBorder="1" applyAlignment="1" applyProtection="1">
      <alignment horizontal="center" vertical="center"/>
    </xf>
    <xf numFmtId="0" fontId="14" fillId="18" borderId="190" xfId="0" applyFont="1" applyFill="1" applyBorder="1" applyAlignment="1" applyProtection="1">
      <alignment horizontal="center"/>
    </xf>
    <xf numFmtId="0" fontId="14" fillId="18" borderId="92" xfId="0" applyFont="1" applyFill="1" applyBorder="1" applyAlignment="1" applyProtection="1">
      <alignment horizontal="center"/>
    </xf>
    <xf numFmtId="0" fontId="14" fillId="18" borderId="147" xfId="0" applyFont="1" applyFill="1" applyBorder="1" applyAlignment="1" applyProtection="1">
      <alignment horizontal="center"/>
    </xf>
    <xf numFmtId="0" fontId="14" fillId="18" borderId="65" xfId="0" applyFont="1" applyFill="1" applyBorder="1" applyAlignment="1" applyProtection="1">
      <alignment horizontal="center"/>
    </xf>
    <xf numFmtId="1" fontId="117" fillId="14" borderId="0" xfId="0" applyNumberFormat="1" applyFont="1" applyFill="1" applyBorder="1" applyAlignment="1" applyProtection="1"/>
    <xf numFmtId="1" fontId="118" fillId="14" borderId="0" xfId="0" applyNumberFormat="1" applyFont="1" applyFill="1" applyBorder="1" applyAlignment="1" applyProtection="1"/>
    <xf numFmtId="1" fontId="14" fillId="17" borderId="313" xfId="0" applyNumberFormat="1" applyFont="1" applyFill="1" applyBorder="1" applyAlignment="1" applyProtection="1">
      <alignment horizontal="center" wrapText="1"/>
    </xf>
    <xf numFmtId="1" fontId="14" fillId="17" borderId="130" xfId="0" applyNumberFormat="1" applyFont="1" applyFill="1" applyBorder="1" applyAlignment="1" applyProtection="1">
      <alignment horizontal="center" wrapText="1"/>
    </xf>
    <xf numFmtId="1" fontId="14" fillId="17" borderId="314" xfId="0" applyNumberFormat="1" applyFont="1" applyFill="1" applyBorder="1" applyAlignment="1" applyProtection="1">
      <alignment horizontal="center" wrapText="1"/>
    </xf>
    <xf numFmtId="1" fontId="14" fillId="17" borderId="315" xfId="0" applyNumberFormat="1" applyFont="1" applyFill="1" applyBorder="1" applyAlignment="1" applyProtection="1">
      <alignment horizontal="center" wrapText="1"/>
    </xf>
    <xf numFmtId="1" fontId="14" fillId="17" borderId="312" xfId="0" applyNumberFormat="1" applyFont="1" applyFill="1" applyBorder="1" applyAlignment="1" applyProtection="1">
      <alignment horizontal="center" wrapText="1"/>
    </xf>
    <xf numFmtId="1" fontId="14" fillId="17" borderId="39" xfId="0" applyNumberFormat="1" applyFont="1" applyFill="1" applyBorder="1" applyAlignment="1" applyProtection="1">
      <alignment horizontal="center" wrapText="1"/>
    </xf>
    <xf numFmtId="1" fontId="24" fillId="15" borderId="316" xfId="0" applyNumberFormat="1" applyFont="1" applyFill="1" applyBorder="1" applyAlignment="1" applyProtection="1">
      <alignment horizontal="center" vertical="center"/>
    </xf>
    <xf numFmtId="1" fontId="24" fillId="15" borderId="26" xfId="0" applyNumberFormat="1" applyFont="1" applyFill="1" applyBorder="1" applyAlignment="1" applyProtection="1">
      <alignment horizontal="center" vertical="center"/>
    </xf>
    <xf numFmtId="0" fontId="14" fillId="17" borderId="62" xfId="0" applyFont="1" applyFill="1" applyBorder="1" applyAlignment="1" applyProtection="1">
      <alignment horizontal="center" wrapText="1"/>
    </xf>
    <xf numFmtId="0" fontId="14" fillId="17" borderId="130" xfId="0" applyFont="1" applyFill="1" applyBorder="1" applyAlignment="1" applyProtection="1">
      <alignment horizontal="center" wrapText="1"/>
    </xf>
    <xf numFmtId="1" fontId="14" fillId="17" borderId="88" xfId="0" applyNumberFormat="1" applyFont="1" applyFill="1" applyBorder="1" applyAlignment="1" applyProtection="1">
      <alignment horizontal="center" wrapText="1"/>
    </xf>
    <xf numFmtId="0" fontId="24" fillId="17" borderId="87" xfId="0" applyFont="1" applyFill="1" applyBorder="1" applyAlignment="1" applyProtection="1">
      <alignment horizontal="center" vertical="center"/>
    </xf>
    <xf numFmtId="0" fontId="24" fillId="17" borderId="91" xfId="0" applyFont="1" applyFill="1" applyBorder="1" applyAlignment="1" applyProtection="1">
      <alignment horizontal="center" vertical="center"/>
    </xf>
    <xf numFmtId="1" fontId="24" fillId="17" borderId="120" xfId="0" applyNumberFormat="1" applyFont="1" applyFill="1" applyBorder="1" applyAlignment="1" applyProtection="1">
      <alignment horizontal="center" vertical="center"/>
    </xf>
    <xf numFmtId="1" fontId="24" fillId="17" borderId="146" xfId="0" applyNumberFormat="1" applyFont="1" applyFill="1" applyBorder="1" applyAlignment="1" applyProtection="1">
      <alignment horizontal="center" vertical="center"/>
    </xf>
    <xf numFmtId="0" fontId="14" fillId="0" borderId="514" xfId="0" applyFont="1" applyFill="1" applyBorder="1" applyAlignment="1" applyProtection="1">
      <alignment horizontal="center" wrapText="1"/>
      <protection locked="0"/>
    </xf>
    <xf numFmtId="0" fontId="14" fillId="0" borderId="515" xfId="0" applyFont="1" applyFill="1" applyBorder="1" applyAlignment="1" applyProtection="1">
      <alignment horizontal="center" wrapText="1"/>
      <protection locked="0"/>
    </xf>
    <xf numFmtId="0" fontId="14" fillId="0" borderId="516" xfId="0" applyFont="1" applyFill="1" applyBorder="1" applyAlignment="1" applyProtection="1">
      <alignment horizontal="center" wrapText="1"/>
      <protection locked="0"/>
    </xf>
    <xf numFmtId="0" fontId="14" fillId="0" borderId="356" xfId="0" applyFont="1" applyFill="1" applyBorder="1" applyAlignment="1" applyProtection="1">
      <alignment horizontal="center" wrapText="1"/>
      <protection locked="0"/>
    </xf>
    <xf numFmtId="0" fontId="14" fillId="0" borderId="354" xfId="0" applyFont="1" applyFill="1" applyBorder="1" applyAlignment="1" applyProtection="1">
      <alignment horizontal="center" wrapText="1"/>
      <protection locked="0"/>
    </xf>
    <xf numFmtId="0" fontId="14" fillId="0" borderId="340" xfId="0" applyFont="1" applyFill="1" applyBorder="1" applyAlignment="1" applyProtection="1">
      <alignment horizontal="center" wrapText="1"/>
      <protection locked="0"/>
    </xf>
    <xf numFmtId="0" fontId="14" fillId="0" borderId="342" xfId="0" applyFont="1" applyFill="1" applyBorder="1" applyAlignment="1" applyProtection="1">
      <alignment horizontal="center" wrapText="1"/>
      <protection locked="0"/>
    </xf>
    <xf numFmtId="0" fontId="14" fillId="0" borderId="517" xfId="0" applyFont="1" applyFill="1" applyBorder="1" applyAlignment="1" applyProtection="1">
      <alignment horizontal="center" wrapText="1"/>
      <protection locked="0"/>
    </xf>
    <xf numFmtId="0" fontId="14" fillId="0" borderId="451" xfId="0" applyFont="1" applyFill="1" applyBorder="1" applyAlignment="1" applyProtection="1">
      <alignment horizontal="center" wrapText="1"/>
      <protection locked="0"/>
    </xf>
    <xf numFmtId="0" fontId="14" fillId="0" borderId="518" xfId="0" applyFont="1" applyFill="1" applyBorder="1" applyAlignment="1" applyProtection="1">
      <alignment horizontal="center" wrapText="1"/>
      <protection locked="0"/>
    </xf>
    <xf numFmtId="1" fontId="24" fillId="15" borderId="311" xfId="0" applyNumberFormat="1" applyFont="1" applyFill="1" applyBorder="1" applyAlignment="1" applyProtection="1">
      <alignment horizontal="center" vertical="center"/>
    </xf>
    <xf numFmtId="1" fontId="24" fillId="15" borderId="155" xfId="0" applyNumberFormat="1" applyFont="1" applyFill="1" applyBorder="1" applyAlignment="1" applyProtection="1">
      <alignment horizontal="center" vertical="center"/>
    </xf>
    <xf numFmtId="0" fontId="24" fillId="17" borderId="348" xfId="0" applyNumberFormat="1" applyFont="1" applyFill="1" applyBorder="1" applyAlignment="1" applyProtection="1">
      <alignment horizontal="left" vertical="top" wrapText="1"/>
    </xf>
    <xf numFmtId="0" fontId="24" fillId="17" borderId="349" xfId="0" applyNumberFormat="1" applyFont="1" applyFill="1" applyBorder="1" applyAlignment="1" applyProtection="1">
      <alignment horizontal="left" vertical="top" wrapText="1"/>
    </xf>
    <xf numFmtId="0" fontId="24" fillId="17" borderId="351" xfId="0" applyNumberFormat="1" applyFont="1" applyFill="1" applyBorder="1" applyAlignment="1" applyProtection="1">
      <alignment horizontal="left" vertical="top" wrapText="1"/>
    </xf>
    <xf numFmtId="0" fontId="15" fillId="0" borderId="356" xfId="0" applyFont="1" applyFill="1" applyBorder="1" applyAlignment="1" applyProtection="1">
      <alignment horizontal="center" wrapText="1"/>
      <protection locked="0"/>
    </xf>
    <xf numFmtId="0" fontId="15" fillId="0" borderId="354" xfId="0" applyFont="1" applyFill="1" applyBorder="1" applyAlignment="1" applyProtection="1">
      <alignment horizontal="center" wrapText="1"/>
      <protection locked="0"/>
    </xf>
    <xf numFmtId="0" fontId="15" fillId="0" borderId="340" xfId="0" applyFont="1" applyFill="1" applyBorder="1" applyAlignment="1" applyProtection="1">
      <alignment horizontal="center" wrapText="1"/>
      <protection locked="0"/>
    </xf>
    <xf numFmtId="0" fontId="15" fillId="0" borderId="342" xfId="0" applyFont="1" applyFill="1" applyBorder="1" applyAlignment="1" applyProtection="1">
      <alignment horizontal="center" wrapText="1"/>
      <protection locked="0"/>
    </xf>
    <xf numFmtId="0" fontId="24" fillId="15" borderId="307" xfId="0" applyFont="1" applyFill="1" applyBorder="1" applyAlignment="1" applyProtection="1">
      <alignment horizontal="center" vertical="center"/>
    </xf>
    <xf numFmtId="0" fontId="24" fillId="15" borderId="155" xfId="0" applyFont="1" applyFill="1" applyBorder="1" applyAlignment="1" applyProtection="1">
      <alignment horizontal="center" vertical="center"/>
    </xf>
    <xf numFmtId="0" fontId="18" fillId="17" borderId="63" xfId="0" applyFont="1" applyFill="1" applyBorder="1" applyAlignment="1" applyProtection="1">
      <alignment horizontal="center" vertical="center"/>
    </xf>
    <xf numFmtId="0" fontId="3" fillId="0" borderId="164" xfId="0" applyFont="1" applyBorder="1" applyAlignment="1">
      <alignment vertical="center"/>
    </xf>
    <xf numFmtId="1" fontId="18" fillId="17" borderId="306" xfId="0" applyNumberFormat="1" applyFont="1" applyFill="1" applyBorder="1" applyAlignment="1" applyProtection="1">
      <alignment horizontal="center" vertical="center"/>
    </xf>
    <xf numFmtId="0" fontId="27" fillId="0" borderId="514" xfId="0" applyFont="1" applyFill="1" applyBorder="1" applyAlignment="1" applyProtection="1">
      <alignment horizontal="left" wrapText="1"/>
      <protection locked="0"/>
    </xf>
    <xf numFmtId="0" fontId="27" fillId="0" borderId="515" xfId="0" applyFont="1" applyFill="1" applyBorder="1" applyAlignment="1" applyProtection="1">
      <alignment horizontal="left" wrapText="1"/>
      <protection locked="0"/>
    </xf>
    <xf numFmtId="0" fontId="27" fillId="0" borderId="516" xfId="0" applyFont="1" applyFill="1" applyBorder="1" applyAlignment="1" applyProtection="1">
      <alignment horizontal="left" wrapText="1"/>
      <protection locked="0"/>
    </xf>
    <xf numFmtId="0" fontId="19" fillId="14" borderId="344" xfId="0" applyFont="1" applyFill="1" applyBorder="1" applyAlignment="1" applyProtection="1"/>
    <xf numFmtId="0" fontId="27" fillId="14" borderId="344" xfId="0" applyFont="1" applyFill="1" applyBorder="1" applyAlignment="1" applyProtection="1"/>
    <xf numFmtId="1" fontId="14" fillId="17" borderId="317" xfId="0" applyNumberFormat="1" applyFont="1" applyFill="1" applyBorder="1" applyAlignment="1" applyProtection="1">
      <alignment horizontal="center" wrapText="1"/>
    </xf>
    <xf numFmtId="1" fontId="14" fillId="17" borderId="40" xfId="0" applyNumberFormat="1" applyFont="1" applyFill="1" applyBorder="1" applyAlignment="1" applyProtection="1">
      <alignment horizontal="center" wrapText="1"/>
    </xf>
    <xf numFmtId="3" fontId="14" fillId="17" borderId="321" xfId="0" applyNumberFormat="1" applyFont="1" applyFill="1" applyBorder="1" applyAlignment="1" applyProtection="1">
      <alignment horizontal="left" vertical="center" wrapText="1"/>
    </xf>
    <xf numFmtId="3" fontId="14" fillId="17" borderId="61" xfId="0" applyNumberFormat="1" applyFont="1" applyFill="1" applyBorder="1" applyAlignment="1" applyProtection="1">
      <alignment horizontal="left" vertical="center" wrapText="1"/>
    </xf>
    <xf numFmtId="3" fontId="14" fillId="17" borderId="349" xfId="0" applyNumberFormat="1" applyFont="1" applyFill="1" applyBorder="1" applyAlignment="1" applyProtection="1">
      <alignment horizontal="center" vertical="center" wrapText="1"/>
    </xf>
    <xf numFmtId="1" fontId="14" fillId="17" borderId="349" xfId="0" applyNumberFormat="1" applyFont="1" applyFill="1" applyBorder="1" applyAlignment="1" applyProtection="1">
      <alignment horizontal="left" vertical="center" wrapText="1"/>
    </xf>
    <xf numFmtId="3" fontId="27" fillId="14" borderId="519" xfId="0" applyNumberFormat="1" applyFont="1" applyFill="1" applyBorder="1" applyAlignment="1" applyProtection="1">
      <alignment vertical="center"/>
    </xf>
    <xf numFmtId="0" fontId="14" fillId="18" borderId="431" xfId="0" applyNumberFormat="1" applyFont="1" applyFill="1" applyBorder="1" applyAlignment="1" applyProtection="1">
      <alignment horizontal="left" vertical="center"/>
    </xf>
    <xf numFmtId="0" fontId="14" fillId="18" borderId="129" xfId="0" applyFont="1" applyFill="1" applyBorder="1" applyAlignment="1" applyProtection="1">
      <alignment vertical="center"/>
    </xf>
    <xf numFmtId="0" fontId="18" fillId="17" borderId="162" xfId="0" applyFont="1" applyFill="1" applyBorder="1" applyAlignment="1" applyProtection="1">
      <alignment horizontal="center" vertical="center"/>
    </xf>
    <xf numFmtId="0" fontId="18" fillId="17" borderId="158" xfId="0" applyFont="1" applyFill="1" applyBorder="1" applyAlignment="1" applyProtection="1">
      <alignment horizontal="center" vertical="center"/>
    </xf>
    <xf numFmtId="0" fontId="18" fillId="17" borderId="393" xfId="0" applyFont="1" applyFill="1" applyBorder="1" applyAlignment="1" applyProtection="1">
      <alignment horizontal="center" vertical="center"/>
    </xf>
    <xf numFmtId="0" fontId="18" fillId="17" borderId="67" xfId="0" applyFont="1" applyFill="1" applyBorder="1" applyAlignment="1" applyProtection="1">
      <alignment horizontal="center" vertical="center"/>
    </xf>
    <xf numFmtId="0" fontId="14" fillId="18" borderId="66" xfId="0" applyNumberFormat="1" applyFont="1" applyFill="1" applyBorder="1" applyAlignment="1" applyProtection="1">
      <alignment horizontal="left" vertical="center"/>
    </xf>
    <xf numFmtId="0" fontId="14" fillId="18" borderId="158" xfId="0" applyFont="1" applyFill="1" applyBorder="1" applyAlignment="1" applyProtection="1">
      <alignment vertical="center"/>
    </xf>
    <xf numFmtId="0" fontId="15" fillId="18" borderId="319" xfId="0" applyNumberFormat="1" applyFont="1" applyFill="1" applyBorder="1" applyAlignment="1" applyProtection="1">
      <alignment horizontal="left" vertical="center"/>
    </xf>
    <xf numFmtId="0" fontId="15" fillId="18" borderId="320" xfId="0" applyNumberFormat="1" applyFont="1" applyFill="1" applyBorder="1" applyAlignment="1" applyProtection="1">
      <alignment horizontal="left" vertical="center"/>
    </xf>
    <xf numFmtId="0" fontId="14" fillId="17" borderId="322" xfId="0" applyFont="1" applyFill="1" applyBorder="1" applyAlignment="1" applyProtection="1">
      <alignment horizontal="center" vertical="center" wrapText="1"/>
    </xf>
    <xf numFmtId="0" fontId="14" fillId="17" borderId="67" xfId="0" applyFont="1" applyFill="1" applyBorder="1" applyAlignment="1" applyProtection="1">
      <alignment horizontal="center" vertical="center" wrapText="1"/>
    </xf>
    <xf numFmtId="0" fontId="19" fillId="14" borderId="279" xfId="0" applyFont="1" applyFill="1" applyBorder="1" applyAlignment="1" applyProtection="1">
      <alignment horizontal="left" vertical="center"/>
    </xf>
    <xf numFmtId="171" fontId="14" fillId="17" borderId="67" xfId="0" applyNumberFormat="1" applyFont="1" applyFill="1" applyBorder="1" applyAlignment="1" applyProtection="1">
      <alignment horizontal="center" vertical="center" wrapText="1"/>
    </xf>
    <xf numFmtId="171" fontId="14" fillId="17" borderId="129" xfId="0" applyNumberFormat="1" applyFont="1" applyFill="1" applyBorder="1" applyAlignment="1" applyProtection="1">
      <alignment horizontal="center" vertical="center" wrapText="1"/>
    </xf>
    <xf numFmtId="0" fontId="119" fillId="0" borderId="520" xfId="0" applyFont="1" applyBorder="1" applyAlignment="1" applyProtection="1">
      <alignment vertical="top" wrapText="1"/>
      <protection locked="0"/>
    </xf>
    <xf numFmtId="0" fontId="120" fillId="0" borderId="0" xfId="0" applyFont="1" applyAlignment="1" applyProtection="1">
      <alignment horizontal="left" vertical="center" wrapText="1"/>
    </xf>
    <xf numFmtId="0" fontId="107" fillId="0" borderId="0" xfId="0" applyFont="1" applyAlignment="1" applyProtection="1">
      <alignment horizontal="left" vertical="center" wrapText="1"/>
    </xf>
    <xf numFmtId="0" fontId="108" fillId="0" borderId="0" xfId="0" applyFont="1" applyAlignment="1" applyProtection="1">
      <alignment vertical="center" wrapText="1"/>
    </xf>
    <xf numFmtId="0" fontId="105" fillId="0" borderId="0" xfId="0" applyFont="1" applyAlignment="1" applyProtection="1">
      <alignment horizontal="left" vertical="center" wrapText="1"/>
    </xf>
    <xf numFmtId="0" fontId="121" fillId="0" borderId="0" xfId="0" applyFont="1" applyAlignment="1" applyProtection="1">
      <alignment vertical="center" wrapText="1"/>
    </xf>
    <xf numFmtId="0" fontId="0" fillId="0" borderId="0" xfId="0" applyAlignment="1">
      <alignment vertical="center" wrapText="1"/>
    </xf>
    <xf numFmtId="0" fontId="3" fillId="19" borderId="325" xfId="0" applyFont="1" applyFill="1" applyBorder="1" applyAlignment="1" applyProtection="1"/>
    <xf numFmtId="0" fontId="0" fillId="19" borderId="326" xfId="0" applyFill="1" applyBorder="1" applyAlignment="1"/>
    <xf numFmtId="0" fontId="0" fillId="19" borderId="327" xfId="0" applyFill="1" applyBorder="1" applyAlignment="1"/>
    <xf numFmtId="178" fontId="14" fillId="5" borderId="323" xfId="0" applyNumberFormat="1" applyFont="1" applyFill="1" applyBorder="1" applyAlignment="1" applyProtection="1">
      <alignment horizontal="center" vertical="center" wrapText="1"/>
    </xf>
    <xf numFmtId="0" fontId="0" fillId="0" borderId="323" xfId="0" applyBorder="1" applyAlignment="1">
      <alignment horizontal="center" vertical="center" wrapText="1"/>
    </xf>
    <xf numFmtId="178" fontId="14" fillId="5" borderId="48" xfId="0" applyNumberFormat="1" applyFont="1" applyFill="1" applyBorder="1" applyAlignment="1" applyProtection="1">
      <alignment horizontal="center" vertical="center" wrapText="1"/>
    </xf>
    <xf numFmtId="0" fontId="0" fillId="0" borderId="48" xfId="0" applyBorder="1" applyAlignment="1">
      <alignment horizontal="center" vertical="center" wrapText="1"/>
    </xf>
    <xf numFmtId="0" fontId="1" fillId="0" borderId="0" xfId="0" applyFont="1" applyBorder="1" applyAlignment="1" applyProtection="1">
      <alignment horizontal="center" wrapText="1"/>
    </xf>
    <xf numFmtId="0" fontId="0" fillId="0" borderId="0" xfId="0" applyBorder="1" applyAlignment="1">
      <alignment wrapText="1"/>
    </xf>
    <xf numFmtId="0" fontId="1" fillId="0" borderId="184" xfId="0" applyFont="1" applyBorder="1" applyAlignment="1" applyProtection="1">
      <alignment horizontal="center" wrapText="1"/>
    </xf>
    <xf numFmtId="0" fontId="0" fillId="0" borderId="184" xfId="0" applyBorder="1" applyAlignment="1">
      <alignment wrapText="1"/>
    </xf>
    <xf numFmtId="178" fontId="14" fillId="15" borderId="0" xfId="0" applyNumberFormat="1" applyFont="1" applyFill="1" applyBorder="1" applyAlignment="1" applyProtection="1">
      <alignment horizontal="center" vertical="center"/>
    </xf>
    <xf numFmtId="178" fontId="1" fillId="15" borderId="0" xfId="0" applyNumberFormat="1" applyFont="1" applyFill="1" applyBorder="1" applyAlignment="1" applyProtection="1">
      <alignment horizontal="center" vertical="center"/>
    </xf>
    <xf numFmtId="178" fontId="14" fillId="15" borderId="15" xfId="0" applyNumberFormat="1" applyFont="1" applyFill="1" applyBorder="1" applyAlignment="1" applyProtection="1">
      <alignment horizontal="center" vertical="center"/>
    </xf>
    <xf numFmtId="178" fontId="1" fillId="15" borderId="15" xfId="0" applyNumberFormat="1" applyFont="1" applyFill="1" applyBorder="1" applyAlignment="1" applyProtection="1">
      <alignment horizontal="center" vertical="center"/>
    </xf>
    <xf numFmtId="0" fontId="14" fillId="5" borderId="0" xfId="0" applyFont="1" applyFill="1" applyBorder="1" applyAlignment="1" applyProtection="1">
      <alignment vertical="center"/>
    </xf>
    <xf numFmtId="0" fontId="0" fillId="0" borderId="0" xfId="0" applyBorder="1" applyAlignment="1" applyProtection="1">
      <alignment vertical="center"/>
    </xf>
    <xf numFmtId="2" fontId="14" fillId="0" borderId="2" xfId="0" applyNumberFormat="1" applyFont="1" applyBorder="1" applyAlignment="1" applyProtection="1">
      <alignment horizontal="center" vertical="center"/>
      <protection locked="0"/>
    </xf>
    <xf numFmtId="2" fontId="1" fillId="0" borderId="2" xfId="0" applyNumberFormat="1" applyFont="1" applyBorder="1" applyAlignment="1" applyProtection="1">
      <alignment horizontal="center" vertical="center"/>
      <protection locked="0"/>
    </xf>
    <xf numFmtId="178" fontId="14" fillId="0" borderId="0" xfId="0" applyNumberFormat="1" applyFont="1" applyFill="1" applyBorder="1" applyAlignment="1" applyProtection="1">
      <alignment horizontal="center" vertical="center"/>
    </xf>
    <xf numFmtId="178" fontId="1" fillId="0" borderId="0" xfId="0" applyNumberFormat="1" applyFont="1" applyFill="1" applyBorder="1" applyAlignment="1" applyProtection="1">
      <alignment horizontal="center" vertical="center"/>
    </xf>
    <xf numFmtId="2" fontId="14" fillId="0" borderId="98" xfId="0" applyNumberFormat="1" applyFont="1" applyFill="1" applyBorder="1" applyAlignment="1" applyProtection="1">
      <alignment horizontal="center" vertical="center"/>
      <protection locked="0"/>
    </xf>
    <xf numFmtId="2" fontId="0" fillId="0" borderId="98" xfId="0" applyNumberFormat="1" applyFill="1" applyBorder="1" applyAlignment="1" applyProtection="1">
      <alignment horizontal="center" vertical="center"/>
      <protection locked="0"/>
    </xf>
    <xf numFmtId="9" fontId="14" fillId="17" borderId="323" xfId="10" applyFont="1" applyFill="1" applyBorder="1" applyAlignment="1" applyProtection="1">
      <alignment horizontal="center"/>
    </xf>
    <xf numFmtId="9" fontId="14" fillId="17" borderId="324" xfId="10" applyFont="1" applyFill="1" applyBorder="1" applyAlignment="1" applyProtection="1">
      <alignment horizontal="center"/>
    </xf>
    <xf numFmtId="0" fontId="0" fillId="5" borderId="0" xfId="0" applyFill="1" applyBorder="1" applyAlignment="1" applyProtection="1">
      <alignment vertical="center"/>
    </xf>
    <xf numFmtId="0" fontId="24" fillId="17" borderId="0" xfId="0" applyFont="1" applyFill="1" applyBorder="1" applyAlignment="1" applyProtection="1">
      <alignment vertical="center"/>
    </xf>
    <xf numFmtId="0" fontId="2" fillId="17" borderId="0" xfId="0" applyFont="1" applyFill="1" applyBorder="1" applyAlignment="1" applyProtection="1">
      <alignment vertical="center"/>
    </xf>
    <xf numFmtId="178" fontId="0" fillId="15" borderId="0" xfId="0" applyNumberFormat="1" applyFill="1" applyBorder="1" applyAlignment="1" applyProtection="1">
      <alignment vertical="center"/>
    </xf>
    <xf numFmtId="178" fontId="0" fillId="15" borderId="15" xfId="0" applyNumberFormat="1" applyFill="1" applyBorder="1" applyAlignment="1" applyProtection="1">
      <alignment vertical="center"/>
    </xf>
    <xf numFmtId="178" fontId="14" fillId="5" borderId="323" xfId="0" applyNumberFormat="1" applyFont="1" applyFill="1" applyBorder="1" applyAlignment="1" applyProtection="1">
      <alignment vertical="center" wrapText="1"/>
    </xf>
    <xf numFmtId="0" fontId="0" fillId="0" borderId="323" xfId="0" applyBorder="1" applyAlignment="1">
      <alignment vertical="center" wrapText="1"/>
    </xf>
    <xf numFmtId="178" fontId="14" fillId="5" borderId="48" xfId="0" applyNumberFormat="1" applyFont="1" applyFill="1" applyBorder="1" applyAlignment="1" applyProtection="1">
      <alignment vertical="center" wrapText="1"/>
    </xf>
    <xf numFmtId="0" fontId="0" fillId="0" borderId="48" xfId="0" applyBorder="1" applyAlignment="1">
      <alignment vertical="center" wrapText="1"/>
    </xf>
    <xf numFmtId="0" fontId="47" fillId="5" borderId="0" xfId="0" applyFont="1" applyFill="1" applyBorder="1" applyAlignment="1" applyProtection="1"/>
    <xf numFmtId="0" fontId="41" fillId="0" borderId="0" xfId="0" applyFont="1" applyAlignment="1"/>
    <xf numFmtId="0" fontId="41" fillId="0" borderId="15" xfId="0" applyFont="1" applyBorder="1" applyAlignment="1"/>
    <xf numFmtId="178" fontId="0" fillId="0" borderId="0" xfId="0" applyNumberFormat="1" applyFill="1" applyBorder="1" applyAlignment="1" applyProtection="1">
      <alignment vertical="center"/>
    </xf>
    <xf numFmtId="0" fontId="24" fillId="17" borderId="45" xfId="0" applyFont="1" applyFill="1" applyBorder="1" applyAlignment="1" applyProtection="1">
      <alignment vertical="center"/>
    </xf>
    <xf numFmtId="0" fontId="2" fillId="17" borderId="45" xfId="0" applyFont="1" applyFill="1" applyBorder="1" applyAlignment="1" applyProtection="1">
      <alignment vertical="center"/>
    </xf>
    <xf numFmtId="3" fontId="14" fillId="17" borderId="61" xfId="0" applyNumberFormat="1" applyFont="1" applyFill="1" applyBorder="1" applyAlignment="1" applyProtection="1">
      <alignment horizontal="center" wrapText="1"/>
    </xf>
    <xf numFmtId="3" fontId="14" fillId="17" borderId="0" xfId="0" applyNumberFormat="1" applyFont="1" applyFill="1" applyBorder="1" applyAlignment="1" applyProtection="1">
      <alignment horizontal="center" wrapText="1"/>
    </xf>
    <xf numFmtId="3" fontId="14" fillId="17" borderId="61" xfId="0" applyNumberFormat="1" applyFont="1" applyFill="1" applyBorder="1" applyAlignment="1" applyProtection="1">
      <alignment horizontal="center"/>
    </xf>
    <xf numFmtId="3" fontId="14" fillId="17" borderId="0" xfId="0" applyNumberFormat="1" applyFont="1" applyFill="1" applyBorder="1" applyAlignment="1" applyProtection="1">
      <alignment horizontal="center"/>
    </xf>
    <xf numFmtId="1" fontId="15" fillId="17" borderId="0" xfId="0" applyNumberFormat="1" applyFont="1" applyFill="1" applyBorder="1" applyAlignment="1" applyProtection="1">
      <alignment horizontal="center" vertical="center"/>
    </xf>
    <xf numFmtId="0" fontId="2" fillId="17" borderId="0" xfId="0" applyFont="1" applyFill="1" applyBorder="1" applyAlignment="1" applyProtection="1">
      <alignment horizontal="center" vertical="center"/>
    </xf>
    <xf numFmtId="0" fontId="14" fillId="5" borderId="0" xfId="0" applyFont="1" applyFill="1" applyBorder="1" applyAlignment="1" applyProtection="1">
      <alignment horizontal="left" vertical="center"/>
    </xf>
    <xf numFmtId="0" fontId="0" fillId="0" borderId="0" xfId="0" applyBorder="1" applyAlignment="1" applyProtection="1">
      <alignment horizontal="left" vertical="center"/>
    </xf>
    <xf numFmtId="0" fontId="24" fillId="17" borderId="45" xfId="0" applyFont="1" applyFill="1" applyBorder="1" applyAlignment="1" applyProtection="1">
      <alignment horizontal="center" vertical="center"/>
    </xf>
    <xf numFmtId="0" fontId="2" fillId="0" borderId="0" xfId="0" applyFont="1" applyFill="1" applyBorder="1" applyAlignment="1" applyProtection="1"/>
    <xf numFmtId="0" fontId="2" fillId="0" borderId="0" xfId="0" applyFont="1" applyFill="1" applyBorder="1" applyAlignment="1"/>
    <xf numFmtId="0" fontId="19" fillId="14" borderId="121" xfId="0" applyFont="1" applyFill="1" applyBorder="1" applyAlignment="1" applyProtection="1">
      <alignment vertical="center" wrapText="1"/>
    </xf>
    <xf numFmtId="0" fontId="0" fillId="14" borderId="48" xfId="0" applyFill="1" applyBorder="1" applyAlignment="1" applyProtection="1">
      <alignment vertical="center"/>
    </xf>
    <xf numFmtId="0" fontId="15" fillId="17" borderId="0" xfId="0" applyFont="1" applyFill="1" applyBorder="1" applyAlignment="1" applyProtection="1">
      <alignment horizontal="center" vertical="center"/>
    </xf>
    <xf numFmtId="0" fontId="10" fillId="0" borderId="0" xfId="0" applyFont="1" applyFill="1" applyBorder="1" applyAlignment="1" applyProtection="1">
      <alignment wrapText="1"/>
    </xf>
    <xf numFmtId="0" fontId="0" fillId="0" borderId="0" xfId="0" applyFill="1" applyBorder="1" applyAlignment="1">
      <alignment wrapText="1"/>
    </xf>
    <xf numFmtId="0" fontId="14" fillId="0" borderId="0" xfId="0" applyFont="1" applyFill="1" applyBorder="1" applyAlignment="1" applyProtection="1"/>
    <xf numFmtId="0" fontId="24" fillId="17" borderId="62" xfId="0" applyFont="1" applyFill="1" applyBorder="1" applyAlignment="1" applyProtection="1">
      <alignment horizontal="left" vertical="center" wrapText="1"/>
    </xf>
    <xf numFmtId="0" fontId="24" fillId="17" borderId="54" xfId="0" applyFont="1" applyFill="1" applyBorder="1" applyAlignment="1" applyProtection="1">
      <alignment horizontal="left" vertical="center" wrapText="1"/>
    </xf>
    <xf numFmtId="0" fontId="15" fillId="17" borderId="62" xfId="0" applyFont="1" applyFill="1" applyBorder="1" applyAlignment="1" applyProtection="1">
      <alignment horizontal="center"/>
    </xf>
    <xf numFmtId="0" fontId="15" fillId="17" borderId="63" xfId="0" applyFont="1" applyFill="1" applyBorder="1" applyAlignment="1" applyProtection="1">
      <alignment horizontal="center"/>
    </xf>
    <xf numFmtId="3" fontId="14" fillId="17" borderId="323" xfId="0" applyNumberFormat="1" applyFont="1" applyFill="1" applyBorder="1" applyAlignment="1" applyProtection="1">
      <alignment horizontal="center"/>
    </xf>
    <xf numFmtId="0" fontId="3" fillId="23" borderId="325" xfId="0" applyFont="1" applyFill="1" applyBorder="1" applyAlignment="1" applyProtection="1"/>
    <xf numFmtId="0" fontId="0" fillId="23" borderId="326" xfId="0" applyFill="1" applyBorder="1" applyAlignment="1"/>
    <xf numFmtId="0" fontId="0" fillId="23" borderId="327" xfId="0" applyFill="1" applyBorder="1" applyAlignment="1"/>
    <xf numFmtId="0" fontId="3" fillId="23" borderId="123" xfId="0" applyFont="1" applyFill="1" applyBorder="1" applyAlignment="1" applyProtection="1"/>
    <xf numFmtId="0" fontId="0" fillId="23" borderId="0" xfId="0" applyFill="1" applyAlignment="1"/>
    <xf numFmtId="0" fontId="14" fillId="19" borderId="123" xfId="0" applyFont="1" applyFill="1" applyBorder="1" applyAlignment="1" applyProtection="1"/>
    <xf numFmtId="0" fontId="14" fillId="19" borderId="0" xfId="0" applyFont="1" applyFill="1" applyBorder="1" applyAlignment="1" applyProtection="1"/>
    <xf numFmtId="0" fontId="2" fillId="23" borderId="120" xfId="0" applyFont="1" applyFill="1" applyBorder="1" applyAlignment="1" applyProtection="1"/>
    <xf numFmtId="0" fontId="2" fillId="0" borderId="121" xfId="0" applyFont="1" applyBorder="1" applyAlignment="1"/>
    <xf numFmtId="0" fontId="10" fillId="16" borderId="123" xfId="0" applyFont="1" applyFill="1" applyBorder="1" applyAlignment="1" applyProtection="1">
      <alignment wrapText="1"/>
    </xf>
    <xf numFmtId="0" fontId="0" fillId="16" borderId="0" xfId="0" applyFill="1" applyAlignment="1">
      <alignment wrapText="1"/>
    </xf>
    <xf numFmtId="0" fontId="0" fillId="16" borderId="123" xfId="0" applyFill="1" applyBorder="1" applyAlignment="1">
      <alignment wrapText="1"/>
    </xf>
    <xf numFmtId="2" fontId="2" fillId="0" borderId="0" xfId="0" applyNumberFormat="1" applyFont="1" applyFill="1" applyAlignment="1" applyProtection="1">
      <alignment wrapText="1"/>
    </xf>
    <xf numFmtId="2" fontId="15" fillId="16" borderId="61" xfId="0" applyNumberFormat="1" applyFont="1" applyFill="1" applyBorder="1" applyAlignment="1" applyProtection="1">
      <alignment horizontal="right"/>
    </xf>
    <xf numFmtId="0" fontId="14" fillId="16" borderId="61" xfId="0" applyFont="1" applyFill="1" applyBorder="1" applyAlignment="1" applyProtection="1"/>
    <xf numFmtId="2" fontId="0" fillId="0" borderId="0" xfId="0" applyNumberFormat="1" applyFill="1" applyAlignment="1" applyProtection="1">
      <alignment wrapText="1"/>
    </xf>
    <xf numFmtId="0" fontId="24" fillId="17" borderId="341" xfId="0" applyFont="1" applyFill="1" applyBorder="1" applyAlignment="1" applyProtection="1">
      <alignment horizontal="left" wrapText="1"/>
    </xf>
    <xf numFmtId="0" fontId="24" fillId="17" borderId="0" xfId="0" applyFont="1" applyFill="1" applyBorder="1" applyAlignment="1" applyProtection="1">
      <alignment horizontal="left" wrapText="1"/>
    </xf>
    <xf numFmtId="0" fontId="14" fillId="5" borderId="95" xfId="0" applyFont="1" applyFill="1" applyBorder="1" applyAlignment="1" applyProtection="1"/>
    <xf numFmtId="0" fontId="0" fillId="0" borderId="95" xfId="0" applyBorder="1" applyAlignment="1" applyProtection="1"/>
    <xf numFmtId="2" fontId="14" fillId="0" borderId="0" xfId="0" applyNumberFormat="1" applyFont="1" applyFill="1" applyAlignment="1" applyProtection="1"/>
    <xf numFmtId="0" fontId="15" fillId="19" borderId="341" xfId="0" applyFont="1" applyFill="1" applyBorder="1" applyAlignment="1" applyProtection="1">
      <alignment horizontal="left" wrapText="1"/>
    </xf>
    <xf numFmtId="0" fontId="15" fillId="19" borderId="0" xfId="0" applyFont="1" applyFill="1" applyBorder="1" applyAlignment="1" applyProtection="1">
      <alignment horizontal="left" wrapText="1"/>
    </xf>
    <xf numFmtId="0" fontId="15" fillId="18" borderId="341" xfId="0" applyFont="1" applyFill="1" applyBorder="1" applyAlignment="1" applyProtection="1"/>
    <xf numFmtId="0" fontId="15" fillId="18" borderId="0" xfId="0" applyFont="1" applyFill="1" applyBorder="1" applyAlignment="1" applyProtection="1"/>
    <xf numFmtId="2" fontId="15" fillId="17" borderId="129" xfId="0" applyNumberFormat="1" applyFont="1" applyFill="1" applyBorder="1" applyAlignment="1" applyProtection="1">
      <alignment horizontal="center" wrapText="1"/>
    </xf>
    <xf numFmtId="0" fontId="15" fillId="17" borderId="129" xfId="0" applyFont="1" applyFill="1" applyBorder="1" applyAlignment="1" applyProtection="1">
      <alignment wrapText="1"/>
    </xf>
    <xf numFmtId="0" fontId="14" fillId="18" borderId="0" xfId="0" applyFont="1" applyFill="1" applyBorder="1" applyAlignment="1" applyProtection="1"/>
    <xf numFmtId="0" fontId="15" fillId="17" borderId="129" xfId="0" applyFont="1" applyFill="1" applyBorder="1" applyAlignment="1" applyProtection="1">
      <alignment horizontal="center" wrapText="1"/>
    </xf>
    <xf numFmtId="0" fontId="15" fillId="17" borderId="129" xfId="0" applyFont="1" applyFill="1" applyBorder="1" applyAlignment="1" applyProtection="1">
      <alignment horizontal="center"/>
    </xf>
    <xf numFmtId="0" fontId="24" fillId="17" borderId="0" xfId="0" applyFont="1" applyFill="1" applyBorder="1" applyAlignment="1" applyProtection="1">
      <alignment horizontal="left"/>
    </xf>
    <xf numFmtId="0" fontId="19" fillId="14" borderId="328" xfId="0" applyFont="1" applyFill="1" applyBorder="1" applyAlignment="1" applyProtection="1">
      <alignment horizontal="left" vertical="center"/>
    </xf>
    <xf numFmtId="0" fontId="19" fillId="14" borderId="329" xfId="0" applyFont="1" applyFill="1" applyBorder="1" applyAlignment="1" applyProtection="1">
      <alignment horizontal="left" vertical="center"/>
    </xf>
    <xf numFmtId="0" fontId="19" fillId="14" borderId="0" xfId="0" applyFont="1" applyFill="1" applyBorder="1" applyAlignment="1" applyProtection="1">
      <alignment horizontal="left" vertical="center"/>
    </xf>
    <xf numFmtId="0" fontId="19" fillId="14" borderId="101" xfId="0" applyFont="1" applyFill="1" applyBorder="1" applyAlignment="1" applyProtection="1">
      <alignment horizontal="left" vertical="center"/>
    </xf>
    <xf numFmtId="0" fontId="15" fillId="17" borderId="409" xfId="0" applyFont="1" applyFill="1" applyBorder="1" applyAlignment="1" applyProtection="1"/>
    <xf numFmtId="0" fontId="15" fillId="17" borderId="61" xfId="0" applyFont="1" applyFill="1" applyBorder="1" applyAlignment="1" applyProtection="1"/>
    <xf numFmtId="0" fontId="24" fillId="17" borderId="341" xfId="0" applyFont="1" applyFill="1" applyBorder="1" applyAlignment="1" applyProtection="1">
      <alignment wrapText="1"/>
    </xf>
    <xf numFmtId="0" fontId="24" fillId="17" borderId="0" xfId="0" applyFont="1" applyFill="1" applyBorder="1" applyAlignment="1" applyProtection="1">
      <alignment wrapText="1"/>
    </xf>
    <xf numFmtId="0" fontId="25" fillId="17" borderId="0" xfId="0" applyFont="1" applyFill="1" applyBorder="1" applyAlignment="1" applyProtection="1">
      <alignment wrapText="1"/>
    </xf>
    <xf numFmtId="0" fontId="15" fillId="17" borderId="0" xfId="0" applyFont="1" applyFill="1" applyBorder="1" applyAlignment="1" applyProtection="1"/>
    <xf numFmtId="0" fontId="14" fillId="17" borderId="0" xfId="0" applyFont="1" applyFill="1" applyBorder="1" applyAlignment="1" applyProtection="1"/>
    <xf numFmtId="0" fontId="15" fillId="19" borderId="341" xfId="0" applyFont="1" applyFill="1" applyBorder="1" applyAlignment="1" applyProtection="1"/>
    <xf numFmtId="0" fontId="15" fillId="19" borderId="0" xfId="0" applyFont="1" applyFill="1" applyBorder="1" applyAlignment="1" applyProtection="1"/>
    <xf numFmtId="2" fontId="15" fillId="17" borderId="395" xfId="0" applyNumberFormat="1" applyFont="1" applyFill="1" applyBorder="1" applyAlignment="1" applyProtection="1">
      <alignment horizontal="center" wrapText="1"/>
    </xf>
    <xf numFmtId="0" fontId="15" fillId="17" borderId="395" xfId="0" applyFont="1" applyFill="1" applyBorder="1" applyAlignment="1" applyProtection="1">
      <alignment horizontal="center"/>
    </xf>
    <xf numFmtId="0" fontId="24" fillId="17" borderId="521" xfId="0" applyFont="1" applyFill="1" applyBorder="1" applyAlignment="1" applyProtection="1">
      <alignment horizontal="center" vertical="center" wrapText="1"/>
    </xf>
    <xf numFmtId="0" fontId="24" fillId="17" borderId="522" xfId="0" applyFont="1" applyFill="1" applyBorder="1" applyAlignment="1" applyProtection="1">
      <alignment horizontal="center" vertical="center" wrapText="1"/>
    </xf>
    <xf numFmtId="0" fontId="25" fillId="0" borderId="523" xfId="0" applyFont="1" applyFill="1" applyBorder="1" applyAlignment="1" applyProtection="1">
      <alignment horizontal="center" vertical="center" wrapText="1"/>
      <protection locked="0"/>
    </xf>
    <xf numFmtId="0" fontId="19" fillId="0" borderId="349" xfId="0" applyFont="1" applyFill="1" applyBorder="1" applyAlignment="1" applyProtection="1">
      <alignment horizontal="center" vertical="center" wrapText="1"/>
      <protection locked="0"/>
    </xf>
    <xf numFmtId="0" fontId="19" fillId="0" borderId="351" xfId="0" applyFont="1" applyFill="1" applyBorder="1" applyAlignment="1" applyProtection="1">
      <alignment horizontal="center" vertical="center" wrapText="1"/>
      <protection locked="0"/>
    </xf>
    <xf numFmtId="0" fontId="19" fillId="14" borderId="110" xfId="0" applyFont="1" applyFill="1" applyBorder="1" applyAlignment="1" applyProtection="1">
      <alignment horizontal="left" vertical="center"/>
    </xf>
    <xf numFmtId="0" fontId="19" fillId="14" borderId="203" xfId="0" applyFont="1" applyFill="1" applyBorder="1" applyAlignment="1" applyProtection="1">
      <alignment horizontal="left" vertical="center"/>
    </xf>
    <xf numFmtId="0" fontId="19" fillId="14" borderId="112" xfId="0" applyFont="1" applyFill="1" applyBorder="1" applyAlignment="1" applyProtection="1">
      <alignment horizontal="left" vertical="center"/>
    </xf>
    <xf numFmtId="0" fontId="15" fillId="0" borderId="0" xfId="0" applyFont="1" applyFill="1" applyAlignment="1" applyProtection="1">
      <alignment wrapText="1"/>
    </xf>
    <xf numFmtId="0" fontId="14" fillId="0" borderId="0" xfId="0" applyFont="1" applyFill="1" applyAlignment="1" applyProtection="1">
      <alignment wrapText="1"/>
    </xf>
    <xf numFmtId="0" fontId="14" fillId="0" borderId="0" xfId="0" applyFont="1" applyFill="1" applyAlignment="1" applyProtection="1"/>
    <xf numFmtId="2" fontId="15" fillId="8" borderId="111" xfId="0" applyNumberFormat="1" applyFont="1" applyFill="1" applyBorder="1" applyAlignment="1" applyProtection="1">
      <alignment horizontal="left"/>
    </xf>
    <xf numFmtId="2" fontId="15" fillId="8" borderId="0" xfId="0" applyNumberFormat="1" applyFont="1" applyFill="1" applyBorder="1" applyAlignment="1" applyProtection="1">
      <alignment horizontal="left"/>
    </xf>
    <xf numFmtId="0" fontId="14" fillId="17" borderId="528" xfId="0" applyFont="1" applyFill="1" applyBorder="1" applyAlignment="1" applyProtection="1">
      <alignment horizontal="center" vertical="center" wrapText="1"/>
    </xf>
    <xf numFmtId="0" fontId="14" fillId="17" borderId="529" xfId="0" applyFont="1" applyFill="1" applyBorder="1" applyAlignment="1" applyProtection="1">
      <alignment horizontal="center" vertical="center" wrapText="1"/>
    </xf>
    <xf numFmtId="2" fontId="14" fillId="0" borderId="0" xfId="0" applyNumberFormat="1" applyFont="1" applyFill="1" applyAlignment="1" applyProtection="1">
      <alignment wrapText="1"/>
    </xf>
    <xf numFmtId="10" fontId="14" fillId="17" borderId="528" xfId="0" applyNumberFormat="1" applyFont="1" applyFill="1" applyBorder="1" applyAlignment="1" applyProtection="1">
      <alignment horizontal="center" vertical="center" wrapText="1"/>
    </xf>
    <xf numFmtId="10" fontId="14" fillId="17" borderId="529" xfId="0" applyNumberFormat="1" applyFont="1" applyFill="1" applyBorder="1" applyAlignment="1" applyProtection="1">
      <alignment horizontal="center" vertical="center" wrapText="1"/>
    </xf>
    <xf numFmtId="2" fontId="15" fillId="8" borderId="284" xfId="0" applyNumberFormat="1" applyFont="1" applyFill="1" applyBorder="1" applyAlignment="1" applyProtection="1">
      <alignment horizontal="center"/>
    </xf>
    <xf numFmtId="0" fontId="0" fillId="0" borderId="284" xfId="0" applyBorder="1" applyAlignment="1"/>
    <xf numFmtId="2" fontId="15" fillId="0" borderId="0" xfId="0" applyNumberFormat="1" applyFont="1" applyFill="1" applyAlignment="1" applyProtection="1">
      <alignment wrapText="1"/>
    </xf>
    <xf numFmtId="0" fontId="15" fillId="17" borderId="341" xfId="0" applyFont="1" applyFill="1" applyBorder="1" applyAlignment="1" applyProtection="1">
      <alignment horizontal="left" wrapText="1"/>
    </xf>
    <xf numFmtId="0" fontId="15" fillId="17" borderId="0" xfId="0" applyFont="1" applyFill="1" applyBorder="1" applyAlignment="1" applyProtection="1">
      <alignment horizontal="left" wrapText="1"/>
    </xf>
    <xf numFmtId="2" fontId="15" fillId="14" borderId="0" xfId="0" applyNumberFormat="1" applyFont="1" applyFill="1" applyBorder="1" applyAlignment="1" applyProtection="1"/>
    <xf numFmtId="2" fontId="14" fillId="14" borderId="0" xfId="0" applyNumberFormat="1" applyFont="1" applyFill="1" applyBorder="1" applyAlignment="1" applyProtection="1"/>
    <xf numFmtId="2" fontId="14" fillId="17" borderId="526" xfId="0" applyNumberFormat="1" applyFont="1" applyFill="1" applyBorder="1" applyAlignment="1" applyProtection="1">
      <alignment horizontal="center" vertical="center" wrapText="1"/>
    </xf>
    <xf numFmtId="0" fontId="14" fillId="17" borderId="527" xfId="0" applyFont="1" applyFill="1" applyBorder="1" applyAlignment="1" applyProtection="1">
      <alignment horizontal="center" vertical="center"/>
    </xf>
    <xf numFmtId="2" fontId="15" fillId="8" borderId="330" xfId="0" applyNumberFormat="1" applyFont="1" applyFill="1" applyBorder="1" applyAlignment="1" applyProtection="1">
      <alignment horizontal="left"/>
    </xf>
    <xf numFmtId="2" fontId="15" fillId="8" borderId="83" xfId="0" applyNumberFormat="1" applyFont="1" applyFill="1" applyBorder="1" applyAlignment="1" applyProtection="1">
      <alignment horizontal="left"/>
    </xf>
    <xf numFmtId="0" fontId="14" fillId="17" borderId="529" xfId="0" applyFont="1" applyFill="1" applyBorder="1" applyAlignment="1" applyProtection="1">
      <alignment horizontal="center" vertical="center"/>
    </xf>
    <xf numFmtId="2" fontId="14" fillId="17" borderId="528" xfId="0" applyNumberFormat="1" applyFont="1" applyFill="1" applyBorder="1" applyAlignment="1" applyProtection="1">
      <alignment horizontal="center" vertical="center" wrapText="1"/>
    </xf>
    <xf numFmtId="0" fontId="24" fillId="17" borderId="348" xfId="0" applyFont="1" applyFill="1" applyBorder="1" applyAlignment="1" applyProtection="1">
      <alignment wrapText="1"/>
    </xf>
    <xf numFmtId="0" fontId="25" fillId="17" borderId="349" xfId="0" applyFont="1" applyFill="1" applyBorder="1" applyAlignment="1" applyProtection="1"/>
    <xf numFmtId="2" fontId="14" fillId="17" borderId="524" xfId="0" applyNumberFormat="1" applyFont="1" applyFill="1" applyBorder="1" applyAlignment="1" applyProtection="1">
      <alignment horizontal="center" vertical="center" wrapText="1"/>
    </xf>
    <xf numFmtId="2" fontId="14" fillId="17" borderId="525" xfId="0" applyNumberFormat="1" applyFont="1" applyFill="1" applyBorder="1" applyAlignment="1" applyProtection="1">
      <alignment horizontal="center" vertical="center" wrapText="1"/>
    </xf>
    <xf numFmtId="2" fontId="15" fillId="8" borderId="284" xfId="0" applyNumberFormat="1" applyFont="1" applyFill="1" applyBorder="1" applyAlignment="1" applyProtection="1"/>
    <xf numFmtId="2" fontId="14" fillId="8" borderId="284" xfId="0" applyNumberFormat="1" applyFont="1" applyFill="1" applyBorder="1" applyAlignment="1" applyProtection="1"/>
    <xf numFmtId="0" fontId="24" fillId="17" borderId="341" xfId="0" applyFont="1" applyFill="1" applyBorder="1" applyAlignment="1" applyProtection="1">
      <alignment horizontal="left" vertical="center" wrapText="1"/>
    </xf>
    <xf numFmtId="0" fontId="24" fillId="17" borderId="0" xfId="0" applyFont="1" applyFill="1" applyBorder="1" applyAlignment="1" applyProtection="1">
      <alignment horizontal="left" vertical="center" wrapText="1"/>
    </xf>
    <xf numFmtId="0" fontId="15" fillId="17" borderId="341" xfId="0" applyFont="1" applyFill="1" applyBorder="1" applyAlignment="1" applyProtection="1">
      <alignment wrapText="1"/>
    </xf>
    <xf numFmtId="0" fontId="15" fillId="17" borderId="0" xfId="0" applyFont="1" applyFill="1" applyBorder="1" applyAlignment="1" applyProtection="1">
      <alignment wrapText="1"/>
    </xf>
    <xf numFmtId="0" fontId="14" fillId="17" borderId="0" xfId="0" applyFont="1" applyFill="1" applyBorder="1" applyAlignment="1" applyProtection="1">
      <alignment wrapText="1"/>
    </xf>
    <xf numFmtId="9" fontId="19" fillId="0" borderId="0" xfId="0" applyNumberFormat="1" applyFont="1" applyFill="1" applyBorder="1" applyAlignment="1" applyProtection="1">
      <alignment wrapText="1"/>
    </xf>
    <xf numFmtId="0" fontId="13" fillId="0" borderId="0" xfId="0" applyFont="1" applyFill="1" applyBorder="1" applyAlignment="1">
      <alignment wrapText="1"/>
    </xf>
    <xf numFmtId="2" fontId="19" fillId="14" borderId="121" xfId="0" applyNumberFormat="1" applyFont="1" applyFill="1" applyBorder="1" applyAlignment="1" applyProtection="1">
      <alignment horizontal="left" vertical="center"/>
    </xf>
    <xf numFmtId="2" fontId="19" fillId="14" borderId="122" xfId="0" applyNumberFormat="1" applyFont="1" applyFill="1" applyBorder="1" applyAlignment="1" applyProtection="1">
      <alignment horizontal="left" vertical="center"/>
    </xf>
    <xf numFmtId="2" fontId="19" fillId="14" borderId="0" xfId="0" applyNumberFormat="1" applyFont="1" applyFill="1" applyBorder="1" applyAlignment="1" applyProtection="1">
      <alignment horizontal="left" vertical="center"/>
    </xf>
    <xf numFmtId="2" fontId="19" fillId="14" borderId="124" xfId="0" applyNumberFormat="1" applyFont="1" applyFill="1" applyBorder="1" applyAlignment="1" applyProtection="1">
      <alignment horizontal="left" vertical="center"/>
    </xf>
    <xf numFmtId="0" fontId="19" fillId="14" borderId="121" xfId="0" applyFont="1" applyFill="1" applyBorder="1" applyAlignment="1" applyProtection="1">
      <alignment horizontal="left" vertical="center"/>
    </xf>
    <xf numFmtId="1" fontId="14" fillId="14" borderId="121" xfId="0" applyNumberFormat="1" applyFont="1" applyFill="1" applyBorder="1" applyAlignment="1" applyProtection="1">
      <alignment horizontal="center" vertical="center"/>
    </xf>
    <xf numFmtId="0" fontId="14" fillId="14" borderId="0" xfId="0" applyFont="1" applyFill="1" applyBorder="1" applyAlignment="1" applyProtection="1">
      <alignment vertical="center"/>
    </xf>
    <xf numFmtId="1" fontId="18" fillId="17" borderId="462" xfId="0" applyNumberFormat="1" applyFont="1" applyFill="1" applyBorder="1" applyAlignment="1" applyProtection="1">
      <alignment horizontal="center" vertical="center" wrapText="1"/>
    </xf>
    <xf numFmtId="1" fontId="18" fillId="17" borderId="349" xfId="0" applyNumberFormat="1" applyFont="1" applyFill="1" applyBorder="1" applyAlignment="1" applyProtection="1">
      <alignment horizontal="center" vertical="center" wrapText="1"/>
    </xf>
    <xf numFmtId="1" fontId="18" fillId="17" borderId="463" xfId="0" applyNumberFormat="1" applyFont="1" applyFill="1" applyBorder="1" applyAlignment="1" applyProtection="1">
      <alignment horizontal="center" vertical="center" wrapText="1"/>
    </xf>
    <xf numFmtId="1" fontId="18" fillId="17" borderId="351" xfId="0" applyNumberFormat="1" applyFont="1" applyFill="1" applyBorder="1" applyAlignment="1" applyProtection="1">
      <alignment horizontal="center" vertical="center" wrapText="1"/>
    </xf>
    <xf numFmtId="0" fontId="64" fillId="0" borderId="0" xfId="0" applyFont="1" applyFill="1" applyBorder="1" applyAlignment="1"/>
    <xf numFmtId="2" fontId="24" fillId="6" borderId="0" xfId="0" applyNumberFormat="1" applyFont="1" applyFill="1" applyBorder="1" applyAlignment="1">
      <alignment horizontal="left" vertical="center"/>
    </xf>
    <xf numFmtId="2" fontId="24" fillId="6" borderId="15" xfId="0" applyNumberFormat="1" applyFont="1" applyFill="1" applyBorder="1" applyAlignment="1">
      <alignment horizontal="left" vertical="center"/>
    </xf>
    <xf numFmtId="2" fontId="18" fillId="11" borderId="136" xfId="0" applyNumberFormat="1" applyFont="1" applyFill="1" applyBorder="1" applyAlignment="1"/>
    <xf numFmtId="0" fontId="0" fillId="11" borderId="104" xfId="0" applyFill="1" applyBorder="1" applyAlignment="1"/>
    <xf numFmtId="0" fontId="0" fillId="11" borderId="139" xfId="0" applyFill="1" applyBorder="1" applyAlignment="1"/>
    <xf numFmtId="0" fontId="65" fillId="8" borderId="0" xfId="0" applyFont="1" applyFill="1" applyBorder="1" applyAlignment="1"/>
    <xf numFmtId="0" fontId="13" fillId="8" borderId="0" xfId="0" applyFont="1" applyFill="1" applyAlignment="1"/>
    <xf numFmtId="0" fontId="0" fillId="0" borderId="15" xfId="0" applyBorder="1" applyAlignment="1"/>
    <xf numFmtId="0" fontId="24" fillId="5" borderId="111" xfId="0" applyFont="1" applyFill="1" applyBorder="1" applyAlignment="1"/>
    <xf numFmtId="0" fontId="24" fillId="5" borderId="0" xfId="0" applyFont="1" applyFill="1" applyBorder="1" applyAlignment="1"/>
    <xf numFmtId="0" fontId="24" fillId="19" borderId="45" xfId="0" applyFont="1" applyFill="1" applyBorder="1" applyAlignment="1">
      <alignment wrapText="1"/>
    </xf>
    <xf numFmtId="0" fontId="14" fillId="0" borderId="45" xfId="0" applyFont="1" applyBorder="1" applyAlignment="1">
      <alignment wrapText="1"/>
    </xf>
    <xf numFmtId="0" fontId="24" fillId="5" borderId="218" xfId="0" applyFont="1" applyFill="1" applyBorder="1" applyAlignment="1"/>
    <xf numFmtId="0" fontId="24" fillId="5" borderId="219" xfId="0" applyFont="1" applyFill="1" applyBorder="1" applyAlignment="1"/>
    <xf numFmtId="0" fontId="18" fillId="0" borderId="530" xfId="0" applyFont="1" applyBorder="1" applyAlignment="1">
      <alignment textRotation="90"/>
    </xf>
    <xf numFmtId="0" fontId="7" fillId="0" borderId="531" xfId="0" applyFont="1" applyBorder="1" applyAlignment="1"/>
    <xf numFmtId="0" fontId="24" fillId="5" borderId="270" xfId="0" applyFont="1" applyFill="1" applyBorder="1" applyAlignment="1">
      <alignment horizontal="center"/>
    </xf>
    <xf numFmtId="0" fontId="24" fillId="5" borderId="45" xfId="0" applyFont="1" applyFill="1" applyBorder="1" applyAlignment="1">
      <alignment horizontal="center"/>
    </xf>
    <xf numFmtId="0" fontId="24" fillId="5" borderId="0" xfId="0" applyFont="1" applyFill="1" applyBorder="1" applyAlignment="1">
      <alignment horizontal="center"/>
    </xf>
    <xf numFmtId="0" fontId="24" fillId="5" borderId="532" xfId="0" applyFont="1" applyFill="1" applyBorder="1" applyAlignment="1">
      <alignment horizontal="center"/>
    </xf>
    <xf numFmtId="0" fontId="24" fillId="19" borderId="218" xfId="0" applyFont="1" applyFill="1" applyBorder="1" applyAlignment="1"/>
    <xf numFmtId="0" fontId="0" fillId="0" borderId="219" xfId="0" applyBorder="1" applyAlignment="1"/>
    <xf numFmtId="0" fontId="0" fillId="0" borderId="222" xfId="0" applyBorder="1" applyAlignment="1"/>
    <xf numFmtId="2" fontId="19" fillId="6" borderId="61" xfId="0" applyNumberFormat="1" applyFont="1" applyFill="1" applyBorder="1" applyAlignment="1">
      <alignment horizontal="left" vertical="center"/>
    </xf>
    <xf numFmtId="0" fontId="0" fillId="6" borderId="61" xfId="0" applyFill="1" applyBorder="1" applyAlignment="1">
      <alignment horizontal="left" vertical="center"/>
    </xf>
    <xf numFmtId="0" fontId="0" fillId="6" borderId="48" xfId="0" applyFill="1" applyBorder="1" applyAlignment="1">
      <alignment horizontal="left" vertical="center"/>
    </xf>
    <xf numFmtId="1" fontId="19" fillId="0" borderId="61" xfId="0" applyNumberFormat="1" applyFont="1" applyFill="1" applyBorder="1" applyAlignment="1">
      <alignment horizontal="center" vertical="center"/>
    </xf>
    <xf numFmtId="0" fontId="0" fillId="0" borderId="48" xfId="0" applyFill="1" applyBorder="1" applyAlignment="1">
      <alignment vertical="center"/>
    </xf>
    <xf numFmtId="0" fontId="0" fillId="6" borderId="0" xfId="0" applyFill="1" applyBorder="1" applyAlignment="1">
      <alignment horizontal="left" vertical="center"/>
    </xf>
    <xf numFmtId="0" fontId="24" fillId="19" borderId="218" xfId="0" applyFont="1" applyFill="1" applyBorder="1" applyAlignment="1">
      <alignment horizontal="center" vertical="center"/>
    </xf>
    <xf numFmtId="0" fontId="24" fillId="19" borderId="222" xfId="0" applyFont="1" applyFill="1" applyBorder="1" applyAlignment="1">
      <alignment horizontal="center" vertical="center"/>
    </xf>
    <xf numFmtId="2" fontId="13" fillId="14" borderId="121" xfId="0" applyNumberFormat="1" applyFont="1" applyFill="1" applyBorder="1" applyAlignment="1" applyProtection="1">
      <alignment horizontal="left" vertical="center"/>
    </xf>
    <xf numFmtId="2" fontId="13" fillId="14" borderId="0" xfId="0" applyNumberFormat="1" applyFont="1" applyFill="1" applyBorder="1" applyAlignment="1" applyProtection="1">
      <alignment horizontal="left" vertical="center"/>
    </xf>
    <xf numFmtId="165" fontId="2" fillId="15" borderId="331" xfId="0" applyNumberFormat="1" applyFont="1" applyFill="1" applyBorder="1" applyAlignment="1" applyProtection="1">
      <alignment horizontal="center" vertical="center"/>
    </xf>
    <xf numFmtId="165" fontId="2" fillId="15" borderId="212" xfId="0" applyNumberFormat="1" applyFont="1" applyFill="1" applyBorder="1" applyAlignment="1" applyProtection="1">
      <alignment horizontal="center" vertical="center"/>
    </xf>
    <xf numFmtId="0" fontId="7" fillId="17" borderId="332" xfId="0" applyFont="1" applyFill="1" applyBorder="1" applyAlignment="1" applyProtection="1">
      <alignment horizontal="center" vertical="center"/>
    </xf>
    <xf numFmtId="0" fontId="7" fillId="17" borderId="205" xfId="0" applyFont="1" applyFill="1" applyBorder="1" applyAlignment="1" applyProtection="1">
      <alignment horizontal="center" vertical="center"/>
    </xf>
    <xf numFmtId="174" fontId="24" fillId="16" borderId="417" xfId="21" applyNumberFormat="1" applyFont="1" applyFill="1" applyBorder="1" applyAlignment="1" applyProtection="1">
      <alignment horizontal="center"/>
    </xf>
    <xf numFmtId="0" fontId="24" fillId="20" borderId="343" xfId="21" applyFont="1" applyFill="1" applyBorder="1" applyAlignment="1" applyProtection="1">
      <alignment horizontal="left" wrapText="1"/>
    </xf>
    <xf numFmtId="0" fontId="24" fillId="0" borderId="346" xfId="0" applyFont="1" applyBorder="1" applyAlignment="1" applyProtection="1">
      <alignment horizontal="left" wrapText="1"/>
    </xf>
    <xf numFmtId="0" fontId="24" fillId="0" borderId="406" xfId="0" applyFont="1" applyBorder="1" applyAlignment="1" applyProtection="1">
      <alignment horizontal="left" wrapText="1"/>
    </xf>
    <xf numFmtId="0" fontId="12" fillId="0" borderId="0" xfId="21" applyFont="1" applyFill="1" applyBorder="1" applyAlignment="1" applyProtection="1">
      <alignment horizontal="left"/>
      <protection locked="0"/>
    </xf>
    <xf numFmtId="0" fontId="0" fillId="0" borderId="0" xfId="0" applyFill="1" applyAlignment="1" applyProtection="1">
      <protection locked="0"/>
    </xf>
    <xf numFmtId="174" fontId="24" fillId="16" borderId="360" xfId="21" applyNumberFormat="1" applyFont="1" applyFill="1" applyBorder="1" applyAlignment="1" applyProtection="1">
      <alignment horizontal="center"/>
    </xf>
    <xf numFmtId="174" fontId="25" fillId="18" borderId="360" xfId="21" applyNumberFormat="1" applyFont="1" applyFill="1" applyBorder="1" applyAlignment="1" applyProtection="1">
      <alignment horizontal="center"/>
    </xf>
    <xf numFmtId="174" fontId="25" fillId="0" borderId="360" xfId="21" applyNumberFormat="1" applyFont="1" applyFill="1" applyBorder="1" applyAlignment="1" applyProtection="1">
      <alignment horizontal="center"/>
      <protection locked="0"/>
    </xf>
    <xf numFmtId="0" fontId="25" fillId="0" borderId="340" xfId="21" applyFont="1" applyFill="1" applyBorder="1" applyAlignment="1" applyProtection="1">
      <alignment horizontal="left"/>
      <protection locked="0"/>
    </xf>
    <xf numFmtId="0" fontId="24" fillId="16" borderId="360" xfId="21" applyFont="1" applyFill="1" applyBorder="1" applyAlignment="1" applyProtection="1">
      <alignment horizontal="center" wrapText="1"/>
    </xf>
    <xf numFmtId="0" fontId="27" fillId="22" borderId="0" xfId="21" applyFont="1" applyFill="1" applyBorder="1" applyAlignment="1" applyProtection="1">
      <alignment horizontal="center" vertical="center" wrapText="1"/>
    </xf>
    <xf numFmtId="0" fontId="14" fillId="24" borderId="341" xfId="21" quotePrefix="1" applyFont="1" applyFill="1" applyBorder="1" applyAlignment="1" applyProtection="1">
      <alignment horizontal="left" vertical="center" wrapText="1"/>
    </xf>
    <xf numFmtId="0" fontId="14" fillId="24" borderId="0" xfId="21" quotePrefix="1" applyFont="1" applyFill="1" applyBorder="1" applyAlignment="1" applyProtection="1">
      <alignment horizontal="left" vertical="center" wrapText="1"/>
    </xf>
    <xf numFmtId="0" fontId="14" fillId="24" borderId="0" xfId="21" applyFont="1" applyFill="1" applyBorder="1" applyAlignment="1" applyProtection="1">
      <alignment horizontal="left" vertical="center" wrapText="1"/>
    </xf>
    <xf numFmtId="0" fontId="14" fillId="24" borderId="334" xfId="21" applyFont="1" applyFill="1" applyBorder="1" applyAlignment="1" applyProtection="1">
      <alignment horizontal="left" vertical="center" wrapText="1"/>
    </xf>
    <xf numFmtId="0" fontId="14" fillId="24" borderId="334" xfId="21" quotePrefix="1" applyFont="1" applyFill="1" applyBorder="1" applyAlignment="1" applyProtection="1">
      <alignment horizontal="left" vertical="center" wrapText="1"/>
    </xf>
    <xf numFmtId="0" fontId="14" fillId="18" borderId="341" xfId="21" quotePrefix="1" applyFont="1" applyFill="1" applyBorder="1" applyAlignment="1" applyProtection="1">
      <alignment horizontal="left"/>
    </xf>
    <xf numFmtId="0" fontId="14" fillId="18" borderId="0" xfId="21" quotePrefix="1" applyFont="1" applyFill="1" applyBorder="1" applyAlignment="1" applyProtection="1">
      <alignment horizontal="left"/>
    </xf>
    <xf numFmtId="0" fontId="14" fillId="18" borderId="334" xfId="21" quotePrefix="1" applyFont="1" applyFill="1" applyBorder="1" applyAlignment="1" applyProtection="1">
      <alignment horizontal="left"/>
    </xf>
    <xf numFmtId="0" fontId="14" fillId="24" borderId="402" xfId="21" quotePrefix="1" applyFont="1" applyFill="1" applyBorder="1" applyAlignment="1" applyProtection="1">
      <alignment horizontal="left" vertical="center" wrapText="1"/>
    </xf>
    <xf numFmtId="0" fontId="14" fillId="24" borderId="411" xfId="21" quotePrefix="1" applyFont="1" applyFill="1" applyBorder="1" applyAlignment="1" applyProtection="1">
      <alignment horizontal="left" vertical="center" wrapText="1"/>
    </xf>
    <xf numFmtId="0" fontId="14" fillId="24" borderId="412" xfId="21" quotePrefix="1" applyFont="1" applyFill="1" applyBorder="1" applyAlignment="1" applyProtection="1">
      <alignment horizontal="left" vertical="center" wrapText="1"/>
    </xf>
    <xf numFmtId="174" fontId="25" fillId="17" borderId="360" xfId="21" applyNumberFormat="1" applyFont="1" applyFill="1" applyBorder="1" applyAlignment="1" applyProtection="1">
      <alignment horizontal="center"/>
    </xf>
    <xf numFmtId="0" fontId="25" fillId="0" borderId="362" xfId="21" applyFont="1" applyFill="1" applyBorder="1" applyAlignment="1" applyProtection="1">
      <alignment horizontal="left"/>
      <protection locked="0"/>
    </xf>
    <xf numFmtId="2" fontId="25" fillId="0" borderId="545" xfId="21" applyNumberFormat="1" applyFont="1" applyFill="1" applyBorder="1" applyAlignment="1" applyProtection="1">
      <alignment horizontal="center"/>
      <protection locked="0"/>
    </xf>
    <xf numFmtId="2" fontId="25" fillId="0" borderId="354" xfId="21" applyNumberFormat="1" applyFont="1" applyFill="1" applyBorder="1" applyAlignment="1" applyProtection="1">
      <alignment horizontal="center"/>
      <protection locked="0"/>
    </xf>
    <xf numFmtId="9" fontId="24" fillId="16" borderId="417" xfId="21" applyNumberFormat="1" applyFont="1" applyFill="1" applyBorder="1" applyAlignment="1" applyProtection="1">
      <alignment horizontal="center"/>
    </xf>
    <xf numFmtId="2" fontId="25" fillId="14" borderId="360" xfId="21" applyNumberFormat="1" applyFont="1" applyFill="1" applyBorder="1" applyAlignment="1" applyProtection="1">
      <alignment horizontal="center"/>
    </xf>
    <xf numFmtId="0" fontId="24" fillId="14" borderId="533" xfId="21" applyFont="1" applyFill="1" applyBorder="1" applyAlignment="1" applyProtection="1">
      <alignment horizontal="center"/>
    </xf>
    <xf numFmtId="0" fontId="24" fillId="14" borderId="418" xfId="21" applyFont="1" applyFill="1" applyBorder="1" applyAlignment="1" applyProtection="1">
      <alignment horizontal="center"/>
    </xf>
    <xf numFmtId="2" fontId="25" fillId="0" borderId="358" xfId="21" applyNumberFormat="1" applyFont="1" applyFill="1" applyBorder="1" applyAlignment="1" applyProtection="1">
      <alignment horizontal="center"/>
      <protection locked="0"/>
    </xf>
    <xf numFmtId="2" fontId="24" fillId="16" borderId="360" xfId="21" applyNumberFormat="1" applyFont="1" applyFill="1" applyBorder="1" applyAlignment="1" applyProtection="1">
      <alignment horizontal="center"/>
    </xf>
    <xf numFmtId="0" fontId="24" fillId="14" borderId="533" xfId="21" applyFont="1" applyFill="1" applyBorder="1" applyAlignment="1" applyProtection="1">
      <alignment horizontal="center" wrapText="1"/>
    </xf>
    <xf numFmtId="0" fontId="24" fillId="14" borderId="418" xfId="21" applyFont="1" applyFill="1" applyBorder="1" applyAlignment="1" applyProtection="1">
      <alignment horizontal="center" wrapText="1"/>
    </xf>
    <xf numFmtId="0" fontId="25" fillId="0" borderId="358" xfId="21" applyFont="1" applyFill="1" applyBorder="1" applyAlignment="1" applyProtection="1">
      <alignment horizontal="left"/>
      <protection locked="0"/>
    </xf>
    <xf numFmtId="2" fontId="25" fillId="0" borderId="542" xfId="21" applyNumberFormat="1" applyFont="1" applyFill="1" applyBorder="1" applyAlignment="1" applyProtection="1">
      <alignment horizontal="center"/>
      <protection locked="0"/>
    </xf>
    <xf numFmtId="2" fontId="25" fillId="0" borderId="543" xfId="21" applyNumberFormat="1" applyFont="1" applyFill="1" applyBorder="1" applyAlignment="1" applyProtection="1">
      <alignment horizontal="center"/>
      <protection locked="0"/>
    </xf>
    <xf numFmtId="2" fontId="25" fillId="0" borderId="340" xfId="21" applyNumberFormat="1" applyFont="1" applyFill="1" applyBorder="1" applyAlignment="1" applyProtection="1">
      <alignment horizontal="center"/>
      <protection locked="0"/>
    </xf>
    <xf numFmtId="0" fontId="24" fillId="16" borderId="360" xfId="21" applyFont="1" applyFill="1" applyBorder="1" applyAlignment="1" applyProtection="1"/>
    <xf numFmtId="2" fontId="25" fillId="18" borderId="418" xfId="21" applyNumberFormat="1" applyFont="1" applyFill="1" applyBorder="1" applyAlignment="1" applyProtection="1">
      <alignment horizontal="left"/>
    </xf>
    <xf numFmtId="2" fontId="25" fillId="18" borderId="533" xfId="21" applyNumberFormat="1" applyFont="1" applyFill="1" applyBorder="1" applyAlignment="1" applyProtection="1">
      <alignment horizontal="left"/>
    </xf>
    <xf numFmtId="2" fontId="25" fillId="18" borderId="418" xfId="21" applyNumberFormat="1" applyFont="1" applyFill="1" applyBorder="1" applyAlignment="1" applyProtection="1"/>
    <xf numFmtId="2" fontId="25" fillId="18" borderId="533" xfId="21" applyNumberFormat="1" applyFont="1" applyFill="1" applyBorder="1" applyAlignment="1" applyProtection="1"/>
    <xf numFmtId="2" fontId="25" fillId="0" borderId="538" xfId="21" applyNumberFormat="1" applyFont="1" applyBorder="1" applyAlignment="1" applyProtection="1">
      <alignment horizontal="center"/>
      <protection locked="0"/>
    </xf>
    <xf numFmtId="2" fontId="25" fillId="0" borderId="541" xfId="21" applyNumberFormat="1" applyFont="1" applyBorder="1" applyAlignment="1" applyProtection="1">
      <alignment horizontal="center"/>
      <protection locked="0"/>
    </xf>
    <xf numFmtId="174" fontId="25" fillId="17" borderId="365" xfId="21" applyNumberFormat="1" applyFont="1" applyFill="1" applyBorder="1" applyAlignment="1" applyProtection="1">
      <alignment horizontal="center"/>
    </xf>
    <xf numFmtId="2" fontId="25" fillId="0" borderId="362" xfId="21" applyNumberFormat="1" applyFont="1" applyFill="1" applyBorder="1" applyAlignment="1" applyProtection="1">
      <alignment horizontal="center"/>
      <protection locked="0"/>
    </xf>
    <xf numFmtId="2" fontId="25" fillId="15" borderId="115" xfId="21" applyNumberFormat="1" applyFont="1" applyFill="1" applyBorder="1" applyAlignment="1" applyProtection="1">
      <alignment horizontal="center"/>
    </xf>
    <xf numFmtId="2" fontId="25" fillId="15" borderId="269" xfId="21" applyNumberFormat="1" applyFont="1" applyFill="1" applyBorder="1" applyAlignment="1" applyProtection="1">
      <alignment horizontal="center"/>
    </xf>
    <xf numFmtId="2" fontId="25" fillId="15" borderId="544" xfId="21" applyNumberFormat="1" applyFont="1" applyFill="1" applyBorder="1" applyAlignment="1" applyProtection="1">
      <alignment horizontal="center"/>
    </xf>
    <xf numFmtId="2" fontId="24" fillId="18" borderId="360" xfId="21" applyNumberFormat="1" applyFont="1" applyFill="1" applyBorder="1" applyAlignment="1" applyProtection="1">
      <alignment horizontal="left" vertical="center"/>
    </xf>
    <xf numFmtId="2" fontId="24" fillId="18" borderId="533" xfId="21" applyNumberFormat="1" applyFont="1" applyFill="1" applyBorder="1" applyAlignment="1" applyProtection="1">
      <alignment horizontal="left" vertical="center"/>
    </xf>
    <xf numFmtId="2" fontId="25" fillId="18" borderId="360" xfId="21" applyNumberFormat="1" applyFont="1" applyFill="1" applyBorder="1" applyAlignment="1" applyProtection="1">
      <alignment horizontal="left"/>
    </xf>
    <xf numFmtId="2" fontId="25" fillId="0" borderId="538" xfId="21" applyNumberFormat="1" applyFont="1" applyFill="1" applyBorder="1" applyAlignment="1" applyProtection="1">
      <alignment horizontal="center"/>
      <protection locked="0"/>
    </xf>
    <xf numFmtId="2" fontId="25" fillId="0" borderId="539" xfId="21" applyNumberFormat="1" applyFont="1" applyFill="1" applyBorder="1" applyAlignment="1" applyProtection="1">
      <alignment horizontal="center"/>
      <protection locked="0"/>
    </xf>
    <xf numFmtId="2" fontId="25" fillId="0" borderId="540" xfId="21" applyNumberFormat="1" applyFont="1" applyFill="1" applyBorder="1" applyAlignment="1" applyProtection="1">
      <alignment horizontal="center"/>
      <protection locked="0"/>
    </xf>
    <xf numFmtId="2" fontId="24" fillId="17" borderId="537" xfId="21" applyNumberFormat="1" applyFont="1" applyFill="1" applyBorder="1" applyAlignment="1" applyProtection="1">
      <alignment horizontal="center"/>
    </xf>
    <xf numFmtId="2" fontId="24" fillId="17" borderId="536" xfId="21" applyNumberFormat="1" applyFont="1" applyFill="1" applyBorder="1" applyAlignment="1" applyProtection="1">
      <alignment horizontal="center"/>
    </xf>
    <xf numFmtId="2" fontId="24" fillId="17" borderId="546" xfId="21" applyNumberFormat="1" applyFont="1" applyFill="1" applyBorder="1" applyAlignment="1" applyProtection="1">
      <alignment horizontal="center"/>
    </xf>
    <xf numFmtId="174" fontId="25" fillId="17" borderId="360" xfId="21" applyNumberFormat="1" applyFont="1" applyFill="1" applyBorder="1" applyAlignment="1" applyProtection="1">
      <alignment horizontal="left"/>
    </xf>
    <xf numFmtId="0" fontId="25" fillId="17" borderId="365" xfId="21" applyFont="1" applyFill="1" applyBorder="1" applyAlignment="1" applyProtection="1">
      <alignment horizontal="center"/>
    </xf>
    <xf numFmtId="0" fontId="25" fillId="17" borderId="360" xfId="21" applyFont="1" applyFill="1" applyBorder="1" applyAlignment="1" applyProtection="1">
      <alignment horizontal="center"/>
    </xf>
    <xf numFmtId="0" fontId="25" fillId="18" borderId="341" xfId="21" applyFont="1" applyFill="1" applyBorder="1" applyAlignment="1" applyProtection="1">
      <alignment horizontal="left"/>
    </xf>
    <xf numFmtId="0" fontId="25" fillId="18" borderId="0" xfId="21" applyFont="1" applyFill="1" applyBorder="1" applyAlignment="1" applyProtection="1">
      <alignment horizontal="left"/>
    </xf>
    <xf numFmtId="2" fontId="25" fillId="16" borderId="402" xfId="21" applyNumberFormat="1" applyFont="1" applyFill="1" applyBorder="1" applyAlignment="1" applyProtection="1">
      <alignment horizontal="left"/>
    </xf>
    <xf numFmtId="2" fontId="25" fillId="16" borderId="411" xfId="21" applyNumberFormat="1" applyFont="1" applyFill="1" applyBorder="1" applyAlignment="1" applyProtection="1">
      <alignment horizontal="left"/>
    </xf>
    <xf numFmtId="2" fontId="24" fillId="18" borderId="336" xfId="21" applyNumberFormat="1" applyFont="1" applyFill="1" applyBorder="1" applyAlignment="1" applyProtection="1">
      <alignment horizontal="left"/>
    </xf>
    <xf numFmtId="2" fontId="24" fillId="18" borderId="337" xfId="21" applyNumberFormat="1" applyFont="1" applyFill="1" applyBorder="1" applyAlignment="1" applyProtection="1">
      <alignment horizontal="left"/>
    </xf>
    <xf numFmtId="2" fontId="25" fillId="15" borderId="337" xfId="21" applyNumberFormat="1" applyFont="1" applyFill="1" applyBorder="1" applyAlignment="1" applyProtection="1">
      <alignment horizontal="center"/>
    </xf>
    <xf numFmtId="2" fontId="24" fillId="17" borderId="534" xfId="21" applyNumberFormat="1" applyFont="1" applyFill="1" applyBorder="1" applyAlignment="1" applyProtection="1">
      <alignment horizontal="center"/>
    </xf>
    <xf numFmtId="2" fontId="24" fillId="17" borderId="535" xfId="21" applyNumberFormat="1" applyFont="1" applyFill="1" applyBorder="1" applyAlignment="1" applyProtection="1">
      <alignment horizontal="center"/>
    </xf>
    <xf numFmtId="0" fontId="75" fillId="26" borderId="0" xfId="0" applyFont="1" applyFill="1" applyAlignment="1">
      <alignment textRotation="180" wrapText="1"/>
    </xf>
    <xf numFmtId="0" fontId="75" fillId="26" borderId="497" xfId="0" applyFont="1" applyFill="1" applyBorder="1" applyAlignment="1">
      <alignment textRotation="180" wrapText="1"/>
    </xf>
    <xf numFmtId="0" fontId="0" fillId="0" borderId="495" xfId="0" applyBorder="1" applyAlignment="1">
      <alignment wrapText="1"/>
    </xf>
    <xf numFmtId="0" fontId="0" fillId="0" borderId="497" xfId="0" applyBorder="1" applyAlignment="1">
      <alignment wrapText="1"/>
    </xf>
    <xf numFmtId="0" fontId="0" fillId="0" borderId="498" xfId="0" applyBorder="1" applyAlignment="1">
      <alignment wrapText="1"/>
    </xf>
    <xf numFmtId="0" fontId="0" fillId="0" borderId="503" xfId="0" applyBorder="1" applyAlignment="1">
      <alignment wrapText="1"/>
    </xf>
    <xf numFmtId="0" fontId="27" fillId="19" borderId="0" xfId="19" applyFont="1" applyFill="1" applyAlignment="1"/>
    <xf numFmtId="0" fontId="0" fillId="19" borderId="0" xfId="0" applyFill="1" applyAlignment="1"/>
    <xf numFmtId="0" fontId="24" fillId="6" borderId="0" xfId="19" applyFont="1" applyFill="1" applyAlignment="1">
      <alignment wrapText="1"/>
    </xf>
    <xf numFmtId="0" fontId="25" fillId="6" borderId="0" xfId="19" applyFont="1" applyFill="1" applyAlignment="1">
      <alignment wrapText="1"/>
    </xf>
    <xf numFmtId="0" fontId="24" fillId="27" borderId="0" xfId="19" applyFont="1" applyFill="1" applyAlignment="1"/>
    <xf numFmtId="0" fontId="25" fillId="27" borderId="0" xfId="19" applyFont="1" applyFill="1" applyAlignment="1"/>
    <xf numFmtId="0" fontId="24" fillId="6" borderId="0" xfId="19" applyFont="1" applyFill="1" applyAlignment="1"/>
    <xf numFmtId="0" fontId="25" fillId="0" borderId="0" xfId="0" applyFont="1" applyAlignment="1"/>
    <xf numFmtId="0" fontId="1" fillId="5" borderId="0" xfId="0" applyFont="1" applyFill="1" applyAlignment="1">
      <alignment wrapText="1"/>
    </xf>
    <xf numFmtId="0" fontId="0" fillId="5" borderId="0" xfId="0" applyFill="1" applyAlignment="1">
      <alignment wrapText="1"/>
    </xf>
    <xf numFmtId="0" fontId="1" fillId="6" borderId="0" xfId="0" applyFont="1" applyFill="1" applyAlignment="1"/>
    <xf numFmtId="0" fontId="0" fillId="6" borderId="0" xfId="0" applyFill="1" applyAlignment="1"/>
    <xf numFmtId="0" fontId="1" fillId="5" borderId="0" xfId="0" applyFont="1" applyFill="1" applyAlignment="1"/>
    <xf numFmtId="0" fontId="0" fillId="5" borderId="0" xfId="0" applyFill="1" applyAlignment="1"/>
    <xf numFmtId="0" fontId="2" fillId="0" borderId="0" xfId="19" applyFont="1" applyAlignment="1"/>
    <xf numFmtId="1" fontId="1" fillId="0" borderId="301" xfId="19" applyNumberFormat="1" applyFill="1" applyBorder="1" applyAlignment="1">
      <alignment horizontal="center"/>
    </xf>
    <xf numFmtId="1" fontId="1" fillId="0" borderId="202" xfId="19" applyNumberFormat="1" applyFill="1" applyBorder="1" applyAlignment="1">
      <alignment horizontal="center"/>
    </xf>
    <xf numFmtId="0" fontId="10" fillId="10" borderId="0" xfId="19" applyFont="1" applyFill="1" applyAlignment="1"/>
    <xf numFmtId="0" fontId="83" fillId="0" borderId="0" xfId="17" applyAlignment="1"/>
    <xf numFmtId="0" fontId="56" fillId="5" borderId="0" xfId="19" applyFont="1" applyFill="1" applyAlignment="1"/>
    <xf numFmtId="0" fontId="2" fillId="0" borderId="0" xfId="19" applyFont="1" applyAlignment="1">
      <alignment wrapText="1"/>
    </xf>
    <xf numFmtId="0" fontId="2" fillId="20" borderId="0" xfId="19" applyFont="1" applyFill="1" applyAlignment="1">
      <alignment wrapText="1"/>
    </xf>
    <xf numFmtId="0" fontId="84" fillId="0" borderId="0" xfId="17" applyFont="1" applyAlignment="1">
      <alignment wrapText="1"/>
    </xf>
    <xf numFmtId="0" fontId="2" fillId="18" borderId="0" xfId="19" applyFont="1" applyFill="1" applyAlignment="1">
      <alignment horizontal="left"/>
    </xf>
    <xf numFmtId="0" fontId="21" fillId="20" borderId="183" xfId="0" applyFont="1" applyFill="1" applyBorder="1" applyAlignment="1"/>
    <xf numFmtId="0" fontId="21" fillId="20" borderId="114" xfId="0" applyFont="1" applyFill="1" applyBorder="1" applyAlignment="1"/>
    <xf numFmtId="0" fontId="21" fillId="20" borderId="115" xfId="0" applyFont="1" applyFill="1" applyBorder="1" applyAlignment="1"/>
    <xf numFmtId="0" fontId="21" fillId="6" borderId="114" xfId="0" applyFont="1" applyFill="1" applyBorder="1" applyAlignment="1">
      <alignment wrapText="1"/>
    </xf>
    <xf numFmtId="0" fontId="21" fillId="6" borderId="115" xfId="0" applyFont="1" applyFill="1" applyBorder="1" applyAlignment="1">
      <alignment wrapText="1"/>
    </xf>
    <xf numFmtId="0" fontId="21" fillId="6" borderId="0" xfId="0" applyFont="1" applyFill="1" applyBorder="1" applyAlignment="1"/>
    <xf numFmtId="0" fontId="21" fillId="0" borderId="0" xfId="0" applyFont="1" applyAlignment="1"/>
    <xf numFmtId="0" fontId="56" fillId="5" borderId="0" xfId="20" applyFont="1" applyFill="1" applyAlignment="1"/>
    <xf numFmtId="0" fontId="2" fillId="0" borderId="0" xfId="20" applyFont="1" applyAlignment="1"/>
    <xf numFmtId="0" fontId="2" fillId="18" borderId="0" xfId="20" applyFont="1" applyFill="1" applyAlignment="1">
      <alignment horizontal="left"/>
    </xf>
    <xf numFmtId="0" fontId="2" fillId="20" borderId="0" xfId="20" applyFont="1" applyFill="1" applyAlignment="1">
      <alignment wrapText="1"/>
    </xf>
    <xf numFmtId="1" fontId="82" fillId="0" borderId="301" xfId="20" applyNumberFormat="1" applyFill="1" applyBorder="1" applyAlignment="1">
      <alignment horizontal="center"/>
    </xf>
    <xf numFmtId="1" fontId="82" fillId="0" borderId="202" xfId="20" applyNumberFormat="1" applyFill="1" applyBorder="1" applyAlignment="1">
      <alignment horizontal="center"/>
    </xf>
    <xf numFmtId="0" fontId="10" fillId="10" borderId="0" xfId="20" applyFont="1" applyFill="1" applyAlignment="1"/>
    <xf numFmtId="0" fontId="2" fillId="0" borderId="0" xfId="20" applyFont="1" applyAlignment="1">
      <alignment wrapText="1"/>
    </xf>
    <xf numFmtId="0" fontId="1" fillId="23" borderId="0" xfId="20" applyFont="1" applyFill="1" applyAlignment="1"/>
    <xf numFmtId="0" fontId="82" fillId="23" borderId="0" xfId="20" applyFill="1" applyAlignment="1"/>
    <xf numFmtId="0" fontId="2" fillId="23" borderId="0" xfId="20" applyFont="1" applyFill="1" applyAlignment="1"/>
  </cellXfs>
  <cellStyles count="26">
    <cellStyle name="Datum" xfId="1" xr:uid="{E3C534B4-5191-45FB-AE07-5ADB0772B26E}"/>
    <cellStyle name="Euro" xfId="2" xr:uid="{83C01B82-3E40-4E66-AC2B-25F2E95E6ADA}"/>
    <cellStyle name="Euro 2" xfId="3" xr:uid="{842BB276-6BE4-4134-BAAB-F88EFCD3264B}"/>
    <cellStyle name="Euro 3" xfId="4" xr:uid="{27F0931F-6854-4FF7-A5B5-D64AD34174F8}"/>
    <cellStyle name="Hyperlink 2" xfId="5" xr:uid="{1E670B60-2B64-4078-AD6D-260F26A93216}"/>
    <cellStyle name="Hyperlink 3" xfId="6" xr:uid="{BF1BB369-BED1-465A-BC44-23A2BC816194}"/>
    <cellStyle name="Komma 2" xfId="7" xr:uid="{9F7A77A5-9576-45A8-91BA-D60C4C881F25}"/>
    <cellStyle name="Link" xfId="8" builtinId="8"/>
    <cellStyle name="Prozent" xfId="9" builtinId="5"/>
    <cellStyle name="Prozent 2" xfId="10" xr:uid="{DBC55E92-858D-4F87-8D28-294D5F0672FD}"/>
    <cellStyle name="Prozent 2 2" xfId="11" xr:uid="{5258DCA4-BDAC-4FC9-B9AD-71C3334B9362}"/>
    <cellStyle name="Prozent 3" xfId="12" xr:uid="{4D240BE8-D600-404C-8DD1-78FBE56B1638}"/>
    <cellStyle name="Prozent 4" xfId="13" xr:uid="{B9FC4F80-E3C2-4ED1-A8D3-C004607BDBFB}"/>
    <cellStyle name="Prozent 5" xfId="14" xr:uid="{6F04CFF4-F45F-438F-B50F-B6B354912380}"/>
    <cellStyle name="Prozent 5 2" xfId="15" xr:uid="{1D2ECA8F-7653-4B63-A531-81E169B91C0F}"/>
    <cellStyle name="sfr" xfId="16" xr:uid="{5A04F90D-F91A-4C7F-A82E-43868C773C72}"/>
    <cellStyle name="Standard" xfId="0" builtinId="0"/>
    <cellStyle name="Standard 2" xfId="17" xr:uid="{AB6093B6-FBFD-45BA-AF68-D3BC200A12B7}"/>
    <cellStyle name="Standard 2 2" xfId="18" xr:uid="{A7692DF5-4535-485F-BB93-AA2EA90D0047}"/>
    <cellStyle name="Standard 2 2 2" xfId="19" xr:uid="{3E6D2973-6D66-406A-9D0C-1999DBA52A1F}"/>
    <cellStyle name="Standard 2 3" xfId="20" xr:uid="{FE5032FC-61CE-4DF4-907F-1ED1D94180E6}"/>
    <cellStyle name="Standard 3" xfId="21" xr:uid="{93D47607-DD08-4BB7-B06E-03711934373C}"/>
    <cellStyle name="Standard 4" xfId="22" xr:uid="{74FF1E77-C24A-416A-AAA2-FFBD35BFDFFD}"/>
    <cellStyle name="Standard 5" xfId="23" xr:uid="{D792F968-68CB-4D22-BA33-1FC9DA87042C}"/>
    <cellStyle name="Standard 6" xfId="24" xr:uid="{C906E158-4743-4896-9FE7-850050A8BF80}"/>
    <cellStyle name="Währung 2" xfId="25" xr:uid="{675F882B-8AE2-43C6-AA46-AE2BF7815156}"/>
  </cellStyles>
  <dxfs count="4">
    <dxf>
      <fill>
        <patternFill>
          <bgColor indexed="53"/>
        </patternFill>
      </fill>
    </dxf>
    <dxf>
      <fill>
        <patternFill>
          <bgColor indexed="53"/>
        </patternFill>
      </fill>
    </dxf>
    <dxf>
      <fill>
        <patternFill>
          <bgColor indexed="53"/>
        </patternFill>
      </fill>
    </dxf>
    <dxf>
      <fill>
        <patternFill>
          <bgColor indexed="5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9.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9525</xdr:colOff>
      <xdr:row>33</xdr:row>
      <xdr:rowOff>78105</xdr:rowOff>
    </xdr:from>
    <xdr:to>
      <xdr:col>5</xdr:col>
      <xdr:colOff>788671</xdr:colOff>
      <xdr:row>137</xdr:row>
      <xdr:rowOff>78114</xdr:rowOff>
    </xdr:to>
    <xdr:sp macro="" textlink="">
      <xdr:nvSpPr>
        <xdr:cNvPr id="32976" name="Text Box 5">
          <a:extLst>
            <a:ext uri="{FF2B5EF4-FFF2-40B4-BE49-F238E27FC236}">
              <a16:creationId xmlns:a16="http://schemas.microsoft.com/office/drawing/2014/main" id="{F928DB21-E60E-7753-3DF3-5AAEF1445739}"/>
            </a:ext>
          </a:extLst>
        </xdr:cNvPr>
        <xdr:cNvSpPr txBox="1">
          <a:spLocks noChangeArrowheads="1"/>
        </xdr:cNvSpPr>
      </xdr:nvSpPr>
      <xdr:spPr bwMode="auto">
        <a:xfrm>
          <a:off x="9525" y="5276850"/>
          <a:ext cx="7858125" cy="6477000"/>
        </a:xfrm>
        <a:prstGeom prst="rect">
          <a:avLst/>
        </a:prstGeom>
        <a:solidFill>
          <a:schemeClr val="accent6">
            <a:lumMod val="60000"/>
            <a:lumOff val="40000"/>
          </a:schemeClr>
        </a:solidFill>
        <a:ln w="9525">
          <a:noFill/>
          <a:miter lim="800000"/>
          <a:headEnd/>
          <a:tailEnd/>
        </a:ln>
      </xdr:spPr>
      <xdr:txBody>
        <a:bodyPr vertOverflow="clip" wrap="square" lIns="36576" tIns="22860" rIns="0" bIns="0" anchor="t" upright="1"/>
        <a:lstStyle/>
        <a:p>
          <a:pPr algn="l" rtl="0">
            <a:defRPr sz="1000"/>
          </a:pPr>
          <a:r>
            <a:rPr lang="de-DE" sz="1000" b="1" i="0" u="none" strike="noStrike" baseline="0">
              <a:solidFill>
                <a:srgbClr val="000000"/>
              </a:solidFill>
              <a:latin typeface="Verdana"/>
              <a:ea typeface="Verdana"/>
              <a:cs typeface="Verdana"/>
            </a:rPr>
            <a:t>Erläuterungen zum Ausfüllen der Blätter:</a:t>
          </a:r>
          <a:endParaRPr lang="de-DE" sz="1000" b="0" i="0" u="none" strike="noStrike" baseline="0">
            <a:solidFill>
              <a:srgbClr val="000000"/>
            </a:solidFill>
            <a:latin typeface="Verdana"/>
            <a:ea typeface="Verdana"/>
            <a:cs typeface="Verdana"/>
          </a:endParaRP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Die Datei ist in </a:t>
          </a:r>
          <a:r>
            <a:rPr lang="de-DE" sz="1000" b="1" i="0" u="none" strike="noStrike" baseline="0">
              <a:solidFill>
                <a:srgbClr val="000000"/>
              </a:solidFill>
              <a:latin typeface="Verdana"/>
              <a:ea typeface="Verdana"/>
              <a:cs typeface="Verdana"/>
            </a:rPr>
            <a:t>zwei Teile</a:t>
          </a:r>
          <a:r>
            <a:rPr lang="de-DE" sz="1000" b="0" i="0" u="none" strike="noStrike" baseline="0">
              <a:solidFill>
                <a:srgbClr val="000000"/>
              </a:solidFill>
              <a:latin typeface="Verdana"/>
              <a:ea typeface="Verdana"/>
              <a:cs typeface="Verdana"/>
            </a:rPr>
            <a:t> aufgeteilt: den Teil für Ihre </a:t>
          </a:r>
          <a:r>
            <a:rPr lang="de-DE" sz="1000" b="1" i="0" u="none" strike="noStrike" baseline="0">
              <a:solidFill>
                <a:srgbClr val="000000"/>
              </a:solidFill>
              <a:latin typeface="Verdana"/>
              <a:ea typeface="Verdana"/>
              <a:cs typeface="Verdana"/>
            </a:rPr>
            <a:t>Bank (</a:t>
          </a:r>
          <a:r>
            <a:rPr lang="de-DE" sz="1000" b="1" i="0" u="none" strike="noStrike" baseline="0">
              <a:solidFill>
                <a:srgbClr val="FFFF00"/>
              </a:solidFill>
              <a:latin typeface="Verdana"/>
              <a:ea typeface="Verdana"/>
              <a:cs typeface="Verdana"/>
            </a:rPr>
            <a:t>gelb</a:t>
          </a:r>
          <a:r>
            <a:rPr lang="de-DE" sz="1000" b="1" i="0" u="none" strike="noStrike" baseline="0">
              <a:solidFill>
                <a:srgbClr val="000000"/>
              </a:solidFill>
              <a:latin typeface="Verdana"/>
              <a:ea typeface="Verdana"/>
              <a:cs typeface="Verdana"/>
            </a:rPr>
            <a:t>)</a:t>
          </a:r>
          <a:r>
            <a:rPr lang="de-DE" sz="1000" b="0" i="0" u="none" strike="noStrike" baseline="0">
              <a:solidFill>
                <a:srgbClr val="000000"/>
              </a:solidFill>
              <a:latin typeface="Verdana"/>
              <a:ea typeface="Verdana"/>
              <a:cs typeface="Verdana"/>
            </a:rPr>
            <a:t> sowie den </a:t>
          </a:r>
          <a:r>
            <a:rPr lang="de-DE" sz="1000" b="1" i="0" u="none" strike="noStrike" baseline="0">
              <a:solidFill>
                <a:srgbClr val="000000"/>
              </a:solidFill>
              <a:latin typeface="Verdana"/>
              <a:ea typeface="Verdana"/>
              <a:cs typeface="Verdana"/>
            </a:rPr>
            <a:t>Kalkulationsteil (</a:t>
          </a:r>
          <a:r>
            <a:rPr lang="de-DE" sz="1000" b="1" i="0" u="none" strike="noStrike" baseline="0">
              <a:solidFill>
                <a:srgbClr val="0070C0"/>
              </a:solidFill>
              <a:latin typeface="Verdana"/>
              <a:ea typeface="Verdana"/>
              <a:cs typeface="Verdana"/>
            </a:rPr>
            <a:t>blau</a:t>
          </a:r>
          <a:r>
            <a:rPr lang="de-DE" sz="1000" b="1" i="0" u="none" strike="noStrike" baseline="0">
              <a:solidFill>
                <a:srgbClr val="000000"/>
              </a:solidFill>
              <a:latin typeface="Verdana"/>
              <a:ea typeface="Verdana"/>
              <a:cs typeface="Verdana"/>
            </a:rPr>
            <a:t>) </a:t>
          </a:r>
          <a:r>
            <a:rPr lang="de-DE" sz="1000" b="0" i="0" u="none" strike="noStrike" baseline="0">
              <a:solidFill>
                <a:srgbClr val="000000"/>
              </a:solidFill>
              <a:latin typeface="Verdana"/>
              <a:ea typeface="Verdana"/>
              <a:cs typeface="Verdana"/>
            </a:rPr>
            <a:t>für Ihre Unterlagen.</a:t>
          </a: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Bei den </a:t>
          </a:r>
          <a:r>
            <a:rPr lang="de-DE" sz="1000" b="1" i="0" u="none" strike="noStrike" baseline="0">
              <a:solidFill>
                <a:srgbClr val="000000"/>
              </a:solidFill>
              <a:latin typeface="Verdana"/>
              <a:ea typeface="Verdana"/>
              <a:cs typeface="Verdana"/>
            </a:rPr>
            <a:t>gelben Blättern</a:t>
          </a:r>
          <a:r>
            <a:rPr lang="de-DE" sz="1000" b="0" i="0" u="none" strike="noStrike" baseline="0">
              <a:solidFill>
                <a:srgbClr val="000000"/>
              </a:solidFill>
              <a:latin typeface="Verdana"/>
              <a:ea typeface="Verdana"/>
              <a:cs typeface="Verdana"/>
            </a:rPr>
            <a:t> handelt es sich um die für ein erstes Bankengespräch wichtigen Tabellen. Diese sind daher in</a:t>
          </a:r>
          <a:r>
            <a:rPr lang="de-DE" sz="1000" b="1" i="0" u="none" strike="noStrike" baseline="0">
              <a:solidFill>
                <a:srgbClr val="000000"/>
              </a:solidFill>
              <a:latin typeface="Verdana"/>
              <a:ea typeface="Verdana"/>
              <a:cs typeface="Verdana"/>
            </a:rPr>
            <a:t> jedem Fall dem Businessplan beizufügen</a:t>
          </a:r>
          <a:r>
            <a:rPr lang="de-DE" sz="1000" b="0" i="0" u="none" strike="noStrike" baseline="0">
              <a:solidFill>
                <a:srgbClr val="000000"/>
              </a:solidFill>
              <a:latin typeface="Verdana"/>
              <a:ea typeface="Verdana"/>
              <a:cs typeface="Verdana"/>
            </a:rPr>
            <a:t>. Darüber hinaus ist zu beachten, dass für die folgenden drei Geschäftsjahre geplant wird.</a:t>
          </a: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Der Kalkulationsteil ist Grundlage für die Erstellung der Finanzplanung und dient der Plausibilisierung der Daten in den gelben Blätter.  Bei Bedarf können auch diese Blätter den Banken / potentiellen Kapitalgebern vorgelegt werden.</a:t>
          </a: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Aufrund zahlreicher Verknüpfungen und Bezüge der einzelnen Tabellen, ist der Kalkulationsteil z.T. parallel zum Bankenteil zu bearbeiten.</a:t>
          </a: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Folgende </a:t>
          </a:r>
          <a:r>
            <a:rPr lang="de-DE" sz="1000" b="1" i="0" u="none" strike="noStrike" baseline="0">
              <a:solidFill>
                <a:srgbClr val="000000"/>
              </a:solidFill>
              <a:latin typeface="Verdana"/>
              <a:ea typeface="Verdana"/>
              <a:cs typeface="Verdana"/>
            </a:rPr>
            <a:t>wichtige Punkte</a:t>
          </a:r>
          <a:r>
            <a:rPr lang="de-DE" sz="1000" b="0" i="0" u="none" strike="noStrike" baseline="0">
              <a:solidFill>
                <a:srgbClr val="000000"/>
              </a:solidFill>
              <a:latin typeface="Verdana"/>
              <a:ea typeface="Verdana"/>
              <a:cs typeface="Verdana"/>
            </a:rPr>
            <a:t> sind beim Bearbeiten der Datei zu beachten:</a:t>
          </a: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Bitte geben Sie zunächst die Höhe des </a:t>
          </a:r>
          <a:r>
            <a:rPr lang="de-DE" sz="1000" b="1" i="0" u="none" strike="noStrike" baseline="0">
              <a:solidFill>
                <a:srgbClr val="000000"/>
              </a:solidFill>
              <a:latin typeface="Verdana"/>
              <a:ea typeface="Verdana"/>
              <a:cs typeface="Verdana"/>
            </a:rPr>
            <a:t>Umsatzsteuersatz Ihrer Produkte / Leistungen</a:t>
          </a:r>
          <a:r>
            <a:rPr lang="de-DE" sz="1000" b="0" i="0" u="none" strike="noStrike" baseline="0">
              <a:solidFill>
                <a:srgbClr val="000000"/>
              </a:solidFill>
              <a:latin typeface="Verdana"/>
              <a:ea typeface="Verdana"/>
              <a:cs typeface="Verdana"/>
            </a:rPr>
            <a:t> in die obenstehende Zelle (C8) ein. Dieser Satz wird in der gesamten Datei an den dafür vorgesehenen Stellen automaitsch verwendet und in die Berechungen einbezogen.</a:t>
          </a: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In allen folgenden Blättern sind </a:t>
          </a:r>
          <a:r>
            <a:rPr lang="de-DE" sz="1000" b="1" i="0" u="none" strike="noStrike" baseline="0">
              <a:solidFill>
                <a:srgbClr val="000000"/>
              </a:solidFill>
              <a:latin typeface="Verdana"/>
              <a:ea typeface="Verdana"/>
              <a:cs typeface="Verdana"/>
            </a:rPr>
            <a:t>ausschließlich die weiß hinterlegten Feldern auszufüllen</a:t>
          </a:r>
          <a:r>
            <a:rPr lang="de-DE" sz="1000" b="0" i="0" u="none" strike="noStrike" baseline="0">
              <a:solidFill>
                <a:srgbClr val="000000"/>
              </a:solidFill>
              <a:latin typeface="Verdana"/>
              <a:ea typeface="Verdana"/>
              <a:cs typeface="Verdana"/>
            </a:rPr>
            <a:t>. Alle weiteren Felder werden automatisch berechnet und müssen nicht verändert werden.</a:t>
          </a: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Bei der Eingabe von Zahlen in die Tabelle: </a:t>
          </a:r>
          <a:r>
            <a:rPr lang="de-DE" sz="1000" b="1" i="0" u="none" strike="noStrike" baseline="0">
              <a:solidFill>
                <a:srgbClr val="000000"/>
              </a:solidFill>
              <a:latin typeface="Verdana"/>
              <a:ea typeface="Verdana"/>
              <a:cs typeface="Verdana"/>
            </a:rPr>
            <a:t>keine Leerzeichen, keine Buchstaben, Nachkommastellen nur mit Komma, nicht mit Punkt! </a:t>
          </a:r>
        </a:p>
        <a:p>
          <a:pPr algn="l" rtl="0">
            <a:defRPr sz="1000"/>
          </a:pPr>
          <a:endParaRPr lang="de-DE" sz="1000" b="0" i="0" u="none" strike="noStrike" baseline="0">
            <a:solidFill>
              <a:srgbClr val="000000"/>
            </a:solidFill>
            <a:latin typeface="Verdana"/>
            <a:ea typeface="Verdana"/>
            <a:cs typeface="Verdana"/>
          </a:endParaRP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a:t>
          </a: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000" b="0" i="0" u="none" strike="noStrike" baseline="0">
              <a:solidFill>
                <a:srgbClr val="000000"/>
              </a:solidFill>
              <a:latin typeface="Verdana"/>
              <a:ea typeface="Verdana"/>
              <a:cs typeface="Verdana"/>
            </a:rPr>
            <a:t>Hinter vielen Zellen sind </a:t>
          </a:r>
          <a:r>
            <a:rPr lang="de-DE" sz="1000" b="1" i="0" u="none" strike="noStrike" baseline="0">
              <a:solidFill>
                <a:srgbClr val="000000"/>
              </a:solidFill>
              <a:latin typeface="Verdana" pitchFamily="34" charset="0"/>
              <a:ea typeface="Verdana" pitchFamily="34" charset="0"/>
              <a:cs typeface="Verdana" pitchFamily="34" charset="0"/>
            </a:rPr>
            <a:t>Kommentare</a:t>
          </a:r>
          <a:r>
            <a:rPr lang="de-DE" sz="1000" b="0" i="0" u="none" strike="noStrike" baseline="0">
              <a:solidFill>
                <a:srgbClr val="000000"/>
              </a:solidFill>
              <a:latin typeface="Verdana" pitchFamily="34" charset="0"/>
              <a:ea typeface="Verdana" pitchFamily="34" charset="0"/>
              <a:cs typeface="Verdana" pitchFamily="34" charset="0"/>
            </a:rPr>
            <a:t> versteckt - zu erkennen an rotem Dreieck - diese enthalten wichtige Hinweise und Tipps - bitte </a:t>
          </a:r>
          <a:r>
            <a:rPr lang="de-DE" sz="1000" b="1" i="0" u="none" strike="noStrike" baseline="0">
              <a:solidFill>
                <a:srgbClr val="000000"/>
              </a:solidFill>
              <a:latin typeface="Verdana" pitchFamily="34" charset="0"/>
              <a:ea typeface="Verdana" pitchFamily="34" charset="0"/>
              <a:cs typeface="Verdana" pitchFamily="34" charset="0"/>
            </a:rPr>
            <a:t>lesen und beachten</a:t>
          </a:r>
          <a:r>
            <a:rPr lang="de-DE" sz="1000" b="0" i="0" u="none" strike="noStrike" baseline="0">
              <a:solidFill>
                <a:srgbClr val="000000"/>
              </a:solidFill>
              <a:latin typeface="Verdana" pitchFamily="34" charset="0"/>
              <a:ea typeface="Verdana" pitchFamily="34" charset="0"/>
              <a:cs typeface="Verdana" pitchFamily="34" charset="0"/>
            </a:rPr>
            <a:t>!</a:t>
          </a:r>
        </a:p>
        <a:p>
          <a:pPr algn="l" rtl="0">
            <a:defRPr sz="1000"/>
          </a:pPr>
          <a:endParaRPr lang="de-DE" sz="1000" b="0" i="0" u="none" strike="noStrike" baseline="0">
            <a:solidFill>
              <a:srgbClr val="000000"/>
            </a:solidFill>
            <a:latin typeface="Verdana" pitchFamily="34" charset="0"/>
            <a:ea typeface="Verdana" pitchFamily="34" charset="0"/>
            <a:cs typeface="Verdana"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de-DE" sz="1000" b="0" i="0" u="none" strike="noStrike" baseline="0">
              <a:solidFill>
                <a:srgbClr val="000000"/>
              </a:solidFill>
              <a:latin typeface="Verdana" pitchFamily="34" charset="0"/>
              <a:ea typeface="Verdana" pitchFamily="34" charset="0"/>
              <a:cs typeface="Verdana" pitchFamily="34" charset="0"/>
            </a:rPr>
            <a:t>Bei älteren Excel-Versionen muss unter </a:t>
          </a:r>
          <a:r>
            <a:rPr lang="de-DE" sz="1000" b="0" i="1" baseline="0">
              <a:latin typeface="Verdana" pitchFamily="34" charset="0"/>
              <a:ea typeface="Verdana" pitchFamily="34" charset="0"/>
              <a:cs typeface="Verdana" pitchFamily="34" charset="0"/>
            </a:rPr>
            <a:t>Extras - Optionen - Berechnung</a:t>
          </a:r>
          <a:r>
            <a:rPr lang="de-DE" sz="1000" b="0" i="0" baseline="0">
              <a:latin typeface="Verdana" pitchFamily="34" charset="0"/>
              <a:ea typeface="Verdana" pitchFamily="34" charset="0"/>
              <a:cs typeface="Verdana" pitchFamily="34" charset="0"/>
            </a:rPr>
            <a:t> das Kästchen bei </a:t>
          </a:r>
          <a:r>
            <a:rPr lang="de-DE" sz="1000" b="1" i="0" baseline="0">
              <a:latin typeface="Verdana" pitchFamily="34" charset="0"/>
              <a:ea typeface="Verdana" pitchFamily="34" charset="0"/>
              <a:cs typeface="Verdana" pitchFamily="34" charset="0"/>
            </a:rPr>
            <a:t>"Iteration" </a:t>
          </a:r>
          <a:r>
            <a:rPr lang="de-DE" sz="1000" b="0" i="0" baseline="0">
              <a:latin typeface="Verdana" pitchFamily="34" charset="0"/>
              <a:ea typeface="Verdana" pitchFamily="34" charset="0"/>
              <a:cs typeface="Verdana" pitchFamily="34" charset="0"/>
            </a:rPr>
            <a:t>angehakt werden, da sonst viele Formeln nicht korrekt berechnet werden (</a:t>
          </a:r>
          <a:r>
            <a:rPr lang="de-DE" sz="1000" b="1" i="0" baseline="0">
              <a:latin typeface="Verdana" pitchFamily="34" charset="0"/>
              <a:ea typeface="Verdana" pitchFamily="34" charset="0"/>
              <a:cs typeface="Verdana" pitchFamily="34" charset="0"/>
            </a:rPr>
            <a:t>betrifft nur ältere Excel-Versionen</a:t>
          </a:r>
          <a:r>
            <a:rPr lang="de-DE" sz="1000" b="0" i="0" baseline="0">
              <a:latin typeface="Verdana" pitchFamily="34" charset="0"/>
              <a:ea typeface="Verdana" pitchFamily="34" charset="0"/>
              <a:cs typeface="Verdana" pitchFamily="34" charset="0"/>
            </a:rPr>
            <a:t>!).</a:t>
          </a:r>
          <a:endParaRPr lang="de-DE">
            <a:latin typeface="Verdana" pitchFamily="34" charset="0"/>
            <a:ea typeface="Verdana" pitchFamily="34" charset="0"/>
            <a:cs typeface="Verdana" pitchFamily="34" charset="0"/>
          </a:endParaRPr>
        </a:p>
        <a:p>
          <a:pPr algn="l" rtl="0">
            <a:defRPr sz="1000"/>
          </a:pPr>
          <a:endParaRPr lang="de-DE" sz="1000" b="0" i="0" u="none" strike="noStrike" baseline="0">
            <a:solidFill>
              <a:srgbClr val="000000"/>
            </a:solidFill>
            <a:latin typeface="Verdana"/>
            <a:ea typeface="Verdana"/>
            <a:cs typeface="Verdana"/>
          </a:endParaRPr>
        </a:p>
        <a:p>
          <a:pPr algn="l" rtl="0">
            <a:defRPr sz="1000"/>
          </a:pPr>
          <a:r>
            <a:rPr lang="de-DE" sz="1600" b="1" i="0" u="none" strike="noStrike" baseline="0">
              <a:solidFill>
                <a:srgbClr val="000000"/>
              </a:solidFill>
              <a:latin typeface="Verdana"/>
              <a:ea typeface="Verdana"/>
              <a:cs typeface="Verdana"/>
            </a:rPr>
            <a:t>Achtung: Unter Start &gt; Zellen &gt; Format &gt;  Blatt einblenden . Dort gibt es weitere Blätter, die bei Bedarf eingeblendet werden können!</a:t>
          </a:r>
        </a:p>
      </xdr:txBody>
    </xdr:sp>
    <xdr:clientData/>
  </xdr:twoCellAnchor>
  <xdr:twoCellAnchor>
    <xdr:from>
      <xdr:col>3</xdr:col>
      <xdr:colOff>76200</xdr:colOff>
      <xdr:row>18</xdr:row>
      <xdr:rowOff>19050</xdr:rowOff>
    </xdr:from>
    <xdr:to>
      <xdr:col>3</xdr:col>
      <xdr:colOff>466725</xdr:colOff>
      <xdr:row>23</xdr:row>
      <xdr:rowOff>133350</xdr:rowOff>
    </xdr:to>
    <xdr:sp macro="" textlink="">
      <xdr:nvSpPr>
        <xdr:cNvPr id="67786" name="AutoShape 209">
          <a:extLst>
            <a:ext uri="{FF2B5EF4-FFF2-40B4-BE49-F238E27FC236}">
              <a16:creationId xmlns:a16="http://schemas.microsoft.com/office/drawing/2014/main" id="{615E5EDD-DC8C-1386-1D5A-ADF9C57C2EB1}"/>
            </a:ext>
          </a:extLst>
        </xdr:cNvPr>
        <xdr:cNvSpPr>
          <a:spLocks/>
        </xdr:cNvSpPr>
      </xdr:nvSpPr>
      <xdr:spPr bwMode="auto">
        <a:xfrm>
          <a:off x="5781675" y="3076575"/>
          <a:ext cx="390525" cy="923925"/>
        </a:xfrm>
        <a:prstGeom prst="rightBrace">
          <a:avLst>
            <a:gd name="adj1" fmla="val 17766"/>
            <a:gd name="adj2" fmla="val 50000"/>
          </a:avLst>
        </a:prstGeom>
        <a:noFill/>
        <a:ln w="349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114300</xdr:colOff>
      <xdr:row>23</xdr:row>
      <xdr:rowOff>123825</xdr:rowOff>
    </xdr:from>
    <xdr:to>
      <xdr:col>3</xdr:col>
      <xdr:colOff>504825</xdr:colOff>
      <xdr:row>30</xdr:row>
      <xdr:rowOff>114300</xdr:rowOff>
    </xdr:to>
    <xdr:sp macro="" textlink="">
      <xdr:nvSpPr>
        <xdr:cNvPr id="67787" name="AutoShape 210">
          <a:extLst>
            <a:ext uri="{FF2B5EF4-FFF2-40B4-BE49-F238E27FC236}">
              <a16:creationId xmlns:a16="http://schemas.microsoft.com/office/drawing/2014/main" id="{57A3B316-6B32-4531-9DF2-E3FB144E4CA0}"/>
            </a:ext>
          </a:extLst>
        </xdr:cNvPr>
        <xdr:cNvSpPr>
          <a:spLocks/>
        </xdr:cNvSpPr>
      </xdr:nvSpPr>
      <xdr:spPr bwMode="auto">
        <a:xfrm>
          <a:off x="5819775" y="3990975"/>
          <a:ext cx="390525" cy="1123950"/>
        </a:xfrm>
        <a:prstGeom prst="rightBrace">
          <a:avLst>
            <a:gd name="adj1" fmla="val 24757"/>
            <a:gd name="adj2" fmla="val 50000"/>
          </a:avLst>
        </a:prstGeom>
        <a:noFill/>
        <a:ln w="349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1</xdr:col>
      <xdr:colOff>3007360</xdr:colOff>
      <xdr:row>5</xdr:row>
      <xdr:rowOff>93345</xdr:rowOff>
    </xdr:from>
    <xdr:ext cx="184731" cy="264560"/>
    <xdr:sp macro="" textlink="">
      <xdr:nvSpPr>
        <xdr:cNvPr id="5" name="Textfeld 4">
          <a:extLst>
            <a:ext uri="{FF2B5EF4-FFF2-40B4-BE49-F238E27FC236}">
              <a16:creationId xmlns:a16="http://schemas.microsoft.com/office/drawing/2014/main" id="{895099E1-350A-8590-B5AD-A7C921726694}"/>
            </a:ext>
          </a:extLst>
        </xdr:cNvPr>
        <xdr:cNvSpPr txBox="1"/>
      </xdr:nvSpPr>
      <xdr:spPr>
        <a:xfrm>
          <a:off x="3113193" y="10035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196215</xdr:colOff>
      <xdr:row>6</xdr:row>
      <xdr:rowOff>161925</xdr:rowOff>
    </xdr:from>
    <xdr:ext cx="9494520" cy="4754880"/>
    <xdr:sp macro="" textlink="">
      <xdr:nvSpPr>
        <xdr:cNvPr id="2" name="Textfeld 1">
          <a:extLst>
            <a:ext uri="{FF2B5EF4-FFF2-40B4-BE49-F238E27FC236}">
              <a16:creationId xmlns:a16="http://schemas.microsoft.com/office/drawing/2014/main" id="{05E61B1D-516C-DE41-CC02-25888FE35ACC}"/>
            </a:ext>
          </a:extLst>
        </xdr:cNvPr>
        <xdr:cNvSpPr txBox="1"/>
      </xdr:nvSpPr>
      <xdr:spPr>
        <a:xfrm>
          <a:off x="1790700" y="1249680"/>
          <a:ext cx="9494520" cy="4754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700"/>
            </a:lnSpc>
          </a:pPr>
          <a:r>
            <a:rPr lang="de-DE" sz="1600" b="1">
              <a:solidFill>
                <a:schemeClr val="tx1"/>
              </a:solidFill>
              <a:effectLst/>
              <a:latin typeface="Century Gothic" panose="020B0502020202020204" pitchFamily="34" charset="0"/>
              <a:ea typeface="+mn-ea"/>
              <a:cs typeface="+mn-cs"/>
            </a:rPr>
            <a:t>Richtiges Planen heißt bei der Kostenplanung</a:t>
          </a:r>
          <a:r>
            <a:rPr lang="de-DE" sz="1600">
              <a:solidFill>
                <a:schemeClr val="tx1"/>
              </a:solidFill>
              <a:effectLst/>
              <a:latin typeface="Century Gothic" panose="020B0502020202020204" pitchFamily="34" charset="0"/>
              <a:ea typeface="+mn-ea"/>
              <a:cs typeface="+mn-cs"/>
            </a:rPr>
            <a:t>:</a:t>
          </a:r>
        </a:p>
        <a:p>
          <a:pPr lvl="0">
            <a:lnSpc>
              <a:spcPts val="1700"/>
            </a:lnSpc>
          </a:pPr>
          <a:r>
            <a:rPr lang="de-DE" sz="1600">
              <a:solidFill>
                <a:schemeClr val="tx1"/>
              </a:solidFill>
              <a:effectLst/>
              <a:latin typeface="Century Gothic" panose="020B0502020202020204" pitchFamily="34" charset="0"/>
              <a:ea typeface="+mn-ea"/>
              <a:cs typeface="+mn-cs"/>
            </a:rPr>
            <a:t>1. Alle, wirklich alle denkbaren Kosten erfassen! denn sie dienen ja auch später der Kalkulation.</a:t>
          </a:r>
          <a:endParaRPr lang="de-DE" sz="1600">
            <a:effectLst/>
            <a:latin typeface="Century Gothic" panose="020B0502020202020204" pitchFamily="34" charset="0"/>
          </a:endParaRPr>
        </a:p>
        <a:p>
          <a:pPr lvl="0">
            <a:lnSpc>
              <a:spcPts val="1700"/>
            </a:lnSpc>
          </a:pPr>
          <a:r>
            <a:rPr lang="de-DE" sz="1600">
              <a:solidFill>
                <a:schemeClr val="tx1"/>
              </a:solidFill>
              <a:effectLst/>
              <a:latin typeface="Century Gothic" panose="020B0502020202020204" pitchFamily="34" charset="0"/>
              <a:ea typeface="+mn-ea"/>
              <a:cs typeface="+mn-cs"/>
            </a:rPr>
            <a:t>2. Sich Zeit nehmen;  Also die Beträge kritisch an mehreren Tagen hinterfragen!</a:t>
          </a:r>
          <a:endParaRPr lang="de-DE" sz="1600">
            <a:effectLst/>
            <a:latin typeface="Century Gothic" panose="020B0502020202020204" pitchFamily="34" charset="0"/>
          </a:endParaRPr>
        </a:p>
        <a:p>
          <a:pPr lvl="0">
            <a:lnSpc>
              <a:spcPts val="1700"/>
            </a:lnSpc>
          </a:pPr>
          <a:r>
            <a:rPr lang="de-DE" sz="1600">
              <a:solidFill>
                <a:schemeClr val="tx1"/>
              </a:solidFill>
              <a:effectLst/>
              <a:latin typeface="Century Gothic" panose="020B0502020202020204" pitchFamily="34" charset="0"/>
              <a:ea typeface="+mn-ea"/>
              <a:cs typeface="+mn-cs"/>
            </a:rPr>
            <a:t>3. Recherche: Sorgfältiges Suchen (in einschlägigen Unterlagen oder im Internet),  ist der Schlüssel zu möglichst richtigen Ergebnissen. </a:t>
          </a:r>
          <a:endParaRPr lang="de-DE" sz="1600">
            <a:effectLst/>
            <a:latin typeface="Century Gothic" panose="020B0502020202020204" pitchFamily="34" charset="0"/>
          </a:endParaRPr>
        </a:p>
        <a:p>
          <a:pPr>
            <a:lnSpc>
              <a:spcPts val="1700"/>
            </a:lnSpc>
          </a:pPr>
          <a:r>
            <a:rPr lang="de-DE" sz="1600">
              <a:solidFill>
                <a:schemeClr val="tx1"/>
              </a:solidFill>
              <a:effectLst/>
              <a:latin typeface="Century Gothic" panose="020B0502020202020204" pitchFamily="34" charset="0"/>
              <a:ea typeface="+mn-ea"/>
              <a:cs typeface="+mn-cs"/>
            </a:rPr>
            <a:t> </a:t>
          </a:r>
        </a:p>
        <a:p>
          <a:pPr>
            <a:lnSpc>
              <a:spcPts val="1700"/>
            </a:lnSpc>
          </a:pPr>
          <a:r>
            <a:rPr lang="de-DE" sz="1600">
              <a:solidFill>
                <a:schemeClr val="tx1"/>
              </a:solidFill>
              <a:effectLst/>
              <a:latin typeface="Century Gothic" panose="020B0502020202020204" pitchFamily="34" charset="0"/>
              <a:ea typeface="+mn-ea"/>
              <a:cs typeface="+mn-cs"/>
            </a:rPr>
            <a:t> </a:t>
          </a:r>
        </a:p>
        <a:p>
          <a:pPr>
            <a:lnSpc>
              <a:spcPts val="1700"/>
            </a:lnSpc>
          </a:pPr>
          <a:r>
            <a:rPr lang="de-DE" sz="1600" b="1">
              <a:solidFill>
                <a:schemeClr val="tx1"/>
              </a:solidFill>
              <a:effectLst/>
              <a:latin typeface="Century Gothic" panose="020B0502020202020204" pitchFamily="34" charset="0"/>
              <a:ea typeface="+mn-ea"/>
              <a:cs typeface="+mn-cs"/>
            </a:rPr>
            <a:t>Richtiges Planen bei der Umsatzplanung heißt:</a:t>
          </a:r>
          <a:endParaRPr lang="de-DE" sz="1600">
            <a:solidFill>
              <a:schemeClr val="tx1"/>
            </a:solidFill>
            <a:effectLst/>
            <a:latin typeface="Century Gothic" panose="020B0502020202020204" pitchFamily="34" charset="0"/>
            <a:ea typeface="+mn-ea"/>
            <a:cs typeface="+mn-cs"/>
          </a:endParaRPr>
        </a:p>
        <a:p>
          <a:pPr>
            <a:lnSpc>
              <a:spcPts val="1700"/>
            </a:lnSpc>
          </a:pPr>
          <a:r>
            <a:rPr lang="de-DE" sz="1600">
              <a:solidFill>
                <a:schemeClr val="tx1"/>
              </a:solidFill>
              <a:effectLst/>
              <a:latin typeface="Century Gothic" panose="020B0502020202020204" pitchFamily="34" charset="0"/>
              <a:ea typeface="+mn-ea"/>
              <a:cs typeface="+mn-cs"/>
            </a:rPr>
            <a:t> </a:t>
          </a:r>
        </a:p>
        <a:p>
          <a:pPr lvl="0">
            <a:lnSpc>
              <a:spcPts val="1700"/>
            </a:lnSpc>
          </a:pPr>
          <a:r>
            <a:rPr lang="de-DE" sz="1600">
              <a:solidFill>
                <a:schemeClr val="tx1"/>
              </a:solidFill>
              <a:effectLst/>
              <a:latin typeface="Century Gothic" panose="020B0502020202020204" pitchFamily="34" charset="0"/>
              <a:ea typeface="+mn-ea"/>
              <a:cs typeface="+mn-cs"/>
            </a:rPr>
            <a:t>1. Vorsichtig planen. Umsätze kommen oft nicht so hoch wie erwartet.</a:t>
          </a:r>
          <a:endParaRPr lang="de-DE" sz="1600">
            <a:effectLst/>
            <a:latin typeface="Century Gothic" panose="020B0502020202020204" pitchFamily="34" charset="0"/>
          </a:endParaRPr>
        </a:p>
        <a:p>
          <a:pPr lvl="0">
            <a:lnSpc>
              <a:spcPts val="1700"/>
            </a:lnSpc>
          </a:pPr>
          <a:r>
            <a:rPr lang="de-DE" sz="1600">
              <a:solidFill>
                <a:schemeClr val="tx1"/>
              </a:solidFill>
              <a:effectLst/>
              <a:latin typeface="Century Gothic" panose="020B0502020202020204" pitchFamily="34" charset="0"/>
              <a:ea typeface="+mn-ea"/>
              <a:cs typeface="+mn-cs"/>
            </a:rPr>
            <a:t>2. Vorsichtig planen! Umsätze kommen später als erwartet.</a:t>
          </a:r>
          <a:endParaRPr lang="de-DE" sz="1600">
            <a:effectLst/>
            <a:latin typeface="Century Gothic" panose="020B0502020202020204" pitchFamily="34" charset="0"/>
          </a:endParaRPr>
        </a:p>
        <a:p>
          <a:pPr lvl="0">
            <a:lnSpc>
              <a:spcPts val="1700"/>
            </a:lnSpc>
          </a:pPr>
          <a:r>
            <a:rPr lang="de-DE" sz="1600">
              <a:solidFill>
                <a:schemeClr val="tx1"/>
              </a:solidFill>
              <a:effectLst/>
              <a:latin typeface="Century Gothic" panose="020B0502020202020204" pitchFamily="34" charset="0"/>
              <a:ea typeface="+mn-ea"/>
              <a:cs typeface="+mn-cs"/>
            </a:rPr>
            <a:t>3. Umsätze  kommen ungleichmäßig, weil die Akquisition zeitliche Lücken hat, oder nicht so erfolgreich ist wie zunächst gedacht!</a:t>
          </a:r>
          <a:endParaRPr lang="de-DE" sz="1600">
            <a:effectLst/>
            <a:latin typeface="Century Gothic" panose="020B0502020202020204" pitchFamily="34" charset="0"/>
          </a:endParaRPr>
        </a:p>
        <a:p>
          <a:pPr>
            <a:lnSpc>
              <a:spcPts val="1800"/>
            </a:lnSpc>
          </a:pPr>
          <a:r>
            <a:rPr lang="de-DE" sz="1600">
              <a:solidFill>
                <a:schemeClr val="tx1"/>
              </a:solidFill>
              <a:effectLst/>
              <a:latin typeface="Century Gothic" panose="020B0502020202020204" pitchFamily="34" charset="0"/>
              <a:ea typeface="+mn-ea"/>
              <a:cs typeface="+mn-cs"/>
            </a:rPr>
            <a:t> </a:t>
          </a:r>
        </a:p>
        <a:p>
          <a:pPr>
            <a:lnSpc>
              <a:spcPts val="1700"/>
            </a:lnSpc>
          </a:pPr>
          <a:r>
            <a:rPr lang="de-DE" sz="1600">
              <a:solidFill>
                <a:schemeClr val="tx1"/>
              </a:solidFill>
              <a:effectLst/>
              <a:latin typeface="Century Gothic" panose="020B0502020202020204" pitchFamily="34" charset="0"/>
              <a:ea typeface="+mn-ea"/>
              <a:cs typeface="+mn-cs"/>
            </a:rPr>
            <a:t> </a:t>
          </a:r>
        </a:p>
        <a:p>
          <a:pPr>
            <a:lnSpc>
              <a:spcPts val="1800"/>
            </a:lnSpc>
          </a:pPr>
          <a:r>
            <a:rPr lang="de-DE" sz="1600" b="1">
              <a:solidFill>
                <a:schemeClr val="tx1"/>
              </a:solidFill>
              <a:effectLst/>
              <a:latin typeface="Century Gothic" panose="020B0502020202020204" pitchFamily="34" charset="0"/>
              <a:ea typeface="+mn-ea"/>
              <a:cs typeface="+mn-cs"/>
            </a:rPr>
            <a:t>Richtiges  Planen bei der Liquiditätsrechnung heißt:</a:t>
          </a:r>
          <a:endParaRPr lang="de-DE" sz="1600">
            <a:solidFill>
              <a:schemeClr val="tx1"/>
            </a:solidFill>
            <a:effectLst/>
            <a:latin typeface="Century Gothic" panose="020B0502020202020204" pitchFamily="34" charset="0"/>
            <a:ea typeface="+mn-ea"/>
            <a:cs typeface="+mn-cs"/>
          </a:endParaRPr>
        </a:p>
        <a:p>
          <a:pPr lvl="0">
            <a:lnSpc>
              <a:spcPts val="1700"/>
            </a:lnSpc>
          </a:pPr>
          <a:r>
            <a:rPr lang="de-DE" sz="1600">
              <a:solidFill>
                <a:schemeClr val="tx1"/>
              </a:solidFill>
              <a:effectLst/>
              <a:latin typeface="Century Gothic" panose="020B0502020202020204" pitchFamily="34" charset="0"/>
              <a:ea typeface="+mn-ea"/>
              <a:cs typeface="+mn-cs"/>
            </a:rPr>
            <a:t>1. Kunden zahlen oft langsamer als verabredet!</a:t>
          </a:r>
          <a:endParaRPr lang="de-DE" sz="1600">
            <a:effectLst/>
            <a:latin typeface="Century Gothic" panose="020B0502020202020204" pitchFamily="34" charset="0"/>
          </a:endParaRPr>
        </a:p>
        <a:p>
          <a:pPr lvl="0">
            <a:lnSpc>
              <a:spcPts val="1800"/>
            </a:lnSpc>
          </a:pPr>
          <a:r>
            <a:rPr lang="de-DE" sz="1600">
              <a:solidFill>
                <a:schemeClr val="tx1"/>
              </a:solidFill>
              <a:effectLst/>
              <a:latin typeface="Century Gothic" panose="020B0502020202020204" pitchFamily="34" charset="0"/>
              <a:ea typeface="+mn-ea"/>
              <a:cs typeface="+mn-cs"/>
            </a:rPr>
            <a:t>2. Erfahrungsgemäß kann es in den ersten Monaten nach Gründung zu Verlusten kommen!</a:t>
          </a:r>
          <a:endParaRPr lang="de-DE" sz="1600">
            <a:effectLst/>
            <a:latin typeface="Century Gothic" panose="020B0502020202020204" pitchFamily="34" charset="0"/>
          </a:endParaRPr>
        </a:p>
        <a:p>
          <a:pPr lvl="0">
            <a:lnSpc>
              <a:spcPts val="1700"/>
            </a:lnSpc>
          </a:pPr>
          <a:r>
            <a:rPr lang="de-DE" sz="1600">
              <a:solidFill>
                <a:schemeClr val="tx1"/>
              </a:solidFill>
              <a:effectLst/>
              <a:latin typeface="Century Gothic" panose="020B0502020202020204" pitchFamily="34" charset="0"/>
              <a:ea typeface="+mn-ea"/>
              <a:cs typeface="+mn-cs"/>
            </a:rPr>
            <a:t>3. Finanzielle Spielräume und Reserven sind entscheidend für kritische Phasen,  besonders am Anfang!</a:t>
          </a:r>
          <a:endParaRPr lang="de-DE" sz="1600">
            <a:effectLst/>
            <a:latin typeface="Century Gothic" panose="020B0502020202020204" pitchFamily="34" charset="0"/>
          </a:endParaRPr>
        </a:p>
        <a:p>
          <a:pPr>
            <a:lnSpc>
              <a:spcPts val="1800"/>
            </a:lnSpc>
          </a:pPr>
          <a:r>
            <a:rPr lang="de-DE" sz="1600">
              <a:solidFill>
                <a:schemeClr val="tx1"/>
              </a:solidFill>
              <a:effectLst/>
              <a:latin typeface="+mn-lt"/>
              <a:ea typeface="+mn-ea"/>
              <a:cs typeface="+mn-cs"/>
            </a:rPr>
            <a:t> </a:t>
          </a:r>
        </a:p>
        <a:p>
          <a:pPr>
            <a:lnSpc>
              <a:spcPts val="1700"/>
            </a:lnSpc>
          </a:pPr>
          <a:endParaRPr lang="de-DE" sz="1600"/>
        </a:p>
      </xdr:txBody>
    </xdr:sp>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28575</xdr:colOff>
          <xdr:row>4</xdr:row>
          <xdr:rowOff>76200</xdr:rowOff>
        </xdr:from>
        <xdr:to>
          <xdr:col>14</xdr:col>
          <xdr:colOff>352425</xdr:colOff>
          <xdr:row>44</xdr:row>
          <xdr:rowOff>19050</xdr:rowOff>
        </xdr:to>
        <xdr:sp macro="" textlink="">
          <xdr:nvSpPr>
            <xdr:cNvPr id="70657" name="Object 1" hidden="1">
              <a:extLst>
                <a:ext uri="{63B3BB69-23CF-44E3-9099-C40C66FF867C}">
                  <a14:compatExt spid="_x0000_s70657"/>
                </a:ext>
                <a:ext uri="{FF2B5EF4-FFF2-40B4-BE49-F238E27FC236}">
                  <a16:creationId xmlns:a16="http://schemas.microsoft.com/office/drawing/2014/main" id="{1F820B71-2B13-CBFF-37B8-5A0DD1B6CCD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eyme/AppData/Local/Temp/Lfd.%20Beratungen/Marcel%20Godau/BPT%20IhkneuIII%20marcel%20pers&#246;nlic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Users\HIRSCH~1\AppData\Local\Temp\9\$$dv$$\Users\HIRSCH~1\AppData\Local\Temp\5\$$dv$$\Users\Beyme\AppData\Local\Temp\Lfd.%20Beratungen\Marcel%20Godau\BPT%20IhkneuIII%20marcel%20pers&#246;nlic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Beyme/AppData/Local/Temp/Lfd.%20Beratungen/Marcel%20Godau/BPT%20IhkneuIII%20marcel%20pers&#246;nlich.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0.%20140618AY_Finanzplanung%20f&#252;r%20Unternehmer%20Must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0.%20140216AY_Finanzplanung%20f&#252;r%20Unternehmer%20Must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0120422AY_Finanzplanung%20f&#252;r%20Unternehmer%20Must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20WIRTSCHAFTS-SENIOREN/2.%20BERATUNG%20MANDANTEN/Beratung%20Goeze/0.%2014~02~16AY_Fipl2013_3%20mit%20Raucherverg+Kostenvert+Nachkalkulat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20WIRTSCHAFTSSENIOREN/4.%20M3%20-%20E-Commerce/2016~11~03_M3%20Seminar%20Finanzplanung+Kalkulation/1.%20120127AY_Finanzplanung%20f&#252;r%20Unternehmer%20Muste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20120127AY_Finanzplanung%20f&#252;r%20Unternehmer%20Must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20WIRTSCHAFTSSENIOREN/4.%20M3%20-%20E-Commerce/2016~11~03_M3%20Seminar%20Finanzplanung+Kalkulation/0.%20140216AY_Finanzplanung%20f&#252;r%20Unternehmer%20Mu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Investitionen"/>
      <sheetName val="Umsätze"/>
      <sheetName val="Kosten"/>
      <sheetName val="Personal-Tool"/>
      <sheetName val="Material-Tool"/>
      <sheetName val="AfA-Tool"/>
      <sheetName val="Entnahmen-Tool"/>
      <sheetName val="Einnahmen"/>
      <sheetName val="Kapital"/>
      <sheetName val="Rentabilität"/>
      <sheetName val="Liquidität"/>
      <sheetName val="Kapitalbedarf"/>
      <sheetName val="Finanzier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Investitionen"/>
      <sheetName val="Umsätze"/>
      <sheetName val="Kosten"/>
      <sheetName val="Personal-Tool"/>
      <sheetName val="Material-Tool"/>
      <sheetName val="AfA-Tool"/>
      <sheetName val="Entnahmen-Tool"/>
      <sheetName val="Einnahmen"/>
      <sheetName val="Kapital"/>
      <sheetName val="Rentabilität"/>
      <sheetName val="Liquidität"/>
      <sheetName val="Kapitalbedarf"/>
      <sheetName val="Finanzier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Investitionen"/>
      <sheetName val="Umsätze"/>
      <sheetName val="Kosten"/>
      <sheetName val="Personal-Tool"/>
      <sheetName val="Material-Tool"/>
      <sheetName val="AfA-Tool"/>
      <sheetName val="Entnahmen-Tool"/>
      <sheetName val="Einnahmen"/>
      <sheetName val="Kapital"/>
      <sheetName val="Rentabilität"/>
      <sheetName val="Liquidität"/>
      <sheetName val="Kapitalbedarf"/>
      <sheetName val="Finanzier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alyseFragen"/>
      <sheetName val="ZusammenführErgebn"/>
      <sheetName val="Privatentnahmen"/>
      <sheetName val="Kosten Firma"/>
      <sheetName val="2013"/>
      <sheetName val="2014"/>
      <sheetName val="2015"/>
      <sheetName val="2016"/>
      <sheetName val="2017"/>
      <sheetName val="LiquiRech2013-2015"/>
      <sheetName val="Finanz_AfA_Investitionen"/>
      <sheetName val="KapBedarf"/>
      <sheetName val="ArbStd_MA"/>
      <sheetName val="Arbeitsstundenproduktivität"/>
      <sheetName val="UmstzPlan2013-2016"/>
      <sheetName val="Einzelkalk_Handwerk"/>
      <sheetName val="Nachkalkulation Handwerk"/>
      <sheetName val="Einzelkalk_Produktion"/>
      <sheetName val="Einzelkalk_Handel"/>
      <sheetName val="Nachkalkulation Handel"/>
      <sheetName val="Einzelkalk Vermietung"/>
      <sheetName val="Einzelkalk Gastro"/>
      <sheetName val="Einzelkalk_DL"/>
      <sheetName val="Kalkul.Einzelpreise "/>
      <sheetName val="Control 2013"/>
      <sheetName val="Control 2014"/>
      <sheetName val="Control  2015"/>
      <sheetName val="Zusammf.Contr.Erg."/>
      <sheetName val="UmPl_HandelGastro2013-2015"/>
      <sheetName val="WE_HandelGastro"/>
      <sheetName val="Rückwärtskalkulation als Nachka"/>
      <sheetName val="GwSt-Re"/>
      <sheetName val="Auswahl Std-Sätz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alyse "/>
      <sheetName val="ZusammenführErgebn"/>
      <sheetName val="Privatentnahmen"/>
      <sheetName val="Kosten Firma"/>
      <sheetName val="2013"/>
      <sheetName val="2014"/>
      <sheetName val="2015"/>
      <sheetName val="2016"/>
      <sheetName val="2017"/>
      <sheetName val="LiquiRech2013-2015"/>
      <sheetName val="Finanz_AfA_Investitionen"/>
      <sheetName val="KapBedarf"/>
      <sheetName val="ArbStd_MA"/>
      <sheetName val="Arbeitsstundenproduktivität"/>
      <sheetName val="UmstzPlan2013-2016"/>
      <sheetName val="Einzelkalk_Handwerk"/>
      <sheetName val="Nachkalkulation Handwerk"/>
      <sheetName val="Einzelkalk_Produktion"/>
      <sheetName val="Einzelkalk_Handel"/>
      <sheetName val="Nachkalkulation Handel"/>
      <sheetName val="Einzelkalk Vermietung"/>
      <sheetName val="Einzelkalk Gastro"/>
      <sheetName val="Einzelkalk_DL"/>
      <sheetName val="Kalkul.Einzelpreise "/>
      <sheetName val="Control 2013"/>
      <sheetName val="Control 2014"/>
      <sheetName val="Control  2015"/>
      <sheetName val="Zusammf.Contr.Erg."/>
      <sheetName val="UmPl_HandelGastro2013-2015"/>
      <sheetName val="WE_HandelGastro"/>
      <sheetName val="GwSt-Re"/>
      <sheetName val="Auswahl Std-Sätze"/>
      <sheetName val="Rückwärtskalkulation als Nachka"/>
    </sheetNames>
    <sheetDataSet>
      <sheetData sheetId="0">
        <row r="13">
          <cell r="B13">
            <v>0.19</v>
          </cell>
        </row>
      </sheetData>
      <sheetData sheetId="1" refreshError="1"/>
      <sheetData sheetId="2" refreshError="1"/>
      <sheetData sheetId="3" refreshError="1"/>
      <sheetData sheetId="4" refreshError="1"/>
      <sheetData sheetId="5">
        <row r="53">
          <cell r="I53" t="str">
            <v>Var1 Handw+DL</v>
          </cell>
        </row>
        <row r="54">
          <cell r="I54" t="str">
            <v>Var2 Han+Gastro</v>
          </cell>
        </row>
      </sheetData>
      <sheetData sheetId="6">
        <row r="19">
          <cell r="R19">
            <v>43.85759325044404</v>
          </cell>
        </row>
        <row r="59">
          <cell r="C59" t="str">
            <v>UmRe</v>
          </cell>
        </row>
        <row r="60">
          <cell r="C60" t="str">
            <v>MoUm</v>
          </cell>
        </row>
        <row r="61">
          <cell r="C61" t="str">
            <v>Kosten</v>
          </cell>
        </row>
        <row r="62">
          <cell r="C62" t="str">
            <v>WE</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ZusammenführErgebn"/>
      <sheetName val="Privatentnahmen"/>
      <sheetName val="Kosten Firma"/>
      <sheetName val="2011"/>
      <sheetName val="2012"/>
      <sheetName val="2013"/>
      <sheetName val="2014"/>
      <sheetName val="2015"/>
      <sheetName val="LiquiRech2011-2013"/>
      <sheetName val="Tarifgruppen"/>
      <sheetName val="Finanz_AfA_Investitionen"/>
      <sheetName val="KapBedarf"/>
      <sheetName val="ArbStd_MA"/>
      <sheetName val="Arbeitsstundenproduktivität"/>
      <sheetName val="UmstzPlan2011-2013"/>
      <sheetName val="Einzelkalk_Handwerk"/>
      <sheetName val="Einzelkalk_Handel"/>
      <sheetName val="Einzelkalk Vermietung"/>
      <sheetName val="Einzelkalk Gastro"/>
      <sheetName val="Einzelkalk_DL"/>
      <sheetName val="Kalkul.Einzelpreise "/>
      <sheetName val="Einzelkalk Produktion"/>
      <sheetName val="Nachkalkulation1"/>
      <sheetName val="Control 2011"/>
      <sheetName val="Control 2012"/>
      <sheetName val="Control  2013"/>
      <sheetName val="Zusammf.Contr.Erg."/>
      <sheetName val="UmPl_HandelGastro"/>
      <sheetName val="WE_HandelGastro"/>
      <sheetName val="GwS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Bewertungen"/>
      <sheetName val="ZusammenführErgebn"/>
      <sheetName val="Privatentnahmen"/>
      <sheetName val="Kosten Firma"/>
      <sheetName val="2011"/>
      <sheetName val="2012"/>
      <sheetName val="2013"/>
      <sheetName val="2014"/>
      <sheetName val="2015"/>
      <sheetName val="LiquiRech2011-2013"/>
      <sheetName val="Finanz_AfA_Investitionen"/>
      <sheetName val="ArbStd_MA"/>
      <sheetName val="UmstzPlan2011-2014"/>
      <sheetName val="Einzelkalk_Handel bereinigt"/>
      <sheetName val="Nachkalkulation Handel"/>
      <sheetName val="Control 2011"/>
      <sheetName val="Control 2012"/>
      <sheetName val="Control  2013"/>
      <sheetName val="Zusammf.Contr.Erg."/>
      <sheetName val="GwSt-Re"/>
      <sheetName val="Tabel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ZusammenführErgebn"/>
      <sheetName val="Privatentnahmen"/>
      <sheetName val="Kosten Firma"/>
      <sheetName val="2011"/>
      <sheetName val="2012"/>
      <sheetName val="2013"/>
      <sheetName val="2014"/>
      <sheetName val="2015"/>
      <sheetName val="Tarifgruppen"/>
      <sheetName val="Finanz_AfA_Investitionen"/>
      <sheetName val="KapBedarf"/>
      <sheetName val="ArbStd_MA"/>
      <sheetName val="LiquiRech2011-2013"/>
      <sheetName val="UmstzPlan2011-2013"/>
      <sheetName val="Einzelkalk_Handwerk"/>
      <sheetName val="Einzelkalk_Handel"/>
      <sheetName val="Einzelkalk Vermietung"/>
      <sheetName val="Einzelkalk Gastro"/>
      <sheetName val="Einzelkalk_DL"/>
      <sheetName val="Kalkul.Einzelpreise "/>
      <sheetName val="Einzelkalk Produktion"/>
      <sheetName val="Arbeitsstundenproduktivität"/>
      <sheetName val="Nachkalkulation1"/>
      <sheetName val="Control 2011"/>
      <sheetName val="Control 2012"/>
      <sheetName val="Control  2013"/>
      <sheetName val="Zusammf.Contr.Erg."/>
      <sheetName val="Verfahrenswege"/>
      <sheetName val="GwS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ZusammenführErgebn"/>
      <sheetName val="Privatentnahmen"/>
      <sheetName val="Kosten Firma"/>
      <sheetName val="2011"/>
      <sheetName val="2012"/>
      <sheetName val="2013"/>
      <sheetName val="2014"/>
      <sheetName val="2015"/>
      <sheetName val="Tarifgruppen"/>
      <sheetName val="Finanz_AfA_Investitionen"/>
      <sheetName val="KapBedarf"/>
      <sheetName val="ArbStd_MA"/>
      <sheetName val="LiquiRech2011-2013"/>
      <sheetName val="UmstzPlan2011-2013"/>
      <sheetName val="Einzelkalk_Handwerk"/>
      <sheetName val="Einzelkalk_Handel"/>
      <sheetName val="Einzelkalk Vermietung"/>
      <sheetName val="Einzelkalk Gastro"/>
      <sheetName val="Einzelkalk_DL"/>
      <sheetName val="Kalkul.Einzelpreise "/>
      <sheetName val="Einzelkalk Produktion"/>
      <sheetName val="Arbeitsstundenproduktivität"/>
      <sheetName val="Nachkalkulation1"/>
      <sheetName val="Control 2011"/>
      <sheetName val="Control 2012"/>
      <sheetName val="Control  2013"/>
      <sheetName val="Zusammf.Contr.Erg."/>
      <sheetName val="Verfahrenswege"/>
      <sheetName val="GwS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alyse "/>
      <sheetName val="ZusammenführErgebn"/>
      <sheetName val="Privatentnahmen"/>
      <sheetName val="Kosten Firma"/>
      <sheetName val="2013"/>
      <sheetName val="2014"/>
      <sheetName val="2015"/>
      <sheetName val="2016"/>
      <sheetName val="2017"/>
      <sheetName val="LiquiRech2013-2015"/>
      <sheetName val="Finanz_AfA_Investitionen"/>
      <sheetName val="KapBedarf"/>
      <sheetName val="ArbStd_MA"/>
      <sheetName val="Arbeitsstundenproduktivität"/>
      <sheetName val="UmstzPlan2013-2016"/>
      <sheetName val="Einzelkalk_Handwerk"/>
      <sheetName val="Nachkalkulation Handwerk"/>
      <sheetName val="Einzelkalk_Produktion"/>
      <sheetName val="Einzelkalk_Handel"/>
      <sheetName val="Nachkalkulation Handel"/>
      <sheetName val="Einzelkalk Vermietung"/>
      <sheetName val="Einzelkalk Gastro"/>
      <sheetName val="Einzelkalk_DL"/>
      <sheetName val="Kalkul.Einzelpreise "/>
      <sheetName val="Control 2013"/>
      <sheetName val="Control 2014"/>
      <sheetName val="Control  2015"/>
      <sheetName val="Zusammf.Contr.Erg."/>
      <sheetName val="UmPl_HandelGastro2013-2015"/>
      <sheetName val="WE_HandelGastro"/>
      <sheetName val="GwSt-Re"/>
      <sheetName val="Auswahl Std-Sätze"/>
      <sheetName val="Rückwärtskalkulation als Nachka"/>
    </sheetNames>
    <sheetDataSet>
      <sheetData sheetId="0"/>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8.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5" Type="http://schemas.openxmlformats.org/officeDocument/2006/relationships/comments" Target="../comments6.xml"/><Relationship Id="rId4"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27.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3.vml"/><Relationship Id="rId1" Type="http://schemas.openxmlformats.org/officeDocument/2006/relationships/printerSettings" Target="../printerSettings/printerSettings30.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4.vml"/><Relationship Id="rId1" Type="http://schemas.openxmlformats.org/officeDocument/2006/relationships/printerSettings" Target="../printerSettings/printerSettings31.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 Id="rId5" Type="http://schemas.openxmlformats.org/officeDocument/2006/relationships/comments" Target="../comments14.xml"/><Relationship Id="rId4" Type="http://schemas.openxmlformats.org/officeDocument/2006/relationships/vmlDrawing" Target="../drawings/vmlDrawing15.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6.vml"/><Relationship Id="rId1" Type="http://schemas.openxmlformats.org/officeDocument/2006/relationships/printerSettings" Target="../printerSettings/printerSettings3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7.vml"/><Relationship Id="rId1" Type="http://schemas.openxmlformats.org/officeDocument/2006/relationships/printerSettings" Target="../printerSettings/printerSettings36.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8.vml"/><Relationship Id="rId1" Type="http://schemas.openxmlformats.org/officeDocument/2006/relationships/printerSettings" Target="../printerSettings/printerSettings37.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9.vml"/><Relationship Id="rId1" Type="http://schemas.openxmlformats.org/officeDocument/2006/relationships/printerSettings" Target="../printerSettings/printerSettings3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20.vml"/><Relationship Id="rId1" Type="http://schemas.openxmlformats.org/officeDocument/2006/relationships/printerSettings" Target="../printerSettings/printerSettings4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17C04-7445-4F40-B492-6B52CE024BB7}">
  <dimension ref="A1:AJ179"/>
  <sheetViews>
    <sheetView topLeftCell="A55" zoomScale="90" zoomScaleNormal="90" zoomScalePageLayoutView="75" workbookViewId="0">
      <selection activeCell="F12" sqref="F12"/>
    </sheetView>
  </sheetViews>
  <sheetFormatPr defaultColWidth="0" defaultRowHeight="12.75" zeroHeight="1"/>
  <cols>
    <col min="1" max="1" width="1.5703125" style="8" customWidth="1"/>
    <col min="2" max="2" width="62.5703125" style="8" bestFit="1" customWidth="1"/>
    <col min="3" max="3" width="21.42578125" style="8" customWidth="1"/>
    <col min="4" max="4" width="8.140625" style="8" customWidth="1"/>
    <col min="5" max="5" width="12.85546875" style="8" customWidth="1"/>
    <col min="6" max="7" width="11.5703125" style="8" customWidth="1"/>
    <col min="8" max="24" width="11.5703125" style="8" hidden="1" customWidth="1"/>
    <col min="25" max="25" width="11.5703125" style="21" hidden="1" customWidth="1"/>
    <col min="26" max="16384" width="11.5703125" style="8" hidden="1"/>
  </cols>
  <sheetData>
    <row r="1" spans="1:36" ht="13.5" thickTop="1">
      <c r="A1" s="879"/>
      <c r="B1" s="880"/>
      <c r="C1" s="880"/>
      <c r="D1" s="880"/>
      <c r="E1" s="880"/>
      <c r="F1" s="881"/>
      <c r="G1" s="21"/>
      <c r="H1" s="21"/>
      <c r="I1" s="21"/>
      <c r="J1" s="21"/>
      <c r="K1" s="21"/>
      <c r="L1" s="21"/>
      <c r="M1" s="21"/>
      <c r="N1" s="21"/>
      <c r="O1" s="21"/>
      <c r="P1" s="21"/>
      <c r="Q1" s="21"/>
      <c r="R1" s="21"/>
      <c r="S1" s="21"/>
      <c r="T1" s="21"/>
      <c r="U1" s="21"/>
      <c r="V1" s="21"/>
      <c r="W1" s="21"/>
      <c r="X1" s="21"/>
      <c r="Y1" s="882" t="s">
        <v>0</v>
      </c>
      <c r="Z1" s="882" t="s">
        <v>1</v>
      </c>
      <c r="AA1" s="882" t="s">
        <v>2</v>
      </c>
      <c r="AB1" s="882" t="s">
        <v>3</v>
      </c>
      <c r="AC1" s="882" t="s">
        <v>4</v>
      </c>
      <c r="AD1" s="882" t="s">
        <v>5</v>
      </c>
      <c r="AE1" s="882" t="s">
        <v>6</v>
      </c>
      <c r="AF1" s="882" t="s">
        <v>7</v>
      </c>
      <c r="AG1" s="882" t="s">
        <v>8</v>
      </c>
      <c r="AH1" s="882" t="s">
        <v>9</v>
      </c>
      <c r="AI1" s="882" t="s">
        <v>10</v>
      </c>
      <c r="AJ1" s="882" t="s">
        <v>11</v>
      </c>
    </row>
    <row r="2" spans="1:36" ht="18">
      <c r="A2" s="883"/>
      <c r="B2" s="884" t="s">
        <v>12</v>
      </c>
      <c r="C2" s="365"/>
      <c r="D2" s="365"/>
      <c r="E2" s="365"/>
      <c r="F2" s="885"/>
      <c r="G2" s="21"/>
      <c r="H2" s="21"/>
      <c r="I2" s="21"/>
      <c r="J2" s="21"/>
      <c r="K2" s="21"/>
      <c r="L2" s="21"/>
      <c r="M2" s="21"/>
      <c r="N2" s="21"/>
      <c r="O2" s="21"/>
      <c r="P2" s="21"/>
      <c r="Q2" s="21"/>
      <c r="R2" s="21"/>
      <c r="S2" s="21"/>
      <c r="T2" s="21"/>
      <c r="U2" s="21"/>
      <c r="V2" s="21"/>
      <c r="W2" s="21"/>
      <c r="X2" s="21"/>
      <c r="Y2" s="882" t="s">
        <v>1</v>
      </c>
      <c r="Z2" s="882" t="s">
        <v>2</v>
      </c>
      <c r="AA2" s="882" t="s">
        <v>3</v>
      </c>
      <c r="AB2" s="882" t="s">
        <v>4</v>
      </c>
      <c r="AC2" s="882" t="s">
        <v>5</v>
      </c>
      <c r="AD2" s="882" t="s">
        <v>6</v>
      </c>
      <c r="AE2" s="882" t="s">
        <v>7</v>
      </c>
      <c r="AF2" s="882" t="s">
        <v>8</v>
      </c>
      <c r="AG2" s="882" t="s">
        <v>9</v>
      </c>
      <c r="AH2" s="882" t="s">
        <v>10</v>
      </c>
      <c r="AI2" s="882" t="s">
        <v>11</v>
      </c>
      <c r="AJ2" s="882" t="s">
        <v>0</v>
      </c>
    </row>
    <row r="3" spans="1:36" ht="13.5" thickBot="1">
      <c r="A3" s="883"/>
      <c r="B3" s="365"/>
      <c r="C3" s="365"/>
      <c r="D3" s="365"/>
      <c r="E3" s="365"/>
      <c r="F3" s="885"/>
      <c r="G3" s="21"/>
      <c r="H3" s="21"/>
      <c r="I3" s="21"/>
      <c r="J3" s="21"/>
      <c r="K3" s="21"/>
      <c r="L3" s="21"/>
      <c r="M3" s="21"/>
      <c r="N3" s="21"/>
      <c r="O3" s="21"/>
      <c r="P3" s="21"/>
      <c r="Q3" s="21"/>
      <c r="R3" s="21"/>
      <c r="S3" s="21"/>
      <c r="T3" s="21"/>
      <c r="U3" s="21"/>
      <c r="V3" s="21"/>
      <c r="W3" s="21"/>
      <c r="X3" s="21"/>
      <c r="Y3" s="882" t="s">
        <v>2</v>
      </c>
      <c r="Z3" s="882" t="s">
        <v>3</v>
      </c>
      <c r="AA3" s="882" t="s">
        <v>4</v>
      </c>
      <c r="AB3" s="882" t="s">
        <v>5</v>
      </c>
      <c r="AC3" s="882" t="s">
        <v>6</v>
      </c>
      <c r="AD3" s="882" t="s">
        <v>7</v>
      </c>
      <c r="AE3" s="882" t="s">
        <v>8</v>
      </c>
      <c r="AF3" s="882" t="s">
        <v>9</v>
      </c>
      <c r="AG3" s="882" t="s">
        <v>10</v>
      </c>
      <c r="AH3" s="882" t="s">
        <v>11</v>
      </c>
      <c r="AI3" s="882" t="s">
        <v>0</v>
      </c>
      <c r="AJ3" s="882" t="s">
        <v>1</v>
      </c>
    </row>
    <row r="4" spans="1:36" ht="13.5" thickBot="1">
      <c r="A4" s="883"/>
      <c r="B4" s="564" t="s">
        <v>13</v>
      </c>
      <c r="C4" s="873" t="s">
        <v>14</v>
      </c>
      <c r="D4" s="564"/>
      <c r="E4" s="564"/>
      <c r="F4" s="886"/>
      <c r="G4" s="887"/>
      <c r="H4" s="887"/>
      <c r="I4" s="887"/>
      <c r="J4" s="887"/>
      <c r="K4" s="887"/>
      <c r="L4" s="887"/>
      <c r="M4" s="887"/>
      <c r="N4" s="887"/>
      <c r="O4" s="887"/>
      <c r="P4" s="887"/>
      <c r="Q4" s="887"/>
      <c r="R4" s="887"/>
      <c r="S4" s="887"/>
      <c r="T4" s="887"/>
      <c r="U4" s="887"/>
      <c r="V4" s="887"/>
      <c r="W4" s="887"/>
      <c r="X4" s="887"/>
      <c r="Y4" s="882" t="s">
        <v>3</v>
      </c>
      <c r="Z4" s="882" t="s">
        <v>4</v>
      </c>
      <c r="AA4" s="882" t="s">
        <v>5</v>
      </c>
      <c r="AB4" s="882" t="s">
        <v>6</v>
      </c>
      <c r="AC4" s="882" t="s">
        <v>7</v>
      </c>
      <c r="AD4" s="882" t="s">
        <v>8</v>
      </c>
      <c r="AE4" s="882" t="s">
        <v>9</v>
      </c>
      <c r="AF4" s="882" t="s">
        <v>10</v>
      </c>
      <c r="AG4" s="882" t="s">
        <v>11</v>
      </c>
      <c r="AH4" s="882" t="s">
        <v>0</v>
      </c>
      <c r="AI4" s="882" t="s">
        <v>1</v>
      </c>
      <c r="AJ4" s="882" t="s">
        <v>2</v>
      </c>
    </row>
    <row r="5" spans="1:36" ht="13.5" thickBot="1">
      <c r="A5" s="883"/>
      <c r="B5" s="564" t="s">
        <v>15</v>
      </c>
      <c r="C5" s="873" t="s">
        <v>16</v>
      </c>
      <c r="D5" s="564"/>
      <c r="E5" s="564"/>
      <c r="F5" s="886"/>
      <c r="G5" s="2143" t="s">
        <v>17</v>
      </c>
      <c r="H5" s="887"/>
      <c r="I5" s="887"/>
      <c r="J5" s="887"/>
      <c r="K5" s="887"/>
      <c r="L5" s="887"/>
      <c r="M5" s="887"/>
      <c r="N5" s="887"/>
      <c r="O5" s="887"/>
      <c r="P5" s="887"/>
      <c r="Q5" s="887"/>
      <c r="R5" s="887"/>
      <c r="S5" s="887"/>
      <c r="T5" s="887"/>
      <c r="U5" s="887"/>
      <c r="V5" s="887"/>
      <c r="W5" s="887"/>
      <c r="X5" s="887"/>
      <c r="Y5" s="882" t="s">
        <v>4</v>
      </c>
      <c r="Z5" s="882" t="s">
        <v>5</v>
      </c>
      <c r="AA5" s="882" t="s">
        <v>6</v>
      </c>
      <c r="AB5" s="882" t="s">
        <v>7</v>
      </c>
      <c r="AC5" s="882" t="s">
        <v>8</v>
      </c>
      <c r="AD5" s="882" t="s">
        <v>9</v>
      </c>
      <c r="AE5" s="882" t="s">
        <v>10</v>
      </c>
      <c r="AF5" s="882" t="s">
        <v>11</v>
      </c>
      <c r="AG5" s="882" t="s">
        <v>0</v>
      </c>
      <c r="AH5" s="882" t="s">
        <v>1</v>
      </c>
      <c r="AI5" s="882" t="s">
        <v>2</v>
      </c>
      <c r="AJ5" s="882" t="s">
        <v>3</v>
      </c>
    </row>
    <row r="6" spans="1:36" ht="13.5" thickBot="1">
      <c r="A6" s="883"/>
      <c r="B6" s="564" t="s">
        <v>18</v>
      </c>
      <c r="C6" s="1546">
        <f ca="1">TODAY()</f>
        <v>45978</v>
      </c>
      <c r="D6" s="564"/>
      <c r="E6" s="564"/>
      <c r="F6" s="885"/>
      <c r="G6" s="2144"/>
      <c r="H6" s="21"/>
      <c r="I6" s="21"/>
      <c r="J6" s="21"/>
      <c r="K6" s="21"/>
      <c r="L6" s="21"/>
      <c r="M6" s="21"/>
      <c r="N6" s="21"/>
      <c r="O6" s="21"/>
      <c r="P6" s="21"/>
      <c r="Q6" s="21"/>
      <c r="R6" s="21"/>
      <c r="S6" s="21"/>
      <c r="T6" s="21"/>
      <c r="U6" s="21"/>
      <c r="V6" s="21"/>
      <c r="W6" s="21"/>
      <c r="X6" s="21"/>
      <c r="Y6" s="882" t="s">
        <v>5</v>
      </c>
      <c r="Z6" s="882" t="s">
        <v>6</v>
      </c>
      <c r="AA6" s="882" t="s">
        <v>7</v>
      </c>
      <c r="AB6" s="882" t="s">
        <v>8</v>
      </c>
      <c r="AC6" s="882" t="s">
        <v>9</v>
      </c>
      <c r="AD6" s="882" t="s">
        <v>10</v>
      </c>
      <c r="AE6" s="882" t="s">
        <v>11</v>
      </c>
      <c r="AF6" s="882" t="s">
        <v>0</v>
      </c>
      <c r="AG6" s="882" t="s">
        <v>1</v>
      </c>
      <c r="AH6" s="882" t="s">
        <v>2</v>
      </c>
      <c r="AI6" s="882" t="s">
        <v>3</v>
      </c>
      <c r="AJ6" s="882" t="s">
        <v>4</v>
      </c>
    </row>
    <row r="7" spans="1:36" ht="13.5" thickBot="1">
      <c r="A7" s="883"/>
      <c r="B7" s="564" t="s">
        <v>19</v>
      </c>
      <c r="C7" s="871">
        <v>2025</v>
      </c>
      <c r="D7" s="564"/>
      <c r="E7" s="365"/>
      <c r="F7" s="885"/>
      <c r="G7" s="2144"/>
      <c r="H7" s="21"/>
      <c r="I7" s="21"/>
      <c r="J7" s="21"/>
      <c r="K7" s="21"/>
      <c r="L7" s="21"/>
      <c r="M7" s="21"/>
      <c r="N7" s="21"/>
      <c r="O7" s="21"/>
      <c r="P7" s="21"/>
      <c r="Q7" s="21"/>
      <c r="R7" s="21"/>
      <c r="S7" s="21"/>
      <c r="T7" s="21"/>
      <c r="U7" s="21"/>
      <c r="V7" s="21"/>
      <c r="W7" s="21"/>
      <c r="X7" s="21"/>
      <c r="Y7" s="882" t="s">
        <v>6</v>
      </c>
      <c r="Z7" s="882" t="s">
        <v>7</v>
      </c>
      <c r="AA7" s="882" t="s">
        <v>8</v>
      </c>
      <c r="AB7" s="882" t="s">
        <v>9</v>
      </c>
      <c r="AC7" s="882" t="s">
        <v>10</v>
      </c>
      <c r="AD7" s="882" t="s">
        <v>11</v>
      </c>
      <c r="AE7" s="882" t="s">
        <v>0</v>
      </c>
      <c r="AF7" s="882" t="s">
        <v>1</v>
      </c>
      <c r="AG7" s="882" t="s">
        <v>2</v>
      </c>
      <c r="AH7" s="882" t="s">
        <v>3</v>
      </c>
      <c r="AI7" s="882" t="s">
        <v>4</v>
      </c>
      <c r="AJ7" s="882" t="s">
        <v>5</v>
      </c>
    </row>
    <row r="8" spans="1:36" ht="13.5" thickBot="1">
      <c r="A8" s="883"/>
      <c r="B8" s="888" t="s">
        <v>20</v>
      </c>
      <c r="C8" s="873" t="s">
        <v>21</v>
      </c>
      <c r="D8" s="365"/>
      <c r="E8" s="365"/>
      <c r="F8" s="885"/>
      <c r="G8" s="2144"/>
      <c r="H8" s="21"/>
      <c r="I8" s="21"/>
      <c r="J8" s="21"/>
      <c r="K8" s="21"/>
      <c r="L8" s="21"/>
      <c r="M8" s="21"/>
      <c r="N8" s="21"/>
      <c r="O8" s="21"/>
      <c r="P8" s="21"/>
      <c r="Q8" s="21"/>
      <c r="R8" s="21"/>
      <c r="S8" s="21"/>
      <c r="T8" s="21"/>
      <c r="U8" s="21"/>
      <c r="V8" s="21"/>
      <c r="W8" s="21"/>
      <c r="X8" s="21"/>
      <c r="Y8" s="882" t="s">
        <v>7</v>
      </c>
      <c r="Z8" s="882" t="s">
        <v>8</v>
      </c>
      <c r="AA8" s="882" t="s">
        <v>9</v>
      </c>
      <c r="AB8" s="882" t="s">
        <v>10</v>
      </c>
      <c r="AC8" s="882" t="s">
        <v>11</v>
      </c>
      <c r="AD8" s="882" t="s">
        <v>0</v>
      </c>
      <c r="AE8" s="882" t="s">
        <v>1</v>
      </c>
      <c r="AF8" s="882" t="s">
        <v>2</v>
      </c>
      <c r="AG8" s="882" t="s">
        <v>3</v>
      </c>
      <c r="AH8" s="882" t="s">
        <v>4</v>
      </c>
      <c r="AI8" s="882" t="s">
        <v>5</v>
      </c>
      <c r="AJ8" s="882" t="s">
        <v>6</v>
      </c>
    </row>
    <row r="9" spans="1:36" ht="13.5" thickBot="1">
      <c r="A9" s="883"/>
      <c r="B9" s="564" t="s">
        <v>22</v>
      </c>
      <c r="C9" s="872">
        <v>0.19</v>
      </c>
      <c r="D9" s="365"/>
      <c r="E9" s="365"/>
      <c r="F9" s="885"/>
      <c r="G9" s="2144"/>
      <c r="H9" s="21"/>
      <c r="I9" s="21"/>
      <c r="J9" s="21"/>
      <c r="K9" s="21"/>
      <c r="L9" s="21"/>
      <c r="M9" s="21"/>
      <c r="N9" s="21"/>
      <c r="O9" s="21"/>
      <c r="P9" s="21"/>
      <c r="Q9" s="21"/>
      <c r="R9" s="21"/>
      <c r="S9" s="21"/>
      <c r="T9" s="21"/>
      <c r="U9" s="21"/>
      <c r="V9" s="21"/>
      <c r="W9" s="21"/>
      <c r="X9" s="21"/>
      <c r="Y9" s="882" t="s">
        <v>8</v>
      </c>
      <c r="Z9" s="882" t="s">
        <v>9</v>
      </c>
      <c r="AA9" s="882" t="s">
        <v>10</v>
      </c>
      <c r="AB9" s="882" t="s">
        <v>11</v>
      </c>
      <c r="AC9" s="882" t="s">
        <v>0</v>
      </c>
      <c r="AD9" s="882" t="s">
        <v>1</v>
      </c>
      <c r="AE9" s="882" t="s">
        <v>2</v>
      </c>
      <c r="AF9" s="882" t="s">
        <v>3</v>
      </c>
      <c r="AG9" s="882" t="s">
        <v>4</v>
      </c>
      <c r="AH9" s="882" t="s">
        <v>5</v>
      </c>
      <c r="AI9" s="882" t="s">
        <v>6</v>
      </c>
      <c r="AJ9" s="882" t="s">
        <v>7</v>
      </c>
    </row>
    <row r="10" spans="1:36">
      <c r="A10" s="883"/>
      <c r="B10" s="564"/>
      <c r="C10" s="365"/>
      <c r="D10" s="564"/>
      <c r="E10" s="365"/>
      <c r="F10" s="885"/>
      <c r="G10" s="2144"/>
      <c r="H10" s="21"/>
      <c r="I10" s="21"/>
      <c r="J10" s="21"/>
      <c r="K10" s="21"/>
      <c r="L10" s="21"/>
      <c r="M10" s="21"/>
      <c r="N10" s="21"/>
      <c r="O10" s="21"/>
      <c r="P10" s="21"/>
      <c r="Q10" s="21"/>
      <c r="R10" s="21"/>
      <c r="S10" s="21"/>
      <c r="T10" s="21"/>
      <c r="U10" s="21"/>
      <c r="V10" s="21"/>
      <c r="W10" s="21"/>
      <c r="X10" s="21"/>
      <c r="Y10" s="882" t="s">
        <v>9</v>
      </c>
      <c r="Z10" s="882" t="s">
        <v>10</v>
      </c>
      <c r="AA10" s="882" t="s">
        <v>11</v>
      </c>
      <c r="AB10" s="882" t="s">
        <v>0</v>
      </c>
      <c r="AC10" s="882" t="s">
        <v>1</v>
      </c>
      <c r="AD10" s="882" t="s">
        <v>2</v>
      </c>
      <c r="AE10" s="882" t="s">
        <v>3</v>
      </c>
      <c r="AF10" s="882" t="s">
        <v>4</v>
      </c>
      <c r="AG10" s="882" t="s">
        <v>5</v>
      </c>
      <c r="AH10" s="882" t="s">
        <v>6</v>
      </c>
      <c r="AI10" s="882" t="s">
        <v>7</v>
      </c>
      <c r="AJ10" s="882" t="s">
        <v>8</v>
      </c>
    </row>
    <row r="11" spans="1:36">
      <c r="A11" s="883"/>
      <c r="B11" s="564"/>
      <c r="C11" s="889"/>
      <c r="D11" s="564"/>
      <c r="E11" s="365"/>
      <c r="F11" s="885"/>
      <c r="G11" s="2144"/>
      <c r="H11" s="21"/>
      <c r="I11" s="21"/>
      <c r="J11" s="21"/>
      <c r="K11" s="21"/>
      <c r="L11" s="21"/>
      <c r="M11" s="21"/>
      <c r="N11" s="21"/>
      <c r="O11" s="21"/>
      <c r="P11" s="21"/>
      <c r="Q11" s="21"/>
      <c r="R11" s="21"/>
      <c r="S11" s="21"/>
      <c r="T11" s="21"/>
      <c r="U11" s="21"/>
      <c r="V11" s="21"/>
      <c r="W11" s="21"/>
      <c r="X11" s="21"/>
      <c r="Y11" s="882" t="s">
        <v>10</v>
      </c>
      <c r="Z11" s="882" t="s">
        <v>11</v>
      </c>
      <c r="AA11" s="882" t="s">
        <v>0</v>
      </c>
      <c r="AB11" s="882" t="s">
        <v>1</v>
      </c>
      <c r="AC11" s="882" t="s">
        <v>2</v>
      </c>
      <c r="AD11" s="882" t="s">
        <v>3</v>
      </c>
      <c r="AE11" s="882" t="s">
        <v>4</v>
      </c>
      <c r="AF11" s="882" t="s">
        <v>5</v>
      </c>
      <c r="AG11" s="882" t="s">
        <v>6</v>
      </c>
      <c r="AH11" s="882" t="s">
        <v>7</v>
      </c>
      <c r="AI11" s="882" t="s">
        <v>8</v>
      </c>
      <c r="AJ11" s="882" t="s">
        <v>9</v>
      </c>
    </row>
    <row r="12" spans="1:36">
      <c r="A12" s="883"/>
      <c r="B12" s="365"/>
      <c r="C12" s="889"/>
      <c r="D12" s="564"/>
      <c r="E12" s="365"/>
      <c r="F12" s="885"/>
      <c r="G12" s="2144"/>
      <c r="H12" s="21"/>
      <c r="I12" s="21"/>
      <c r="J12" s="21"/>
      <c r="K12" s="21"/>
      <c r="L12" s="21"/>
      <c r="M12" s="21"/>
      <c r="N12" s="21"/>
      <c r="O12" s="21"/>
      <c r="P12" s="21"/>
      <c r="Q12" s="21"/>
      <c r="R12" s="21"/>
      <c r="S12" s="21"/>
      <c r="T12" s="21"/>
      <c r="U12" s="21"/>
      <c r="V12" s="21"/>
      <c r="W12" s="21"/>
      <c r="X12" s="21"/>
      <c r="Y12" s="882" t="s">
        <v>11</v>
      </c>
      <c r="Z12" s="882" t="s">
        <v>0</v>
      </c>
      <c r="AA12" s="882" t="s">
        <v>1</v>
      </c>
      <c r="AB12" s="882" t="s">
        <v>2</v>
      </c>
      <c r="AC12" s="882" t="s">
        <v>3</v>
      </c>
      <c r="AD12" s="882" t="s">
        <v>4</v>
      </c>
      <c r="AE12" s="882" t="s">
        <v>5</v>
      </c>
      <c r="AF12" s="882" t="s">
        <v>6</v>
      </c>
      <c r="AG12" s="882" t="s">
        <v>7</v>
      </c>
      <c r="AH12" s="882" t="s">
        <v>8</v>
      </c>
      <c r="AI12" s="882" t="s">
        <v>9</v>
      </c>
      <c r="AJ12" s="882" t="s">
        <v>10</v>
      </c>
    </row>
    <row r="13" spans="1:36" s="21" customFormat="1">
      <c r="A13" s="883"/>
      <c r="B13" s="365"/>
      <c r="C13" s="889"/>
      <c r="D13" s="564"/>
      <c r="E13" s="365"/>
      <c r="F13" s="885"/>
      <c r="G13" s="2144"/>
    </row>
    <row r="14" spans="1:36" s="21" customFormat="1">
      <c r="A14" s="883"/>
      <c r="B14" s="365"/>
      <c r="C14" s="889"/>
      <c r="D14" s="365"/>
      <c r="E14" s="365"/>
      <c r="F14" s="885"/>
      <c r="G14" s="2038"/>
    </row>
    <row r="15" spans="1:36" s="21" customFormat="1">
      <c r="A15" s="883"/>
      <c r="B15" s="564" t="s">
        <v>23</v>
      </c>
      <c r="C15" s="564"/>
      <c r="D15" s="365"/>
      <c r="E15" s="564"/>
      <c r="F15" s="885"/>
      <c r="G15" s="2038"/>
    </row>
    <row r="16" spans="1:36" s="21" customFormat="1">
      <c r="A16" s="883"/>
      <c r="B16" s="564"/>
      <c r="C16" s="564"/>
      <c r="D16" s="365"/>
      <c r="E16" s="564"/>
      <c r="F16" s="885"/>
      <c r="G16" s="2038"/>
    </row>
    <row r="17" spans="1:24">
      <c r="A17" s="883"/>
      <c r="B17" s="564"/>
      <c r="C17" s="564"/>
      <c r="D17" s="365"/>
      <c r="E17" s="564"/>
      <c r="F17" s="885"/>
      <c r="G17" s="2038"/>
      <c r="H17" s="21"/>
      <c r="I17" s="21"/>
      <c r="J17" s="21"/>
      <c r="K17" s="21"/>
      <c r="L17" s="21"/>
      <c r="M17" s="21"/>
      <c r="N17" s="21"/>
      <c r="O17" s="21"/>
      <c r="P17" s="21"/>
      <c r="Q17" s="21"/>
      <c r="R17" s="21"/>
      <c r="S17" s="21"/>
      <c r="T17" s="21"/>
      <c r="U17" s="21"/>
      <c r="V17" s="21"/>
      <c r="W17" s="21"/>
      <c r="X17" s="21"/>
    </row>
    <row r="18" spans="1:24">
      <c r="A18" s="883"/>
      <c r="B18" s="890" t="s">
        <v>24</v>
      </c>
      <c r="C18" s="891" t="s">
        <v>25</v>
      </c>
      <c r="D18" s="365"/>
      <c r="E18" s="564"/>
      <c r="F18" s="885"/>
      <c r="G18" s="2038"/>
      <c r="H18" s="21"/>
      <c r="I18" s="21"/>
      <c r="J18" s="21"/>
      <c r="K18" s="21"/>
      <c r="L18" s="21"/>
      <c r="M18" s="21"/>
      <c r="N18" s="21"/>
      <c r="O18" s="21"/>
      <c r="P18" s="21"/>
      <c r="Q18" s="21"/>
      <c r="R18" s="21"/>
      <c r="S18" s="21"/>
      <c r="T18" s="21"/>
      <c r="U18" s="21"/>
      <c r="V18" s="21"/>
      <c r="W18" s="21"/>
      <c r="X18" s="21"/>
    </row>
    <row r="19" spans="1:24">
      <c r="A19" s="883"/>
      <c r="B19" s="892" t="s">
        <v>26</v>
      </c>
      <c r="C19" s="893" t="s">
        <v>27</v>
      </c>
      <c r="D19" s="365"/>
      <c r="E19" s="564"/>
      <c r="F19" s="885"/>
      <c r="G19" s="2038"/>
      <c r="H19" s="21"/>
      <c r="I19" s="21"/>
      <c r="J19" s="21"/>
      <c r="K19" s="21"/>
      <c r="L19" s="21"/>
      <c r="M19" s="21"/>
      <c r="N19" s="21"/>
      <c r="O19" s="21"/>
      <c r="P19" s="21"/>
      <c r="Q19" s="21"/>
      <c r="R19" s="21"/>
      <c r="S19" s="21"/>
      <c r="T19" s="21"/>
      <c r="U19" s="21"/>
      <c r="V19" s="21"/>
      <c r="W19" s="21"/>
      <c r="X19" s="21"/>
    </row>
    <row r="20" spans="1:24">
      <c r="A20" s="883"/>
      <c r="B20" s="894" t="s">
        <v>28</v>
      </c>
      <c r="C20" s="895" t="s">
        <v>29</v>
      </c>
      <c r="D20" s="365"/>
      <c r="E20" s="564"/>
      <c r="F20" s="885"/>
      <c r="G20" s="2038"/>
      <c r="H20" s="21"/>
      <c r="I20" s="21"/>
      <c r="J20" s="21"/>
      <c r="K20" s="21"/>
      <c r="L20" s="21"/>
      <c r="M20" s="21"/>
      <c r="N20" s="21"/>
      <c r="O20" s="21"/>
      <c r="P20" s="21"/>
      <c r="Q20" s="21"/>
      <c r="R20" s="21"/>
      <c r="S20" s="21"/>
      <c r="T20" s="21"/>
      <c r="U20" s="21"/>
      <c r="V20" s="21"/>
      <c r="W20" s="21"/>
      <c r="X20" s="21"/>
    </row>
    <row r="21" spans="1:24">
      <c r="A21" s="883"/>
      <c r="B21" s="894" t="s">
        <v>30</v>
      </c>
      <c r="C21" s="895" t="s">
        <v>31</v>
      </c>
      <c r="D21" s="365"/>
      <c r="E21" s="564" t="s">
        <v>32</v>
      </c>
      <c r="F21" s="885"/>
      <c r="G21" s="2038"/>
      <c r="H21" s="21"/>
      <c r="I21" s="21"/>
      <c r="J21" s="21"/>
      <c r="K21" s="21"/>
      <c r="L21" s="21"/>
      <c r="M21" s="21"/>
      <c r="N21" s="21"/>
      <c r="O21" s="21"/>
      <c r="P21" s="21"/>
      <c r="Q21" s="21"/>
      <c r="R21" s="21"/>
      <c r="S21" s="21"/>
      <c r="T21" s="21"/>
      <c r="U21" s="21"/>
      <c r="V21" s="21"/>
      <c r="W21" s="21"/>
      <c r="X21" s="21"/>
    </row>
    <row r="22" spans="1:24">
      <c r="A22" s="883"/>
      <c r="B22" s="894" t="s">
        <v>33</v>
      </c>
      <c r="C22" s="895" t="s">
        <v>34</v>
      </c>
      <c r="D22" s="365"/>
      <c r="E22" s="564"/>
      <c r="F22" s="885"/>
      <c r="G22" s="2038"/>
      <c r="H22" s="21"/>
      <c r="I22" s="21"/>
      <c r="J22" s="21"/>
      <c r="K22" s="21"/>
      <c r="L22" s="21"/>
      <c r="M22" s="21"/>
      <c r="N22" s="21"/>
      <c r="O22" s="21"/>
      <c r="P22" s="21"/>
      <c r="Q22" s="21"/>
      <c r="R22" s="21"/>
      <c r="S22" s="21"/>
      <c r="T22" s="21"/>
      <c r="U22" s="21"/>
      <c r="V22" s="21"/>
      <c r="W22" s="21"/>
      <c r="X22" s="21"/>
    </row>
    <row r="23" spans="1:24">
      <c r="A23" s="883"/>
      <c r="B23" s="894" t="s">
        <v>35</v>
      </c>
      <c r="C23" s="895" t="s">
        <v>36</v>
      </c>
      <c r="D23" s="365"/>
      <c r="E23" s="564"/>
      <c r="F23" s="885"/>
      <c r="G23" s="2038"/>
      <c r="H23" s="21"/>
      <c r="I23" s="21"/>
      <c r="J23" s="21"/>
      <c r="K23" s="21"/>
      <c r="L23" s="21"/>
      <c r="M23" s="21"/>
      <c r="N23" s="21"/>
      <c r="O23" s="21"/>
      <c r="P23" s="21"/>
      <c r="Q23" s="21"/>
      <c r="R23" s="21"/>
      <c r="S23" s="21"/>
      <c r="T23" s="21"/>
      <c r="U23" s="21"/>
      <c r="V23" s="21"/>
      <c r="W23" s="21"/>
      <c r="X23" s="21"/>
    </row>
    <row r="24" spans="1:24">
      <c r="A24" s="883"/>
      <c r="B24" s="896" t="s">
        <v>37</v>
      </c>
      <c r="C24" s="897" t="s">
        <v>38</v>
      </c>
      <c r="D24" s="365"/>
      <c r="E24" s="564"/>
      <c r="F24" s="885"/>
      <c r="G24" s="2038"/>
      <c r="H24" s="21"/>
      <c r="I24" s="21"/>
      <c r="J24" s="21"/>
      <c r="K24" s="21"/>
      <c r="L24" s="21"/>
      <c r="M24" s="21"/>
      <c r="N24" s="21"/>
      <c r="O24" s="21"/>
      <c r="P24" s="21"/>
      <c r="Q24" s="21"/>
      <c r="R24" s="21"/>
      <c r="S24" s="21"/>
      <c r="T24" s="21"/>
      <c r="U24" s="21"/>
      <c r="V24" s="21"/>
      <c r="W24" s="21"/>
      <c r="X24" s="21"/>
    </row>
    <row r="25" spans="1:24">
      <c r="A25" s="883"/>
      <c r="B25" s="898" t="s">
        <v>39</v>
      </c>
      <c r="C25" s="899" t="s">
        <v>40</v>
      </c>
      <c r="D25" s="365"/>
      <c r="E25" s="564"/>
      <c r="F25" s="885"/>
      <c r="G25" s="2038"/>
      <c r="H25" s="21"/>
      <c r="I25" s="21"/>
      <c r="J25" s="21"/>
      <c r="K25" s="21"/>
      <c r="L25" s="21"/>
      <c r="M25" s="21"/>
      <c r="N25" s="21"/>
      <c r="O25" s="21"/>
      <c r="P25" s="21"/>
      <c r="Q25" s="21"/>
      <c r="R25" s="21"/>
      <c r="S25" s="21"/>
      <c r="T25" s="21"/>
      <c r="U25" s="21"/>
      <c r="V25" s="21"/>
      <c r="W25" s="21"/>
      <c r="X25" s="21"/>
    </row>
    <row r="26" spans="1:24">
      <c r="A26" s="883"/>
      <c r="B26" s="898" t="s">
        <v>41</v>
      </c>
      <c r="C26" s="899" t="s">
        <v>42</v>
      </c>
      <c r="D26" s="365"/>
      <c r="E26" s="564"/>
      <c r="F26" s="885"/>
      <c r="G26" s="2038"/>
      <c r="H26" s="21"/>
      <c r="I26" s="21"/>
      <c r="J26" s="21"/>
      <c r="K26" s="21"/>
      <c r="L26" s="21"/>
      <c r="M26" s="21"/>
      <c r="N26" s="21"/>
      <c r="O26" s="21"/>
      <c r="P26" s="21"/>
      <c r="Q26" s="21"/>
      <c r="R26" s="21"/>
      <c r="S26" s="21"/>
      <c r="T26" s="21"/>
      <c r="U26" s="21"/>
      <c r="V26" s="21"/>
      <c r="W26" s="21"/>
      <c r="X26" s="21"/>
    </row>
    <row r="27" spans="1:24">
      <c r="A27" s="883"/>
      <c r="B27" s="898" t="s">
        <v>43</v>
      </c>
      <c r="C27" s="899" t="s">
        <v>44</v>
      </c>
      <c r="D27" s="365"/>
      <c r="E27" s="564"/>
      <c r="F27" s="885"/>
      <c r="G27" s="2038"/>
      <c r="H27" s="21"/>
      <c r="I27" s="21"/>
      <c r="J27" s="21"/>
      <c r="K27" s="21"/>
      <c r="L27" s="21"/>
      <c r="M27" s="21"/>
      <c r="N27" s="21"/>
      <c r="O27" s="21"/>
      <c r="P27" s="21"/>
      <c r="Q27" s="21"/>
      <c r="R27" s="21"/>
      <c r="S27" s="21"/>
      <c r="T27" s="21"/>
      <c r="U27" s="21"/>
      <c r="V27" s="21"/>
      <c r="W27" s="21"/>
      <c r="X27" s="21"/>
    </row>
    <row r="28" spans="1:24">
      <c r="A28" s="883"/>
      <c r="B28" s="900" t="s">
        <v>45</v>
      </c>
      <c r="C28" s="899" t="s">
        <v>46</v>
      </c>
      <c r="D28" s="365"/>
      <c r="E28" s="365"/>
      <c r="F28" s="885"/>
      <c r="G28" s="2038"/>
      <c r="H28" s="21"/>
      <c r="I28" s="21"/>
      <c r="J28" s="21"/>
      <c r="K28" s="21"/>
      <c r="L28" s="21"/>
      <c r="M28" s="21"/>
      <c r="N28" s="21"/>
      <c r="O28" s="21"/>
      <c r="P28" s="21"/>
      <c r="Q28" s="21"/>
      <c r="R28" s="21"/>
      <c r="S28" s="21"/>
      <c r="T28" s="21"/>
      <c r="U28" s="21"/>
      <c r="V28" s="21"/>
      <c r="W28" s="21"/>
      <c r="X28" s="21"/>
    </row>
    <row r="29" spans="1:24">
      <c r="A29" s="883"/>
      <c r="B29" s="898" t="s">
        <v>47</v>
      </c>
      <c r="C29" s="899" t="s">
        <v>48</v>
      </c>
      <c r="D29" s="365"/>
      <c r="E29" s="564" t="s">
        <v>49</v>
      </c>
      <c r="F29" s="885"/>
      <c r="G29" s="21"/>
      <c r="H29" s="21"/>
      <c r="I29" s="21"/>
      <c r="J29" s="21"/>
      <c r="K29" s="21"/>
      <c r="L29" s="21"/>
      <c r="M29" s="21"/>
      <c r="N29" s="21"/>
      <c r="O29" s="21"/>
      <c r="P29" s="21"/>
      <c r="Q29" s="21"/>
      <c r="R29" s="21"/>
      <c r="S29" s="21"/>
      <c r="T29" s="21"/>
      <c r="U29" s="21"/>
      <c r="V29" s="21"/>
      <c r="W29" s="21"/>
      <c r="X29" s="21"/>
    </row>
    <row r="30" spans="1:24">
      <c r="A30" s="883"/>
      <c r="B30" s="898" t="s">
        <v>50</v>
      </c>
      <c r="C30" s="899" t="s">
        <v>51</v>
      </c>
      <c r="D30" s="365"/>
      <c r="E30" s="564"/>
      <c r="F30" s="885"/>
      <c r="G30" s="21"/>
      <c r="H30" s="21"/>
      <c r="I30" s="21"/>
      <c r="J30" s="21"/>
      <c r="K30" s="21"/>
      <c r="L30" s="21"/>
      <c r="M30" s="21"/>
      <c r="N30" s="21"/>
      <c r="O30" s="21"/>
      <c r="P30" s="21"/>
      <c r="Q30" s="21"/>
      <c r="R30" s="21"/>
      <c r="S30" s="21"/>
      <c r="T30" s="21"/>
      <c r="U30" s="21"/>
      <c r="V30" s="21"/>
      <c r="W30" s="21"/>
      <c r="X30" s="21"/>
    </row>
    <row r="31" spans="1:24">
      <c r="A31" s="883"/>
      <c r="B31" s="901" t="s">
        <v>52</v>
      </c>
      <c r="C31" s="902" t="s">
        <v>53</v>
      </c>
      <c r="D31" s="365"/>
      <c r="E31" s="564"/>
      <c r="F31" s="885"/>
      <c r="G31" s="21"/>
      <c r="H31" s="21"/>
      <c r="I31" s="21"/>
      <c r="J31" s="21"/>
      <c r="K31" s="21"/>
      <c r="L31" s="21"/>
      <c r="M31" s="21"/>
      <c r="N31" s="21"/>
      <c r="O31" s="21"/>
      <c r="P31" s="21"/>
      <c r="Q31" s="21"/>
      <c r="R31" s="21"/>
      <c r="S31" s="21"/>
      <c r="T31" s="21"/>
      <c r="U31" s="21"/>
      <c r="V31" s="21"/>
      <c r="W31" s="21"/>
      <c r="X31" s="21"/>
    </row>
    <row r="32" spans="1:24">
      <c r="A32" s="883"/>
      <c r="B32" s="903" t="s">
        <v>54</v>
      </c>
      <c r="C32" s="904" t="s">
        <v>55</v>
      </c>
      <c r="D32" s="365"/>
      <c r="E32" s="564"/>
      <c r="F32" s="885"/>
      <c r="G32" s="21"/>
      <c r="H32" s="21"/>
      <c r="I32" s="21"/>
      <c r="J32" s="21"/>
      <c r="K32" s="21"/>
      <c r="L32" s="21"/>
      <c r="M32" s="21"/>
      <c r="N32" s="21"/>
      <c r="O32" s="21"/>
      <c r="P32" s="21"/>
      <c r="Q32" s="21"/>
      <c r="R32" s="21"/>
      <c r="S32" s="21"/>
      <c r="T32" s="21"/>
      <c r="U32" s="21"/>
      <c r="V32" s="21"/>
      <c r="W32" s="21"/>
      <c r="X32" s="21"/>
    </row>
    <row r="33" spans="1:24" s="21" customFormat="1">
      <c r="A33" s="883"/>
      <c r="B33" s="365"/>
      <c r="C33" s="564"/>
      <c r="D33" s="365"/>
      <c r="E33" s="564"/>
      <c r="F33" s="885"/>
    </row>
    <row r="34" spans="1:24" s="21" customFormat="1">
      <c r="A34" s="883"/>
      <c r="B34" s="365"/>
      <c r="C34" s="365"/>
      <c r="D34" s="365"/>
      <c r="E34" s="365"/>
      <c r="F34" s="885"/>
    </row>
    <row r="35" spans="1:24">
      <c r="A35" s="905"/>
      <c r="B35" s="21"/>
      <c r="C35" s="21"/>
      <c r="D35" s="21"/>
      <c r="E35" s="21"/>
      <c r="F35" s="906"/>
      <c r="G35" s="21"/>
      <c r="H35" s="21"/>
      <c r="I35" s="21"/>
      <c r="J35" s="21"/>
      <c r="K35" s="21"/>
      <c r="L35" s="21"/>
      <c r="M35" s="21"/>
      <c r="N35" s="21"/>
      <c r="O35" s="21"/>
      <c r="P35" s="21"/>
      <c r="Q35" s="21"/>
      <c r="R35" s="21"/>
      <c r="S35" s="21"/>
      <c r="T35" s="21"/>
      <c r="U35" s="21"/>
      <c r="V35" s="21"/>
      <c r="W35" s="21"/>
      <c r="X35" s="21"/>
    </row>
    <row r="36" spans="1:24">
      <c r="A36" s="905"/>
      <c r="B36" s="21"/>
      <c r="C36" s="21"/>
      <c r="D36" s="21"/>
      <c r="E36" s="21"/>
      <c r="F36" s="906"/>
      <c r="G36" s="21"/>
      <c r="H36" s="21"/>
      <c r="I36" s="21"/>
      <c r="J36" s="21"/>
      <c r="K36" s="21"/>
      <c r="L36" s="21"/>
      <c r="M36" s="21"/>
      <c r="N36" s="21"/>
      <c r="O36" s="21"/>
      <c r="P36" s="21"/>
      <c r="Q36" s="21"/>
      <c r="R36" s="21"/>
      <c r="S36" s="21"/>
      <c r="T36" s="21"/>
      <c r="U36" s="21"/>
      <c r="V36" s="21"/>
      <c r="W36" s="21"/>
      <c r="X36" s="21"/>
    </row>
    <row r="37" spans="1:24">
      <c r="A37" s="905"/>
      <c r="B37" s="21"/>
      <c r="C37" s="21"/>
      <c r="D37" s="21"/>
      <c r="E37" s="21"/>
      <c r="F37" s="906"/>
      <c r="G37" s="21"/>
      <c r="H37" s="21"/>
      <c r="I37" s="21"/>
      <c r="J37" s="21"/>
      <c r="K37" s="21"/>
      <c r="L37" s="21"/>
      <c r="M37" s="21"/>
      <c r="N37" s="21"/>
      <c r="O37" s="21"/>
      <c r="P37" s="21"/>
      <c r="Q37" s="21"/>
      <c r="R37" s="21"/>
      <c r="S37" s="21"/>
      <c r="T37" s="21"/>
      <c r="U37" s="21"/>
      <c r="V37" s="21"/>
      <c r="W37" s="21"/>
      <c r="X37" s="21"/>
    </row>
    <row r="38" spans="1:24">
      <c r="A38" s="905"/>
      <c r="B38" s="21"/>
      <c r="C38" s="21"/>
      <c r="D38" s="21"/>
      <c r="E38" s="21"/>
      <c r="F38" s="906"/>
      <c r="G38" s="21"/>
      <c r="H38" s="21"/>
      <c r="I38" s="21"/>
      <c r="J38" s="21"/>
      <c r="K38" s="21"/>
      <c r="L38" s="21"/>
      <c r="M38" s="21"/>
      <c r="N38" s="21"/>
      <c r="O38" s="21"/>
      <c r="P38" s="21"/>
      <c r="Q38" s="21"/>
      <c r="R38" s="21"/>
      <c r="S38" s="21"/>
      <c r="T38" s="21"/>
      <c r="U38" s="21"/>
      <c r="V38" s="21"/>
      <c r="W38" s="21"/>
      <c r="X38" s="21"/>
    </row>
    <row r="39" spans="1:24">
      <c r="A39" s="905"/>
      <c r="B39" s="21"/>
      <c r="C39" s="21"/>
      <c r="D39" s="21"/>
      <c r="E39" s="21"/>
      <c r="F39" s="906"/>
      <c r="G39" s="21"/>
      <c r="H39" s="21"/>
      <c r="I39" s="21"/>
      <c r="J39" s="21"/>
      <c r="K39" s="21"/>
      <c r="L39" s="21"/>
      <c r="M39" s="21"/>
      <c r="N39" s="21"/>
      <c r="O39" s="21"/>
      <c r="P39" s="21"/>
      <c r="Q39" s="21"/>
      <c r="R39" s="21"/>
      <c r="S39" s="21"/>
      <c r="T39" s="21"/>
      <c r="U39" s="21"/>
      <c r="V39" s="21"/>
      <c r="W39" s="21"/>
      <c r="X39" s="21"/>
    </row>
    <row r="40" spans="1:24">
      <c r="A40" s="905"/>
      <c r="B40" s="21"/>
      <c r="C40" s="21"/>
      <c r="D40" s="21"/>
      <c r="E40" s="21"/>
      <c r="F40" s="906"/>
      <c r="G40" s="21"/>
      <c r="H40" s="21"/>
      <c r="I40" s="21"/>
      <c r="J40" s="21"/>
      <c r="K40" s="21"/>
      <c r="L40" s="21"/>
      <c r="M40" s="21"/>
      <c r="N40" s="21"/>
      <c r="O40" s="21"/>
      <c r="P40" s="21"/>
      <c r="Q40" s="21"/>
      <c r="R40" s="21"/>
      <c r="S40" s="21"/>
      <c r="T40" s="21"/>
      <c r="U40" s="21"/>
      <c r="V40" s="21"/>
      <c r="W40" s="21"/>
      <c r="X40" s="21"/>
    </row>
    <row r="41" spans="1:24">
      <c r="A41" s="905"/>
      <c r="B41" s="21"/>
      <c r="C41" s="21"/>
      <c r="D41" s="21"/>
      <c r="E41" s="21"/>
      <c r="F41" s="906"/>
      <c r="G41" s="21"/>
      <c r="H41" s="21"/>
      <c r="I41" s="21"/>
      <c r="J41" s="21"/>
      <c r="K41" s="21"/>
      <c r="L41" s="21"/>
      <c r="M41" s="21"/>
      <c r="N41" s="21"/>
      <c r="O41" s="21"/>
      <c r="P41" s="21"/>
      <c r="Q41" s="21"/>
      <c r="R41" s="21"/>
      <c r="S41" s="21"/>
      <c r="T41" s="21"/>
      <c r="U41" s="21"/>
      <c r="V41" s="21"/>
      <c r="W41" s="21"/>
      <c r="X41" s="21"/>
    </row>
    <row r="42" spans="1:24">
      <c r="A42" s="905"/>
      <c r="B42" s="21"/>
      <c r="C42" s="21"/>
      <c r="D42" s="21"/>
      <c r="E42" s="21"/>
      <c r="F42" s="906"/>
      <c r="G42" s="21"/>
      <c r="H42" s="21"/>
      <c r="I42" s="21"/>
      <c r="J42" s="21"/>
      <c r="K42" s="21"/>
      <c r="L42" s="21"/>
      <c r="M42" s="21"/>
      <c r="N42" s="21"/>
      <c r="O42" s="21"/>
      <c r="P42" s="21"/>
      <c r="Q42" s="21"/>
      <c r="R42" s="21"/>
      <c r="S42" s="21"/>
      <c r="T42" s="21"/>
      <c r="U42" s="21"/>
      <c r="V42" s="21"/>
      <c r="W42" s="21"/>
      <c r="X42" s="21"/>
    </row>
    <row r="43" spans="1:24">
      <c r="A43" s="905"/>
      <c r="B43" s="21"/>
      <c r="C43" s="21"/>
      <c r="D43" s="21"/>
      <c r="E43" s="21"/>
      <c r="F43" s="906"/>
      <c r="G43" s="21"/>
      <c r="H43" s="21"/>
      <c r="I43" s="21"/>
      <c r="J43" s="21"/>
      <c r="K43" s="21"/>
      <c r="L43" s="21"/>
      <c r="M43" s="21"/>
      <c r="N43" s="21"/>
      <c r="O43" s="21"/>
      <c r="P43" s="21"/>
      <c r="Q43" s="21"/>
      <c r="R43" s="21"/>
      <c r="S43" s="21"/>
      <c r="T43" s="21"/>
      <c r="U43" s="21"/>
      <c r="V43" s="21"/>
      <c r="W43" s="21"/>
      <c r="X43" s="21"/>
    </row>
    <row r="44" spans="1:24">
      <c r="A44" s="905"/>
      <c r="B44" s="21"/>
      <c r="C44" s="21"/>
      <c r="D44" s="21"/>
      <c r="E44" s="21"/>
      <c r="F44" s="906"/>
      <c r="G44" s="21"/>
      <c r="H44" s="21"/>
      <c r="I44" s="21"/>
      <c r="J44" s="21"/>
      <c r="K44" s="21"/>
      <c r="L44" s="21"/>
      <c r="M44" s="21"/>
      <c r="N44" s="21"/>
      <c r="O44" s="21"/>
      <c r="P44" s="21"/>
      <c r="Q44" s="21"/>
      <c r="R44" s="21"/>
      <c r="S44" s="21"/>
      <c r="T44" s="21"/>
      <c r="U44" s="21"/>
      <c r="V44" s="21"/>
      <c r="W44" s="21"/>
      <c r="X44" s="21"/>
    </row>
    <row r="45" spans="1:24">
      <c r="A45" s="905"/>
      <c r="B45" s="21"/>
      <c r="C45" s="21"/>
      <c r="D45" s="21"/>
      <c r="E45" s="21"/>
      <c r="F45" s="906"/>
      <c r="G45" s="21"/>
      <c r="H45" s="21"/>
      <c r="I45" s="21"/>
      <c r="J45" s="21"/>
      <c r="K45" s="21"/>
      <c r="L45" s="21"/>
      <c r="M45" s="21"/>
      <c r="N45" s="21"/>
      <c r="O45" s="21"/>
      <c r="P45" s="21"/>
      <c r="Q45" s="21"/>
      <c r="R45" s="21"/>
      <c r="S45" s="21"/>
      <c r="T45" s="21"/>
      <c r="U45" s="21"/>
      <c r="V45" s="21"/>
      <c r="W45" s="21"/>
      <c r="X45" s="21"/>
    </row>
    <row r="46" spans="1:24">
      <c r="A46" s="905"/>
      <c r="B46" s="21"/>
      <c r="C46" s="21"/>
      <c r="D46" s="21"/>
      <c r="E46" s="21"/>
      <c r="F46" s="906"/>
      <c r="G46" s="21"/>
      <c r="H46" s="21"/>
      <c r="I46" s="21"/>
      <c r="J46" s="21"/>
      <c r="K46" s="21"/>
      <c r="L46" s="21"/>
      <c r="M46" s="21"/>
      <c r="N46" s="21"/>
      <c r="O46" s="21"/>
      <c r="P46" s="21"/>
      <c r="Q46" s="21"/>
      <c r="R46" s="21"/>
      <c r="S46" s="21"/>
      <c r="T46" s="21"/>
      <c r="U46" s="21"/>
      <c r="V46" s="21"/>
      <c r="W46" s="21"/>
      <c r="X46" s="21"/>
    </row>
    <row r="47" spans="1:24">
      <c r="A47" s="905"/>
      <c r="B47" s="21"/>
      <c r="C47" s="21"/>
      <c r="D47" s="21"/>
      <c r="E47" s="21"/>
      <c r="F47" s="906"/>
      <c r="G47" s="21"/>
      <c r="H47" s="21"/>
      <c r="I47" s="21"/>
      <c r="J47" s="21"/>
      <c r="K47" s="21"/>
      <c r="L47" s="21"/>
      <c r="M47" s="21"/>
      <c r="N47" s="21"/>
      <c r="O47" s="21"/>
      <c r="P47" s="21"/>
      <c r="Q47" s="21"/>
      <c r="R47" s="21"/>
      <c r="S47" s="21"/>
      <c r="T47" s="21"/>
      <c r="U47" s="21"/>
      <c r="V47" s="21"/>
      <c r="W47" s="21"/>
      <c r="X47" s="21"/>
    </row>
    <row r="48" spans="1:24">
      <c r="A48" s="905"/>
      <c r="B48" s="21"/>
      <c r="C48" s="21"/>
      <c r="D48" s="21"/>
      <c r="E48" s="21"/>
      <c r="F48" s="906"/>
      <c r="G48" s="21"/>
      <c r="H48" s="21"/>
      <c r="I48" s="21"/>
      <c r="J48" s="21"/>
      <c r="K48" s="21"/>
      <c r="L48" s="21"/>
      <c r="M48" s="21"/>
      <c r="N48" s="21"/>
      <c r="O48" s="21"/>
      <c r="P48" s="21"/>
      <c r="Q48" s="21"/>
      <c r="R48" s="21"/>
      <c r="S48" s="21"/>
      <c r="T48" s="21"/>
      <c r="U48" s="21"/>
      <c r="V48" s="21"/>
      <c r="W48" s="21"/>
      <c r="X48" s="21"/>
    </row>
    <row r="49" spans="1:24">
      <c r="A49" s="905"/>
      <c r="B49" s="21"/>
      <c r="C49" s="21"/>
      <c r="D49" s="21"/>
      <c r="E49" s="21"/>
      <c r="F49" s="906"/>
      <c r="G49" s="21"/>
      <c r="H49" s="21"/>
      <c r="I49" s="21"/>
      <c r="J49" s="21"/>
      <c r="K49" s="21"/>
      <c r="L49" s="21"/>
      <c r="M49" s="21"/>
      <c r="N49" s="21"/>
      <c r="O49" s="21"/>
      <c r="P49" s="21"/>
      <c r="Q49" s="21"/>
      <c r="R49" s="21"/>
      <c r="S49" s="21"/>
      <c r="T49" s="21"/>
      <c r="U49" s="21"/>
      <c r="V49" s="21"/>
      <c r="W49" s="21"/>
      <c r="X49" s="21"/>
    </row>
    <row r="50" spans="1:24">
      <c r="A50" s="905"/>
      <c r="B50" s="21"/>
      <c r="C50" s="21"/>
      <c r="D50" s="21"/>
      <c r="E50" s="21"/>
      <c r="F50" s="906"/>
      <c r="G50" s="21"/>
      <c r="H50" s="21"/>
      <c r="I50" s="21"/>
      <c r="J50" s="21"/>
      <c r="K50" s="21"/>
      <c r="L50" s="21"/>
      <c r="M50" s="21"/>
      <c r="N50" s="21"/>
      <c r="O50" s="21"/>
      <c r="P50" s="21"/>
      <c r="Q50" s="21"/>
      <c r="R50" s="21"/>
      <c r="S50" s="21"/>
      <c r="T50" s="21"/>
      <c r="U50" s="21"/>
      <c r="V50" s="21"/>
      <c r="W50" s="21"/>
      <c r="X50" s="21"/>
    </row>
    <row r="51" spans="1:24">
      <c r="A51" s="905"/>
      <c r="B51" s="21"/>
      <c r="C51" s="21"/>
      <c r="D51" s="21"/>
      <c r="E51" s="21"/>
      <c r="F51" s="906"/>
      <c r="G51" s="21"/>
      <c r="H51" s="21"/>
      <c r="I51" s="21"/>
      <c r="J51" s="21"/>
      <c r="K51" s="21"/>
      <c r="L51" s="21"/>
      <c r="M51" s="21"/>
      <c r="N51" s="21"/>
      <c r="O51" s="21"/>
      <c r="P51" s="21"/>
      <c r="Q51" s="21"/>
      <c r="R51" s="21"/>
      <c r="S51" s="21"/>
      <c r="T51" s="21"/>
      <c r="U51" s="21"/>
      <c r="V51" s="21"/>
      <c r="W51" s="21"/>
      <c r="X51" s="21"/>
    </row>
    <row r="52" spans="1:24">
      <c r="A52" s="905"/>
      <c r="B52" s="21"/>
      <c r="C52" s="21"/>
      <c r="D52" s="21"/>
      <c r="E52" s="21"/>
      <c r="F52" s="906"/>
      <c r="G52" s="21"/>
      <c r="H52" s="21"/>
      <c r="I52" s="21"/>
      <c r="J52" s="21"/>
      <c r="K52" s="21"/>
      <c r="L52" s="21"/>
      <c r="M52" s="21"/>
      <c r="N52" s="21"/>
      <c r="O52" s="21"/>
      <c r="P52" s="21"/>
      <c r="Q52" s="21"/>
      <c r="R52" s="21"/>
      <c r="S52" s="21"/>
      <c r="T52" s="21"/>
      <c r="U52" s="21"/>
      <c r="V52" s="21"/>
      <c r="W52" s="21"/>
      <c r="X52" s="21"/>
    </row>
    <row r="53" spans="1:24">
      <c r="A53" s="905"/>
      <c r="B53" s="21"/>
      <c r="C53" s="21"/>
      <c r="D53" s="21"/>
      <c r="E53" s="21"/>
      <c r="F53" s="906"/>
      <c r="G53" s="21"/>
      <c r="H53" s="21"/>
      <c r="I53" s="21"/>
      <c r="J53" s="21"/>
      <c r="K53" s="21"/>
      <c r="L53" s="21"/>
      <c r="M53" s="21"/>
      <c r="N53" s="21"/>
      <c r="O53" s="21"/>
      <c r="P53" s="21"/>
      <c r="Q53" s="21"/>
      <c r="R53" s="21"/>
      <c r="S53" s="21"/>
      <c r="T53" s="21"/>
      <c r="U53" s="21"/>
      <c r="V53" s="21"/>
      <c r="W53" s="21"/>
      <c r="X53" s="21"/>
    </row>
    <row r="54" spans="1:24">
      <c r="A54" s="905"/>
      <c r="B54" s="21"/>
      <c r="C54" s="21"/>
      <c r="D54" s="21"/>
      <c r="E54" s="21"/>
      <c r="F54" s="906"/>
      <c r="G54" s="21"/>
      <c r="H54" s="21"/>
      <c r="I54" s="21"/>
      <c r="J54" s="21"/>
      <c r="K54" s="21"/>
      <c r="L54" s="21"/>
      <c r="M54" s="21"/>
      <c r="N54" s="21"/>
      <c r="O54" s="21"/>
      <c r="P54" s="21"/>
      <c r="Q54" s="21"/>
      <c r="R54" s="21"/>
      <c r="S54" s="21"/>
      <c r="T54" s="21"/>
      <c r="U54" s="21"/>
      <c r="V54" s="21"/>
      <c r="W54" s="21"/>
      <c r="X54" s="21"/>
    </row>
    <row r="55" spans="1:24">
      <c r="A55" s="905"/>
      <c r="B55" s="21"/>
      <c r="C55" s="21"/>
      <c r="D55" s="21"/>
      <c r="E55" s="21"/>
      <c r="F55" s="906"/>
      <c r="G55" s="21"/>
      <c r="H55" s="21"/>
      <c r="I55" s="21"/>
      <c r="J55" s="21"/>
      <c r="K55" s="21"/>
      <c r="L55" s="21"/>
      <c r="M55" s="21"/>
      <c r="N55" s="21"/>
      <c r="O55" s="21"/>
      <c r="P55" s="21"/>
      <c r="Q55" s="21"/>
      <c r="R55" s="21"/>
      <c r="S55" s="21"/>
      <c r="T55" s="21"/>
      <c r="U55" s="21"/>
      <c r="V55" s="21"/>
      <c r="W55" s="21"/>
      <c r="X55" s="21"/>
    </row>
    <row r="56" spans="1:24">
      <c r="A56" s="905"/>
      <c r="B56" s="21"/>
      <c r="C56" s="21"/>
      <c r="D56" s="21"/>
      <c r="E56" s="21"/>
      <c r="F56" s="906"/>
      <c r="G56" s="21"/>
      <c r="H56" s="21"/>
      <c r="I56" s="21"/>
      <c r="J56" s="21"/>
      <c r="K56" s="21"/>
      <c r="L56" s="21"/>
      <c r="M56" s="21"/>
      <c r="N56" s="21"/>
      <c r="O56" s="21"/>
      <c r="P56" s="21"/>
      <c r="Q56" s="21"/>
      <c r="R56" s="21"/>
      <c r="S56" s="21"/>
      <c r="T56" s="21"/>
      <c r="U56" s="21"/>
      <c r="V56" s="21"/>
      <c r="W56" s="21"/>
      <c r="X56" s="21"/>
    </row>
    <row r="57" spans="1:24">
      <c r="A57" s="905"/>
      <c r="B57" s="21"/>
      <c r="C57" s="21"/>
      <c r="D57" s="21"/>
      <c r="E57" s="21"/>
      <c r="F57" s="906"/>
      <c r="G57" s="21"/>
      <c r="H57" s="21"/>
      <c r="I57" s="21"/>
      <c r="J57" s="21"/>
      <c r="K57" s="21"/>
      <c r="L57" s="21"/>
      <c r="M57" s="21"/>
      <c r="N57" s="21"/>
      <c r="O57" s="21"/>
      <c r="P57" s="21"/>
      <c r="Q57" s="21"/>
      <c r="R57" s="21"/>
      <c r="S57" s="21"/>
      <c r="T57" s="21"/>
      <c r="U57" s="21"/>
      <c r="V57" s="21"/>
      <c r="W57" s="21"/>
      <c r="X57" s="21"/>
    </row>
    <row r="58" spans="1:24">
      <c r="A58" s="905"/>
      <c r="B58" s="21"/>
      <c r="C58" s="21"/>
      <c r="D58" s="21"/>
      <c r="E58" s="21"/>
      <c r="F58" s="906"/>
      <c r="G58" s="21"/>
      <c r="H58" s="21"/>
      <c r="I58" s="21"/>
      <c r="J58" s="21"/>
      <c r="K58" s="21"/>
      <c r="L58" s="21"/>
      <c r="M58" s="21"/>
      <c r="N58" s="21"/>
      <c r="O58" s="21"/>
      <c r="P58" s="21"/>
      <c r="Q58" s="21"/>
      <c r="R58" s="21"/>
      <c r="S58" s="21"/>
      <c r="T58" s="21"/>
      <c r="U58" s="21"/>
      <c r="V58" s="21"/>
      <c r="W58" s="21"/>
      <c r="X58" s="21"/>
    </row>
    <row r="59" spans="1:24">
      <c r="A59" s="905"/>
      <c r="B59" s="21"/>
      <c r="C59" s="21"/>
      <c r="D59" s="21"/>
      <c r="E59" s="21"/>
      <c r="F59" s="906"/>
      <c r="G59" s="21"/>
      <c r="H59" s="21"/>
      <c r="I59" s="21"/>
      <c r="J59" s="21"/>
      <c r="K59" s="21"/>
      <c r="L59" s="21"/>
      <c r="M59" s="21"/>
      <c r="N59" s="21"/>
      <c r="O59" s="21"/>
      <c r="P59" s="21"/>
      <c r="Q59" s="21"/>
      <c r="R59" s="21"/>
      <c r="S59" s="21"/>
      <c r="T59" s="21"/>
      <c r="U59" s="21"/>
      <c r="V59" s="21"/>
      <c r="W59" s="21"/>
      <c r="X59" s="21"/>
    </row>
    <row r="60" spans="1:24">
      <c r="A60" s="905"/>
      <c r="B60" s="21"/>
      <c r="C60" s="21"/>
      <c r="D60" s="21"/>
      <c r="E60" s="21"/>
      <c r="F60" s="906"/>
      <c r="G60" s="21"/>
      <c r="H60" s="21"/>
      <c r="I60" s="21"/>
      <c r="J60" s="21"/>
      <c r="K60" s="21"/>
      <c r="L60" s="21"/>
      <c r="M60" s="21"/>
      <c r="N60" s="21"/>
      <c r="O60" s="21"/>
      <c r="P60" s="21"/>
      <c r="Q60" s="21"/>
      <c r="R60" s="21"/>
      <c r="S60" s="21"/>
      <c r="T60" s="21"/>
      <c r="U60" s="21"/>
      <c r="V60" s="21"/>
      <c r="W60" s="21"/>
      <c r="X60" s="21"/>
    </row>
    <row r="61" spans="1:24">
      <c r="A61" s="905"/>
      <c r="B61" s="21"/>
      <c r="C61" s="21"/>
      <c r="D61" s="21"/>
      <c r="E61" s="21"/>
      <c r="F61" s="906"/>
      <c r="G61" s="21"/>
      <c r="H61" s="21"/>
      <c r="I61" s="21"/>
      <c r="J61" s="21"/>
      <c r="K61" s="21"/>
      <c r="L61" s="21"/>
      <c r="M61" s="21"/>
      <c r="N61" s="21"/>
      <c r="O61" s="21"/>
      <c r="P61" s="21"/>
      <c r="Q61" s="21"/>
      <c r="R61" s="21"/>
      <c r="S61" s="21"/>
      <c r="T61" s="21"/>
      <c r="U61" s="21"/>
      <c r="V61" s="21"/>
      <c r="W61" s="21"/>
      <c r="X61" s="21"/>
    </row>
    <row r="62" spans="1:24">
      <c r="A62" s="905"/>
      <c r="B62" s="21"/>
      <c r="C62" s="21"/>
      <c r="D62" s="21"/>
      <c r="E62" s="21"/>
      <c r="F62" s="906"/>
      <c r="G62" s="21"/>
      <c r="H62" s="21"/>
      <c r="I62" s="21"/>
      <c r="J62" s="21"/>
      <c r="K62" s="21"/>
      <c r="L62" s="21"/>
      <c r="M62" s="21"/>
      <c r="N62" s="21"/>
      <c r="O62" s="21"/>
      <c r="P62" s="21"/>
      <c r="Q62" s="21"/>
      <c r="R62" s="21"/>
      <c r="S62" s="21"/>
      <c r="T62" s="21"/>
      <c r="U62" s="21"/>
      <c r="V62" s="21"/>
      <c r="W62" s="21"/>
      <c r="X62" s="21"/>
    </row>
    <row r="63" spans="1:24">
      <c r="A63" s="905"/>
      <c r="B63" s="21"/>
      <c r="C63" s="21"/>
      <c r="D63" s="21"/>
      <c r="E63" s="21"/>
      <c r="F63" s="906"/>
      <c r="G63" s="21"/>
      <c r="H63" s="21"/>
      <c r="I63" s="21"/>
      <c r="J63" s="21"/>
      <c r="K63" s="21"/>
      <c r="L63" s="21"/>
      <c r="M63" s="21"/>
      <c r="N63" s="21"/>
      <c r="O63" s="21"/>
      <c r="P63" s="21"/>
      <c r="Q63" s="21"/>
      <c r="R63" s="21"/>
      <c r="S63" s="21"/>
      <c r="T63" s="21"/>
      <c r="U63" s="21"/>
      <c r="V63" s="21"/>
      <c r="W63" s="21"/>
      <c r="X63" s="21"/>
    </row>
    <row r="64" spans="1:24">
      <c r="A64" s="905"/>
      <c r="B64" s="21"/>
      <c r="C64" s="21"/>
      <c r="D64" s="21"/>
      <c r="E64" s="21"/>
      <c r="F64" s="906"/>
      <c r="G64" s="21"/>
      <c r="H64" s="21"/>
      <c r="I64" s="21"/>
      <c r="J64" s="21"/>
      <c r="K64" s="21"/>
      <c r="L64" s="21"/>
      <c r="M64" s="21"/>
      <c r="N64" s="21"/>
      <c r="O64" s="21"/>
      <c r="P64" s="21"/>
      <c r="Q64" s="21"/>
      <c r="R64" s="21"/>
      <c r="S64" s="21"/>
      <c r="T64" s="21"/>
      <c r="U64" s="21"/>
      <c r="V64" s="21"/>
      <c r="W64" s="21"/>
      <c r="X64" s="21"/>
    </row>
    <row r="65" spans="1:24">
      <c r="A65" s="905"/>
      <c r="B65" s="21"/>
      <c r="C65" s="21"/>
      <c r="D65" s="21"/>
      <c r="E65" s="21"/>
      <c r="F65" s="906"/>
      <c r="G65" s="21"/>
      <c r="H65" s="21"/>
      <c r="I65" s="21"/>
      <c r="J65" s="21"/>
      <c r="K65" s="21"/>
      <c r="L65" s="21"/>
      <c r="M65" s="21"/>
      <c r="N65" s="21"/>
      <c r="O65" s="21"/>
      <c r="P65" s="21"/>
      <c r="Q65" s="21"/>
      <c r="R65" s="21"/>
      <c r="S65" s="21"/>
      <c r="T65" s="21"/>
      <c r="U65" s="21"/>
      <c r="V65" s="21"/>
      <c r="W65" s="21"/>
      <c r="X65" s="21"/>
    </row>
    <row r="66" spans="1:24">
      <c r="A66" s="905"/>
      <c r="B66" s="21"/>
      <c r="C66" s="21"/>
      <c r="D66" s="21"/>
      <c r="E66" s="21"/>
      <c r="F66" s="906"/>
      <c r="G66" s="21"/>
      <c r="H66" s="21"/>
      <c r="I66" s="21"/>
      <c r="J66" s="21"/>
      <c r="K66" s="21"/>
      <c r="L66" s="21"/>
      <c r="M66" s="21"/>
      <c r="N66" s="21"/>
      <c r="O66" s="21"/>
      <c r="P66" s="21"/>
      <c r="Q66" s="21"/>
      <c r="R66" s="21"/>
      <c r="S66" s="21"/>
      <c r="T66" s="21"/>
      <c r="U66" s="21"/>
      <c r="V66" s="21"/>
      <c r="W66" s="21"/>
      <c r="X66" s="21"/>
    </row>
    <row r="67" spans="1:24">
      <c r="A67" s="905"/>
      <c r="B67" s="21"/>
      <c r="C67" s="21"/>
      <c r="D67" s="21"/>
      <c r="E67" s="21"/>
      <c r="F67" s="906"/>
      <c r="G67" s="21"/>
      <c r="H67" s="21"/>
      <c r="I67" s="21"/>
      <c r="J67" s="21"/>
      <c r="K67" s="21"/>
      <c r="L67" s="21"/>
      <c r="M67" s="21"/>
      <c r="N67" s="21"/>
      <c r="O67" s="21"/>
      <c r="P67" s="21"/>
      <c r="Q67" s="21"/>
      <c r="R67" s="21"/>
      <c r="S67" s="21"/>
      <c r="T67" s="21"/>
      <c r="U67" s="21"/>
      <c r="V67" s="21"/>
      <c r="W67" s="21"/>
      <c r="X67" s="21"/>
    </row>
    <row r="68" spans="1:24">
      <c r="A68" s="905"/>
      <c r="B68" s="21"/>
      <c r="C68" s="21"/>
      <c r="D68" s="21"/>
      <c r="E68" s="21"/>
      <c r="F68" s="906"/>
      <c r="G68" s="21"/>
      <c r="H68" s="21"/>
      <c r="I68" s="21"/>
      <c r="J68" s="21"/>
      <c r="K68" s="21"/>
      <c r="L68" s="21"/>
      <c r="M68" s="21"/>
      <c r="N68" s="21"/>
      <c r="O68" s="21"/>
      <c r="P68" s="21"/>
      <c r="Q68" s="21"/>
      <c r="R68" s="21"/>
      <c r="S68" s="21"/>
      <c r="T68" s="21"/>
      <c r="U68" s="21"/>
      <c r="V68" s="21"/>
      <c r="W68" s="21"/>
      <c r="X68" s="21"/>
    </row>
    <row r="69" spans="1:24">
      <c r="A69" s="905"/>
      <c r="B69" s="21"/>
      <c r="C69" s="21"/>
      <c r="D69" s="21"/>
      <c r="E69" s="21"/>
      <c r="F69" s="906"/>
      <c r="G69" s="21"/>
      <c r="H69" s="21"/>
      <c r="I69" s="21"/>
      <c r="J69" s="21"/>
      <c r="K69" s="21"/>
      <c r="L69" s="21"/>
      <c r="M69" s="21"/>
      <c r="N69" s="21"/>
      <c r="O69" s="21"/>
      <c r="P69" s="21"/>
      <c r="Q69" s="21"/>
      <c r="R69" s="21"/>
      <c r="S69" s="21"/>
      <c r="T69" s="21"/>
      <c r="U69" s="21"/>
      <c r="V69" s="21"/>
      <c r="W69" s="21"/>
      <c r="X69" s="21"/>
    </row>
    <row r="70" spans="1:24">
      <c r="A70" s="905"/>
      <c r="B70" s="21"/>
      <c r="C70" s="21"/>
      <c r="D70" s="21"/>
      <c r="E70" s="21"/>
      <c r="F70" s="906"/>
      <c r="G70" s="21"/>
      <c r="H70" s="21"/>
      <c r="I70" s="21"/>
      <c r="J70" s="21"/>
      <c r="K70" s="21"/>
      <c r="L70" s="21"/>
      <c r="M70" s="21"/>
      <c r="N70" s="21"/>
      <c r="O70" s="21"/>
      <c r="P70" s="21"/>
      <c r="Q70" s="21"/>
      <c r="R70" s="21"/>
      <c r="S70" s="21"/>
      <c r="T70" s="21"/>
      <c r="U70" s="21"/>
      <c r="V70" s="21"/>
      <c r="W70" s="21"/>
      <c r="X70" s="21"/>
    </row>
    <row r="71" spans="1:24">
      <c r="A71" s="905"/>
      <c r="B71" s="21"/>
      <c r="C71" s="21"/>
      <c r="D71" s="21"/>
      <c r="E71" s="21"/>
      <c r="F71" s="906"/>
      <c r="G71" s="21"/>
      <c r="H71" s="21"/>
      <c r="I71" s="21"/>
      <c r="J71" s="21"/>
      <c r="K71" s="21"/>
      <c r="L71" s="21"/>
      <c r="M71" s="21"/>
      <c r="N71" s="21"/>
      <c r="O71" s="21"/>
      <c r="P71" s="21"/>
      <c r="Q71" s="21"/>
      <c r="R71" s="21"/>
      <c r="S71" s="21"/>
      <c r="T71" s="21"/>
      <c r="U71" s="21"/>
      <c r="V71" s="21"/>
      <c r="W71" s="21"/>
      <c r="X71" s="21"/>
    </row>
    <row r="72" spans="1:24">
      <c r="A72" s="905"/>
      <c r="B72" s="21"/>
      <c r="C72" s="21"/>
      <c r="D72" s="21"/>
      <c r="E72" s="21"/>
      <c r="F72" s="906"/>
      <c r="G72" s="21"/>
      <c r="H72" s="21"/>
      <c r="I72" s="21"/>
      <c r="J72" s="21"/>
      <c r="K72" s="21"/>
      <c r="L72" s="21"/>
      <c r="M72" s="21"/>
      <c r="N72" s="21"/>
      <c r="O72" s="21"/>
      <c r="P72" s="21"/>
      <c r="Q72" s="21"/>
      <c r="R72" s="21"/>
      <c r="S72" s="21"/>
      <c r="T72" s="21"/>
      <c r="U72" s="21"/>
      <c r="V72" s="21"/>
      <c r="W72" s="21"/>
      <c r="X72" s="21"/>
    </row>
    <row r="73" spans="1:24">
      <c r="A73" s="905"/>
      <c r="B73" s="21"/>
      <c r="C73" s="21"/>
      <c r="D73" s="21"/>
      <c r="E73" s="21"/>
      <c r="F73" s="906"/>
      <c r="G73" s="21"/>
      <c r="H73" s="21"/>
      <c r="I73" s="21"/>
      <c r="J73" s="21"/>
      <c r="K73" s="21"/>
      <c r="L73" s="21"/>
      <c r="M73" s="21"/>
      <c r="N73" s="21"/>
      <c r="O73" s="21"/>
      <c r="P73" s="21"/>
      <c r="Q73" s="21"/>
      <c r="R73" s="21"/>
      <c r="S73" s="21"/>
      <c r="T73" s="21"/>
      <c r="U73" s="21"/>
      <c r="V73" s="21"/>
      <c r="W73" s="21"/>
      <c r="X73" s="21"/>
    </row>
    <row r="74" spans="1:24">
      <c r="A74" s="905"/>
      <c r="B74" s="21"/>
      <c r="C74" s="21"/>
      <c r="D74" s="21"/>
      <c r="E74" s="21"/>
      <c r="F74" s="906"/>
      <c r="G74" s="21"/>
      <c r="H74" s="21"/>
      <c r="I74" s="21"/>
      <c r="J74" s="21"/>
      <c r="K74" s="21"/>
      <c r="L74" s="21"/>
      <c r="M74" s="21"/>
      <c r="N74" s="21"/>
      <c r="O74" s="21"/>
      <c r="P74" s="21"/>
      <c r="Q74" s="21"/>
      <c r="R74" s="21"/>
      <c r="S74" s="21"/>
      <c r="T74" s="21"/>
      <c r="U74" s="21"/>
      <c r="V74" s="21"/>
      <c r="W74" s="21"/>
      <c r="X74" s="21"/>
    </row>
    <row r="75" spans="1:24" hidden="1">
      <c r="A75" s="905"/>
      <c r="B75" s="21"/>
      <c r="C75" s="21"/>
      <c r="D75" s="21"/>
      <c r="E75" s="21"/>
      <c r="F75" s="906"/>
      <c r="G75" s="21"/>
      <c r="H75" s="21"/>
      <c r="I75" s="21"/>
      <c r="J75" s="21"/>
      <c r="K75" s="21"/>
      <c r="L75" s="21"/>
      <c r="M75" s="21"/>
      <c r="N75" s="21"/>
      <c r="O75" s="21"/>
      <c r="P75" s="21"/>
      <c r="Q75" s="21"/>
      <c r="R75" s="21"/>
      <c r="S75" s="21"/>
      <c r="T75" s="21"/>
      <c r="U75" s="21"/>
      <c r="V75" s="21"/>
      <c r="W75" s="21"/>
      <c r="X75" s="21"/>
    </row>
    <row r="76" spans="1:24" hidden="1">
      <c r="A76" s="905"/>
      <c r="B76" s="21"/>
      <c r="C76" s="21"/>
      <c r="D76" s="21"/>
      <c r="E76" s="21"/>
      <c r="F76" s="906"/>
      <c r="G76" s="21"/>
      <c r="H76" s="21"/>
      <c r="I76" s="21"/>
      <c r="J76" s="21"/>
      <c r="K76" s="21"/>
      <c r="L76" s="21"/>
      <c r="M76" s="21"/>
      <c r="N76" s="21"/>
      <c r="O76" s="21"/>
      <c r="P76" s="21"/>
      <c r="Q76" s="21"/>
      <c r="R76" s="21"/>
      <c r="S76" s="21"/>
      <c r="T76" s="21"/>
      <c r="U76" s="21"/>
      <c r="V76" s="21"/>
      <c r="W76" s="21"/>
      <c r="X76" s="21"/>
    </row>
    <row r="77" spans="1:24" hidden="1">
      <c r="A77" s="905"/>
      <c r="B77" s="21"/>
      <c r="C77" s="21"/>
      <c r="D77" s="21"/>
      <c r="E77" s="21"/>
      <c r="F77" s="906"/>
      <c r="G77" s="21"/>
      <c r="H77" s="21"/>
      <c r="I77" s="21"/>
      <c r="J77" s="21"/>
      <c r="K77" s="21"/>
      <c r="L77" s="21"/>
      <c r="M77" s="21"/>
      <c r="N77" s="21"/>
      <c r="O77" s="21"/>
      <c r="P77" s="21"/>
      <c r="Q77" s="21"/>
      <c r="R77" s="21"/>
      <c r="S77" s="21"/>
      <c r="T77" s="21"/>
      <c r="U77" s="21"/>
      <c r="V77" s="21"/>
      <c r="W77" s="21"/>
      <c r="X77" s="21"/>
    </row>
    <row r="78" spans="1:24" hidden="1">
      <c r="A78" s="905"/>
      <c r="B78" s="21"/>
      <c r="C78" s="21"/>
      <c r="D78" s="21"/>
      <c r="E78" s="21"/>
      <c r="F78" s="906"/>
      <c r="G78" s="21"/>
      <c r="H78" s="21"/>
      <c r="I78" s="21"/>
      <c r="J78" s="21"/>
      <c r="K78" s="21"/>
      <c r="L78" s="21"/>
      <c r="M78" s="21"/>
      <c r="N78" s="21"/>
      <c r="O78" s="21"/>
      <c r="P78" s="21"/>
      <c r="Q78" s="21"/>
      <c r="R78" s="21"/>
      <c r="S78" s="21"/>
      <c r="T78" s="21"/>
      <c r="U78" s="21"/>
      <c r="V78" s="21"/>
      <c r="W78" s="21"/>
      <c r="X78" s="21"/>
    </row>
    <row r="79" spans="1:24" hidden="1">
      <c r="A79" s="905"/>
      <c r="B79" s="21"/>
      <c r="C79" s="21"/>
      <c r="D79" s="21"/>
      <c r="E79" s="21"/>
      <c r="F79" s="906"/>
      <c r="G79" s="21"/>
      <c r="H79" s="21"/>
      <c r="I79" s="21"/>
      <c r="J79" s="21"/>
      <c r="K79" s="21"/>
      <c r="L79" s="21"/>
      <c r="M79" s="21"/>
      <c r="N79" s="21"/>
      <c r="O79" s="21"/>
      <c r="P79" s="21"/>
      <c r="Q79" s="21"/>
      <c r="R79" s="21"/>
      <c r="S79" s="21"/>
      <c r="T79" s="21"/>
      <c r="U79" s="21"/>
      <c r="V79" s="21"/>
      <c r="W79" s="21"/>
      <c r="X79" s="21"/>
    </row>
    <row r="80" spans="1:24" hidden="1">
      <c r="A80" s="905"/>
      <c r="B80" s="21"/>
      <c r="C80" s="21"/>
      <c r="D80" s="21"/>
      <c r="E80" s="21"/>
      <c r="F80" s="906"/>
      <c r="G80" s="21"/>
      <c r="H80" s="21"/>
      <c r="I80" s="21"/>
      <c r="J80" s="21"/>
      <c r="K80" s="21"/>
      <c r="L80" s="21"/>
      <c r="M80" s="21"/>
      <c r="N80" s="21"/>
      <c r="O80" s="21"/>
      <c r="P80" s="21"/>
      <c r="Q80" s="21"/>
      <c r="R80" s="21"/>
      <c r="S80" s="21"/>
      <c r="T80" s="21"/>
      <c r="U80" s="21"/>
      <c r="V80" s="21"/>
      <c r="W80" s="21"/>
      <c r="X80" s="21"/>
    </row>
    <row r="81" spans="1:24" hidden="1">
      <c r="A81" s="905"/>
      <c r="B81" s="21"/>
      <c r="C81" s="21"/>
      <c r="D81" s="21"/>
      <c r="E81" s="21"/>
      <c r="F81" s="906"/>
      <c r="G81" s="21"/>
      <c r="H81" s="21"/>
      <c r="I81" s="21"/>
      <c r="J81" s="21"/>
      <c r="K81" s="21"/>
      <c r="L81" s="21"/>
      <c r="M81" s="21"/>
      <c r="N81" s="21"/>
      <c r="O81" s="21"/>
      <c r="P81" s="21"/>
      <c r="Q81" s="21"/>
      <c r="R81" s="21"/>
      <c r="S81" s="21"/>
      <c r="T81" s="21"/>
      <c r="U81" s="21"/>
      <c r="V81" s="21"/>
      <c r="W81" s="21"/>
      <c r="X81" s="21"/>
    </row>
    <row r="82" spans="1:24" hidden="1">
      <c r="A82" s="905"/>
      <c r="B82" s="21"/>
      <c r="C82" s="21"/>
      <c r="D82" s="21"/>
      <c r="E82" s="21"/>
      <c r="F82" s="906"/>
      <c r="G82" s="21"/>
      <c r="H82" s="21"/>
      <c r="I82" s="21"/>
      <c r="J82" s="21"/>
      <c r="K82" s="21"/>
      <c r="L82" s="21"/>
      <c r="M82" s="21"/>
      <c r="N82" s="21"/>
      <c r="O82" s="21"/>
      <c r="P82" s="21"/>
      <c r="Q82" s="21"/>
      <c r="R82" s="21"/>
      <c r="S82" s="21"/>
      <c r="T82" s="21"/>
      <c r="U82" s="21"/>
      <c r="V82" s="21"/>
      <c r="W82" s="21"/>
      <c r="X82" s="21"/>
    </row>
    <row r="83" spans="1:24" hidden="1">
      <c r="A83" s="905"/>
      <c r="B83" s="21"/>
      <c r="C83" s="21"/>
      <c r="D83" s="21"/>
      <c r="E83" s="21"/>
      <c r="F83" s="906"/>
      <c r="G83" s="21"/>
      <c r="H83" s="21"/>
      <c r="I83" s="21"/>
      <c r="J83" s="21"/>
      <c r="K83" s="21"/>
      <c r="L83" s="21"/>
      <c r="M83" s="21"/>
      <c r="N83" s="21"/>
      <c r="O83" s="21"/>
      <c r="P83" s="21"/>
      <c r="Q83" s="21"/>
      <c r="R83" s="21"/>
      <c r="S83" s="21"/>
      <c r="T83" s="21"/>
      <c r="U83" s="21"/>
      <c r="V83" s="21"/>
      <c r="W83" s="21"/>
      <c r="X83" s="21"/>
    </row>
    <row r="84" spans="1:24" hidden="1">
      <c r="A84" s="905"/>
      <c r="B84" s="21"/>
      <c r="C84" s="21"/>
      <c r="D84" s="21"/>
      <c r="E84" s="21"/>
      <c r="F84" s="906"/>
      <c r="G84" s="21"/>
      <c r="H84" s="21"/>
      <c r="I84" s="21"/>
      <c r="J84" s="21"/>
      <c r="K84" s="21"/>
      <c r="L84" s="21"/>
      <c r="M84" s="21"/>
      <c r="N84" s="21"/>
      <c r="O84" s="21"/>
      <c r="P84" s="21"/>
      <c r="Q84" s="21"/>
      <c r="R84" s="21"/>
      <c r="S84" s="21"/>
      <c r="T84" s="21"/>
      <c r="U84" s="21"/>
      <c r="V84" s="21"/>
      <c r="W84" s="21"/>
      <c r="X84" s="21"/>
    </row>
    <row r="85" spans="1:24" hidden="1">
      <c r="A85" s="905"/>
      <c r="B85" s="21"/>
      <c r="C85" s="21"/>
      <c r="D85" s="21"/>
      <c r="E85" s="21"/>
      <c r="F85" s="906"/>
      <c r="G85" s="21"/>
      <c r="H85" s="21"/>
      <c r="I85" s="21"/>
      <c r="J85" s="21"/>
      <c r="K85" s="21"/>
      <c r="L85" s="21"/>
      <c r="M85" s="21"/>
      <c r="N85" s="21"/>
      <c r="O85" s="21"/>
      <c r="P85" s="21"/>
      <c r="Q85" s="21"/>
      <c r="R85" s="21"/>
      <c r="S85" s="21"/>
      <c r="T85" s="21"/>
      <c r="U85" s="21"/>
      <c r="V85" s="21"/>
      <c r="W85" s="21"/>
      <c r="X85" s="21"/>
    </row>
    <row r="86" spans="1:24" hidden="1">
      <c r="A86" s="905"/>
      <c r="B86" s="21"/>
      <c r="C86" s="21"/>
      <c r="D86" s="21"/>
      <c r="E86" s="21"/>
      <c r="F86" s="906"/>
      <c r="G86" s="21"/>
      <c r="H86" s="21"/>
      <c r="I86" s="21"/>
      <c r="J86" s="21"/>
      <c r="K86" s="21"/>
      <c r="L86" s="21"/>
      <c r="M86" s="21"/>
      <c r="N86" s="21"/>
      <c r="O86" s="21"/>
      <c r="P86" s="21"/>
      <c r="Q86" s="21"/>
      <c r="R86" s="21"/>
      <c r="S86" s="21"/>
      <c r="T86" s="21"/>
      <c r="U86" s="21"/>
      <c r="V86" s="21"/>
      <c r="W86" s="21"/>
      <c r="X86" s="21"/>
    </row>
    <row r="87" spans="1:24" hidden="1">
      <c r="A87" s="905"/>
      <c r="B87" s="21"/>
      <c r="C87" s="21"/>
      <c r="D87" s="21"/>
      <c r="E87" s="21"/>
      <c r="F87" s="906"/>
      <c r="G87" s="21"/>
      <c r="H87" s="21"/>
      <c r="I87" s="21"/>
      <c r="J87" s="21"/>
      <c r="K87" s="21"/>
      <c r="L87" s="21"/>
      <c r="M87" s="21"/>
      <c r="N87" s="21"/>
      <c r="O87" s="21"/>
      <c r="P87" s="21"/>
      <c r="Q87" s="21"/>
      <c r="R87" s="21"/>
      <c r="S87" s="21"/>
      <c r="T87" s="21"/>
      <c r="U87" s="21"/>
      <c r="V87" s="21"/>
      <c r="W87" s="21"/>
      <c r="X87" s="21"/>
    </row>
    <row r="88" spans="1:24" hidden="1">
      <c r="A88" s="905"/>
      <c r="B88" s="21"/>
      <c r="C88" s="21"/>
      <c r="D88" s="21"/>
      <c r="E88" s="21"/>
      <c r="F88" s="906"/>
      <c r="G88" s="21"/>
      <c r="H88" s="21"/>
      <c r="I88" s="21"/>
      <c r="J88" s="21"/>
      <c r="K88" s="21"/>
      <c r="L88" s="21"/>
      <c r="M88" s="21"/>
      <c r="N88" s="21"/>
      <c r="O88" s="21"/>
      <c r="P88" s="21"/>
      <c r="Q88" s="21"/>
      <c r="R88" s="21"/>
      <c r="S88" s="21"/>
      <c r="T88" s="21"/>
      <c r="U88" s="21"/>
      <c r="V88" s="21"/>
      <c r="W88" s="21"/>
      <c r="X88" s="21"/>
    </row>
    <row r="89" spans="1:24" hidden="1">
      <c r="A89" s="905"/>
      <c r="B89" s="21"/>
      <c r="C89" s="21"/>
      <c r="D89" s="21"/>
      <c r="E89" s="21"/>
      <c r="F89" s="906"/>
      <c r="G89" s="21"/>
      <c r="H89" s="21"/>
      <c r="I89" s="21"/>
      <c r="J89" s="21"/>
      <c r="K89" s="21"/>
      <c r="L89" s="21"/>
      <c r="M89" s="21"/>
      <c r="N89" s="21"/>
      <c r="O89" s="21"/>
      <c r="P89" s="21"/>
      <c r="Q89" s="21"/>
      <c r="R89" s="21"/>
      <c r="S89" s="21"/>
      <c r="T89" s="21"/>
      <c r="U89" s="21"/>
      <c r="V89" s="21"/>
      <c r="W89" s="21"/>
      <c r="X89" s="21"/>
    </row>
    <row r="90" spans="1:24" hidden="1">
      <c r="A90" s="905"/>
      <c r="B90" s="21"/>
      <c r="C90" s="21"/>
      <c r="D90" s="21"/>
      <c r="E90" s="21"/>
      <c r="F90" s="906"/>
      <c r="G90" s="21"/>
      <c r="H90" s="21"/>
      <c r="I90" s="21"/>
      <c r="J90" s="21"/>
      <c r="K90" s="21"/>
      <c r="L90" s="21"/>
      <c r="M90" s="21"/>
      <c r="N90" s="21"/>
      <c r="O90" s="21"/>
      <c r="P90" s="21"/>
      <c r="Q90" s="21"/>
      <c r="R90" s="21"/>
      <c r="S90" s="21"/>
      <c r="T90" s="21"/>
      <c r="U90" s="21"/>
      <c r="V90" s="21"/>
      <c r="W90" s="21"/>
      <c r="X90" s="21"/>
    </row>
    <row r="91" spans="1:24" hidden="1">
      <c r="A91" s="905"/>
      <c r="B91" s="21"/>
      <c r="C91" s="21"/>
      <c r="D91" s="21"/>
      <c r="E91" s="21"/>
      <c r="F91" s="906"/>
      <c r="G91" s="21"/>
      <c r="H91" s="21"/>
      <c r="I91" s="21"/>
      <c r="J91" s="21"/>
      <c r="K91" s="21"/>
      <c r="L91" s="21"/>
      <c r="M91" s="21"/>
      <c r="N91" s="21"/>
      <c r="O91" s="21"/>
      <c r="P91" s="21"/>
      <c r="Q91" s="21"/>
      <c r="R91" s="21"/>
      <c r="S91" s="21"/>
      <c r="T91" s="21"/>
      <c r="U91" s="21"/>
      <c r="V91" s="21"/>
      <c r="W91" s="21"/>
      <c r="X91" s="21"/>
    </row>
    <row r="92" spans="1:24" hidden="1">
      <c r="A92" s="905"/>
      <c r="B92" s="21"/>
      <c r="C92" s="21"/>
      <c r="D92" s="21"/>
      <c r="E92" s="21"/>
      <c r="F92" s="906"/>
      <c r="G92" s="21"/>
      <c r="H92" s="21"/>
      <c r="I92" s="21"/>
      <c r="J92" s="21"/>
      <c r="K92" s="21"/>
      <c r="L92" s="21"/>
      <c r="M92" s="21"/>
      <c r="N92" s="21"/>
      <c r="O92" s="21"/>
      <c r="P92" s="21"/>
      <c r="Q92" s="21"/>
      <c r="R92" s="21"/>
      <c r="S92" s="21"/>
      <c r="T92" s="21"/>
      <c r="U92" s="21"/>
      <c r="V92" s="21"/>
      <c r="W92" s="21"/>
      <c r="X92" s="21"/>
    </row>
    <row r="93" spans="1:24" hidden="1">
      <c r="A93" s="905"/>
      <c r="B93" s="21"/>
      <c r="C93" s="21"/>
      <c r="D93" s="21"/>
      <c r="E93" s="21"/>
      <c r="F93" s="906"/>
      <c r="G93" s="21"/>
      <c r="H93" s="21"/>
      <c r="I93" s="21"/>
      <c r="J93" s="21"/>
      <c r="K93" s="21"/>
      <c r="L93" s="21"/>
      <c r="M93" s="21"/>
      <c r="N93" s="21"/>
      <c r="O93" s="21"/>
      <c r="P93" s="21"/>
      <c r="Q93" s="21"/>
      <c r="R93" s="21"/>
      <c r="S93" s="21"/>
      <c r="T93" s="21"/>
      <c r="U93" s="21"/>
      <c r="V93" s="21"/>
      <c r="W93" s="21"/>
      <c r="X93" s="21"/>
    </row>
    <row r="94" spans="1:24" hidden="1">
      <c r="A94" s="905"/>
      <c r="B94" s="21"/>
      <c r="C94" s="21"/>
      <c r="D94" s="21"/>
      <c r="E94" s="21"/>
      <c r="F94" s="906"/>
      <c r="G94" s="21"/>
      <c r="H94" s="21"/>
      <c r="I94" s="21"/>
      <c r="J94" s="21"/>
      <c r="K94" s="21"/>
      <c r="L94" s="21"/>
      <c r="M94" s="21"/>
      <c r="N94" s="21"/>
      <c r="O94" s="21"/>
      <c r="P94" s="21"/>
      <c r="Q94" s="21"/>
      <c r="R94" s="21"/>
      <c r="S94" s="21"/>
      <c r="T94" s="21"/>
      <c r="U94" s="21"/>
      <c r="V94" s="21"/>
      <c r="W94" s="21"/>
      <c r="X94" s="21"/>
    </row>
    <row r="95" spans="1:24" hidden="1">
      <c r="A95" s="905"/>
      <c r="B95" s="21"/>
      <c r="C95" s="21"/>
      <c r="D95" s="21"/>
      <c r="E95" s="21"/>
      <c r="F95" s="906"/>
      <c r="G95" s="21"/>
      <c r="H95" s="21"/>
      <c r="I95" s="21"/>
      <c r="J95" s="21"/>
      <c r="K95" s="21"/>
      <c r="L95" s="21"/>
      <c r="M95" s="21"/>
      <c r="N95" s="21"/>
      <c r="O95" s="21"/>
      <c r="P95" s="21"/>
      <c r="Q95" s="21"/>
      <c r="R95" s="21"/>
      <c r="S95" s="21"/>
      <c r="T95" s="21"/>
      <c r="U95" s="21"/>
      <c r="V95" s="21"/>
      <c r="W95" s="21"/>
      <c r="X95" s="21"/>
    </row>
    <row r="96" spans="1:24" hidden="1">
      <c r="A96" s="905"/>
      <c r="B96" s="21"/>
      <c r="C96" s="21"/>
      <c r="D96" s="21"/>
      <c r="E96" s="21"/>
      <c r="F96" s="906"/>
      <c r="G96" s="21"/>
      <c r="H96" s="21"/>
      <c r="I96" s="21"/>
      <c r="J96" s="21"/>
      <c r="K96" s="21"/>
      <c r="L96" s="21"/>
      <c r="M96" s="21"/>
      <c r="N96" s="21"/>
      <c r="O96" s="21"/>
      <c r="P96" s="21"/>
      <c r="Q96" s="21"/>
      <c r="R96" s="21"/>
      <c r="S96" s="21"/>
      <c r="T96" s="21"/>
      <c r="U96" s="21"/>
      <c r="V96" s="21"/>
      <c r="W96" s="21"/>
      <c r="X96" s="21"/>
    </row>
    <row r="97" spans="1:24" hidden="1">
      <c r="A97" s="905"/>
      <c r="B97" s="21"/>
      <c r="C97" s="21"/>
      <c r="D97" s="21"/>
      <c r="E97" s="21"/>
      <c r="F97" s="906"/>
      <c r="G97" s="21"/>
      <c r="H97" s="21"/>
      <c r="I97" s="21"/>
      <c r="J97" s="21"/>
      <c r="K97" s="21"/>
      <c r="L97" s="21"/>
      <c r="M97" s="21"/>
      <c r="N97" s="21"/>
      <c r="O97" s="21"/>
      <c r="P97" s="21"/>
      <c r="Q97" s="21"/>
      <c r="R97" s="21"/>
      <c r="S97" s="21"/>
      <c r="T97" s="21"/>
      <c r="U97" s="21"/>
      <c r="V97" s="21"/>
      <c r="W97" s="21"/>
      <c r="X97" s="21"/>
    </row>
    <row r="98" spans="1:24" hidden="1">
      <c r="A98" s="905"/>
      <c r="B98" s="21"/>
      <c r="C98" s="21"/>
      <c r="D98" s="21"/>
      <c r="E98" s="21"/>
      <c r="F98" s="906"/>
      <c r="G98" s="21"/>
      <c r="H98" s="21"/>
      <c r="I98" s="21"/>
      <c r="J98" s="21"/>
      <c r="K98" s="21"/>
      <c r="L98" s="21"/>
      <c r="M98" s="21"/>
      <c r="N98" s="21"/>
      <c r="O98" s="21"/>
      <c r="P98" s="21"/>
      <c r="Q98" s="21"/>
      <c r="R98" s="21"/>
      <c r="S98" s="21"/>
      <c r="T98" s="21"/>
      <c r="U98" s="21"/>
      <c r="V98" s="21"/>
      <c r="W98" s="21"/>
      <c r="X98" s="21"/>
    </row>
    <row r="99" spans="1:24" hidden="1">
      <c r="A99" s="905"/>
      <c r="B99" s="21"/>
      <c r="C99" s="21"/>
      <c r="D99" s="21"/>
      <c r="E99" s="21"/>
      <c r="F99" s="906"/>
      <c r="G99" s="907" t="s">
        <v>21</v>
      </c>
      <c r="H99" s="907" t="s">
        <v>56</v>
      </c>
      <c r="I99" s="907" t="s">
        <v>2</v>
      </c>
      <c r="J99" s="907" t="s">
        <v>3</v>
      </c>
      <c r="K99" s="907" t="s">
        <v>4</v>
      </c>
      <c r="L99" s="907" t="s">
        <v>5</v>
      </c>
      <c r="M99" s="907" t="s">
        <v>6</v>
      </c>
      <c r="N99" s="907" t="s">
        <v>57</v>
      </c>
      <c r="O99" s="907" t="s">
        <v>58</v>
      </c>
      <c r="P99" s="907" t="s">
        <v>59</v>
      </c>
      <c r="Q99" s="907" t="s">
        <v>60</v>
      </c>
      <c r="R99" s="907" t="s">
        <v>61</v>
      </c>
      <c r="S99" s="21"/>
      <c r="T99" s="21"/>
      <c r="U99" s="21"/>
      <c r="V99" s="21"/>
      <c r="W99" s="21"/>
      <c r="X99" s="21"/>
    </row>
    <row r="100" spans="1:24" hidden="1">
      <c r="A100" s="905"/>
      <c r="B100" s="21"/>
      <c r="C100" s="21"/>
      <c r="D100" s="21"/>
      <c r="E100" s="21"/>
      <c r="F100" s="906"/>
      <c r="G100" s="907" t="s">
        <v>56</v>
      </c>
      <c r="H100" s="907" t="s">
        <v>2</v>
      </c>
      <c r="I100" s="907" t="s">
        <v>3</v>
      </c>
      <c r="J100" s="907" t="s">
        <v>4</v>
      </c>
      <c r="K100" s="907" t="s">
        <v>5</v>
      </c>
      <c r="L100" s="907" t="s">
        <v>6</v>
      </c>
      <c r="M100" s="907" t="s">
        <v>57</v>
      </c>
      <c r="N100" s="907" t="s">
        <v>58</v>
      </c>
      <c r="O100" s="907" t="s">
        <v>59</v>
      </c>
      <c r="P100" s="907" t="s">
        <v>60</v>
      </c>
      <c r="Q100" s="907" t="s">
        <v>61</v>
      </c>
      <c r="R100" s="907" t="s">
        <v>21</v>
      </c>
      <c r="S100" s="21"/>
      <c r="T100" s="21"/>
      <c r="U100" s="21"/>
      <c r="V100" s="21"/>
      <c r="W100" s="21"/>
      <c r="X100" s="21"/>
    </row>
    <row r="101" spans="1:24" hidden="1">
      <c r="A101" s="905"/>
      <c r="B101" s="21"/>
      <c r="C101" s="21"/>
      <c r="D101" s="21"/>
      <c r="E101" s="21"/>
      <c r="F101" s="906"/>
      <c r="G101" s="907" t="s">
        <v>2</v>
      </c>
      <c r="H101" s="907" t="s">
        <v>3</v>
      </c>
      <c r="I101" s="907" t="s">
        <v>4</v>
      </c>
      <c r="J101" s="907" t="s">
        <v>5</v>
      </c>
      <c r="K101" s="907" t="s">
        <v>6</v>
      </c>
      <c r="L101" s="907" t="s">
        <v>57</v>
      </c>
      <c r="M101" s="907" t="s">
        <v>58</v>
      </c>
      <c r="N101" s="907" t="s">
        <v>59</v>
      </c>
      <c r="O101" s="907" t="s">
        <v>60</v>
      </c>
      <c r="P101" s="907" t="s">
        <v>61</v>
      </c>
      <c r="Q101" s="907" t="s">
        <v>21</v>
      </c>
      <c r="R101" s="907" t="s">
        <v>56</v>
      </c>
      <c r="S101" s="21"/>
      <c r="T101" s="21"/>
      <c r="U101" s="21"/>
      <c r="V101" s="21"/>
      <c r="W101" s="21"/>
      <c r="X101" s="21"/>
    </row>
    <row r="102" spans="1:24" hidden="1">
      <c r="A102" s="905"/>
      <c r="B102" s="21"/>
      <c r="C102" s="21"/>
      <c r="D102" s="21"/>
      <c r="E102" s="21"/>
      <c r="F102" s="906"/>
      <c r="G102" s="907" t="s">
        <v>3</v>
      </c>
      <c r="H102" s="907" t="s">
        <v>4</v>
      </c>
      <c r="I102" s="907" t="s">
        <v>5</v>
      </c>
      <c r="J102" s="907" t="s">
        <v>6</v>
      </c>
      <c r="K102" s="907" t="s">
        <v>57</v>
      </c>
      <c r="L102" s="907" t="s">
        <v>58</v>
      </c>
      <c r="M102" s="907" t="s">
        <v>59</v>
      </c>
      <c r="N102" s="907" t="s">
        <v>60</v>
      </c>
      <c r="O102" s="907" t="s">
        <v>61</v>
      </c>
      <c r="P102" s="907" t="s">
        <v>21</v>
      </c>
      <c r="Q102" s="907" t="s">
        <v>56</v>
      </c>
      <c r="R102" s="907" t="s">
        <v>2</v>
      </c>
      <c r="S102" s="21"/>
      <c r="T102" s="21"/>
      <c r="U102" s="21"/>
      <c r="V102" s="21"/>
      <c r="W102" s="21"/>
      <c r="X102" s="21"/>
    </row>
    <row r="103" spans="1:24" hidden="1">
      <c r="A103" s="905"/>
      <c r="B103" s="21"/>
      <c r="C103" s="21"/>
      <c r="D103" s="21"/>
      <c r="E103" s="21"/>
      <c r="F103" s="906"/>
      <c r="G103" s="907" t="s">
        <v>4</v>
      </c>
      <c r="H103" s="907" t="s">
        <v>5</v>
      </c>
      <c r="I103" s="907" t="s">
        <v>6</v>
      </c>
      <c r="J103" s="907" t="s">
        <v>57</v>
      </c>
      <c r="K103" s="907" t="s">
        <v>58</v>
      </c>
      <c r="L103" s="907" t="s">
        <v>59</v>
      </c>
      <c r="M103" s="907" t="s">
        <v>60</v>
      </c>
      <c r="N103" s="907" t="s">
        <v>61</v>
      </c>
      <c r="O103" s="907" t="s">
        <v>21</v>
      </c>
      <c r="P103" s="907" t="s">
        <v>56</v>
      </c>
      <c r="Q103" s="907" t="s">
        <v>2</v>
      </c>
      <c r="R103" s="907" t="s">
        <v>3</v>
      </c>
      <c r="S103" s="21"/>
      <c r="T103" s="21"/>
      <c r="U103" s="21"/>
      <c r="V103" s="21"/>
      <c r="W103" s="21"/>
      <c r="X103" s="21"/>
    </row>
    <row r="104" spans="1:24" hidden="1">
      <c r="A104" s="905"/>
      <c r="B104" s="21"/>
      <c r="C104" s="21"/>
      <c r="D104" s="21"/>
      <c r="E104" s="21"/>
      <c r="F104" s="906"/>
      <c r="G104" s="907" t="s">
        <v>5</v>
      </c>
      <c r="H104" s="907" t="s">
        <v>6</v>
      </c>
      <c r="I104" s="907" t="s">
        <v>57</v>
      </c>
      <c r="J104" s="907" t="s">
        <v>58</v>
      </c>
      <c r="K104" s="907" t="s">
        <v>59</v>
      </c>
      <c r="L104" s="907" t="s">
        <v>60</v>
      </c>
      <c r="M104" s="907" t="s">
        <v>61</v>
      </c>
      <c r="N104" s="907" t="s">
        <v>21</v>
      </c>
      <c r="O104" s="907" t="s">
        <v>56</v>
      </c>
      <c r="P104" s="907" t="s">
        <v>2</v>
      </c>
      <c r="Q104" s="907" t="s">
        <v>3</v>
      </c>
      <c r="R104" s="907" t="s">
        <v>4</v>
      </c>
      <c r="S104" s="21"/>
      <c r="T104" s="21"/>
      <c r="U104" s="21"/>
      <c r="V104" s="21"/>
      <c r="W104" s="21"/>
      <c r="X104" s="21"/>
    </row>
    <row r="105" spans="1:24" hidden="1">
      <c r="A105" s="905"/>
      <c r="B105" s="21"/>
      <c r="C105" s="21"/>
      <c r="D105" s="21"/>
      <c r="E105" s="21"/>
      <c r="F105" s="906"/>
      <c r="G105" s="907" t="s">
        <v>6</v>
      </c>
      <c r="H105" s="907" t="s">
        <v>57</v>
      </c>
      <c r="I105" s="907" t="s">
        <v>58</v>
      </c>
      <c r="J105" s="907" t="s">
        <v>59</v>
      </c>
      <c r="K105" s="907" t="s">
        <v>60</v>
      </c>
      <c r="L105" s="907" t="s">
        <v>61</v>
      </c>
      <c r="M105" s="907" t="s">
        <v>21</v>
      </c>
      <c r="N105" s="907" t="s">
        <v>56</v>
      </c>
      <c r="O105" s="907" t="s">
        <v>2</v>
      </c>
      <c r="P105" s="907" t="s">
        <v>3</v>
      </c>
      <c r="Q105" s="907" t="s">
        <v>4</v>
      </c>
      <c r="R105" s="907" t="s">
        <v>5</v>
      </c>
      <c r="S105" s="21"/>
      <c r="T105" s="21"/>
      <c r="U105" s="21"/>
      <c r="V105" s="21"/>
      <c r="W105" s="21"/>
      <c r="X105" s="21"/>
    </row>
    <row r="106" spans="1:24" hidden="1">
      <c r="A106" s="905"/>
      <c r="B106" s="21"/>
      <c r="C106" s="21"/>
      <c r="D106" s="21"/>
      <c r="E106" s="21"/>
      <c r="F106" s="906"/>
      <c r="G106" s="907" t="s">
        <v>57</v>
      </c>
      <c r="H106" s="907" t="s">
        <v>58</v>
      </c>
      <c r="I106" s="907" t="s">
        <v>59</v>
      </c>
      <c r="J106" s="907" t="s">
        <v>60</v>
      </c>
      <c r="K106" s="907" t="s">
        <v>61</v>
      </c>
      <c r="L106" s="907" t="s">
        <v>21</v>
      </c>
      <c r="M106" s="907" t="s">
        <v>56</v>
      </c>
      <c r="N106" s="907" t="s">
        <v>2</v>
      </c>
      <c r="O106" s="907" t="s">
        <v>3</v>
      </c>
      <c r="P106" s="907" t="s">
        <v>4</v>
      </c>
      <c r="Q106" s="907" t="s">
        <v>5</v>
      </c>
      <c r="R106" s="907" t="s">
        <v>6</v>
      </c>
      <c r="S106" s="21"/>
      <c r="T106" s="21"/>
      <c r="U106" s="21"/>
      <c r="V106" s="21"/>
      <c r="W106" s="21"/>
      <c r="X106" s="21"/>
    </row>
    <row r="107" spans="1:24" hidden="1">
      <c r="A107" s="905"/>
      <c r="B107" s="21"/>
      <c r="C107" s="21"/>
      <c r="D107" s="21"/>
      <c r="E107" s="21"/>
      <c r="F107" s="906"/>
      <c r="G107" s="907" t="s">
        <v>58</v>
      </c>
      <c r="H107" s="907" t="s">
        <v>59</v>
      </c>
      <c r="I107" s="907" t="s">
        <v>60</v>
      </c>
      <c r="J107" s="907" t="s">
        <v>61</v>
      </c>
      <c r="K107" s="907" t="s">
        <v>21</v>
      </c>
      <c r="L107" s="907" t="s">
        <v>56</v>
      </c>
      <c r="M107" s="907" t="s">
        <v>2</v>
      </c>
      <c r="N107" s="907" t="s">
        <v>3</v>
      </c>
      <c r="O107" s="907" t="s">
        <v>4</v>
      </c>
      <c r="P107" s="907" t="s">
        <v>5</v>
      </c>
      <c r="Q107" s="907" t="s">
        <v>6</v>
      </c>
      <c r="R107" s="907" t="s">
        <v>57</v>
      </c>
      <c r="S107" s="21"/>
      <c r="T107" s="21"/>
      <c r="U107" s="21"/>
      <c r="V107" s="21"/>
      <c r="W107" s="21"/>
      <c r="X107" s="21"/>
    </row>
    <row r="108" spans="1:24" hidden="1">
      <c r="A108" s="905"/>
      <c r="B108" s="21"/>
      <c r="C108" s="21"/>
      <c r="D108" s="21"/>
      <c r="E108" s="21"/>
      <c r="F108" s="906"/>
      <c r="G108" s="907" t="s">
        <v>59</v>
      </c>
      <c r="H108" s="907" t="s">
        <v>60</v>
      </c>
      <c r="I108" s="907" t="s">
        <v>61</v>
      </c>
      <c r="J108" s="907" t="s">
        <v>21</v>
      </c>
      <c r="K108" s="907" t="s">
        <v>56</v>
      </c>
      <c r="L108" s="907" t="s">
        <v>2</v>
      </c>
      <c r="M108" s="907" t="s">
        <v>3</v>
      </c>
      <c r="N108" s="907" t="s">
        <v>4</v>
      </c>
      <c r="O108" s="907" t="s">
        <v>5</v>
      </c>
      <c r="P108" s="907" t="s">
        <v>6</v>
      </c>
      <c r="Q108" s="907" t="s">
        <v>57</v>
      </c>
      <c r="R108" s="907" t="s">
        <v>58</v>
      </c>
      <c r="S108" s="21"/>
      <c r="T108" s="21"/>
      <c r="U108" s="21"/>
      <c r="V108" s="21"/>
      <c r="W108" s="21"/>
      <c r="X108" s="21"/>
    </row>
    <row r="109" spans="1:24" hidden="1">
      <c r="A109" s="905"/>
      <c r="B109" s="21"/>
      <c r="C109" s="21"/>
      <c r="D109" s="21"/>
      <c r="E109" s="21"/>
      <c r="F109" s="906"/>
      <c r="G109" s="907" t="s">
        <v>60</v>
      </c>
      <c r="H109" s="907" t="s">
        <v>61</v>
      </c>
      <c r="I109" s="907" t="s">
        <v>62</v>
      </c>
      <c r="J109" s="907" t="s">
        <v>56</v>
      </c>
      <c r="K109" s="907" t="s">
        <v>2</v>
      </c>
      <c r="L109" s="907" t="s">
        <v>3</v>
      </c>
      <c r="M109" s="907" t="s">
        <v>4</v>
      </c>
      <c r="N109" s="907" t="s">
        <v>5</v>
      </c>
      <c r="O109" s="907" t="s">
        <v>6</v>
      </c>
      <c r="P109" s="907" t="s">
        <v>57</v>
      </c>
      <c r="Q109" s="907" t="s">
        <v>58</v>
      </c>
      <c r="R109" s="907" t="s">
        <v>59</v>
      </c>
      <c r="S109" s="21"/>
      <c r="T109" s="21"/>
      <c r="U109" s="21"/>
      <c r="V109" s="21"/>
      <c r="W109" s="21"/>
      <c r="X109" s="21"/>
    </row>
    <row r="110" spans="1:24" hidden="1">
      <c r="A110" s="905"/>
      <c r="B110" s="21"/>
      <c r="C110" s="21"/>
      <c r="D110" s="21"/>
      <c r="E110" s="21"/>
      <c r="F110" s="906"/>
      <c r="G110" s="907" t="s">
        <v>61</v>
      </c>
      <c r="H110" s="907" t="s">
        <v>21</v>
      </c>
      <c r="I110" s="907" t="s">
        <v>56</v>
      </c>
      <c r="J110" s="907" t="s">
        <v>2</v>
      </c>
      <c r="K110" s="907" t="s">
        <v>3</v>
      </c>
      <c r="L110" s="907" t="s">
        <v>4</v>
      </c>
      <c r="M110" s="907" t="s">
        <v>5</v>
      </c>
      <c r="N110" s="907" t="s">
        <v>6</v>
      </c>
      <c r="O110" s="907" t="s">
        <v>57</v>
      </c>
      <c r="P110" s="907" t="s">
        <v>58</v>
      </c>
      <c r="Q110" s="907" t="s">
        <v>63</v>
      </c>
      <c r="R110" s="907" t="s">
        <v>60</v>
      </c>
      <c r="S110" s="21"/>
      <c r="T110" s="21"/>
      <c r="U110" s="21"/>
      <c r="V110" s="21"/>
      <c r="W110" s="21"/>
      <c r="X110" s="21"/>
    </row>
    <row r="111" spans="1:24" hidden="1">
      <c r="A111" s="905"/>
      <c r="B111" s="21"/>
      <c r="C111" s="21"/>
      <c r="D111" s="21"/>
      <c r="E111" s="21"/>
      <c r="F111" s="906"/>
      <c r="G111" s="21"/>
      <c r="H111" s="21"/>
      <c r="I111" s="21"/>
      <c r="J111" s="21"/>
      <c r="K111" s="21"/>
      <c r="L111" s="21"/>
      <c r="M111" s="21"/>
      <c r="N111" s="21"/>
      <c r="O111" s="21"/>
      <c r="P111" s="21"/>
      <c r="Q111" s="21"/>
      <c r="R111" s="21"/>
      <c r="S111" s="21"/>
      <c r="T111" s="21"/>
      <c r="U111" s="21"/>
      <c r="V111" s="21"/>
      <c r="W111" s="21"/>
      <c r="X111" s="21"/>
    </row>
    <row r="112" spans="1:24" hidden="1">
      <c r="A112" s="905"/>
      <c r="B112" s="21"/>
      <c r="C112" s="21"/>
      <c r="D112" s="21"/>
      <c r="E112" s="21"/>
      <c r="F112" s="906"/>
      <c r="G112" s="21"/>
      <c r="H112" s="21"/>
      <c r="I112" s="21"/>
      <c r="J112" s="21"/>
      <c r="K112" s="21"/>
      <c r="L112" s="21"/>
      <c r="M112" s="21"/>
      <c r="N112" s="21"/>
      <c r="O112" s="21"/>
      <c r="P112" s="21"/>
      <c r="Q112" s="21"/>
      <c r="R112" s="21"/>
      <c r="S112" s="21"/>
      <c r="T112" s="21"/>
      <c r="U112" s="21"/>
      <c r="V112" s="21"/>
      <c r="W112" s="21"/>
      <c r="X112" s="21"/>
    </row>
    <row r="113" spans="1:24" hidden="1">
      <c r="A113" s="905"/>
      <c r="B113" s="21"/>
      <c r="C113" s="21"/>
      <c r="D113" s="21"/>
      <c r="E113" s="21"/>
      <c r="F113" s="906"/>
      <c r="G113" s="21"/>
      <c r="H113" s="21"/>
      <c r="I113" s="21"/>
      <c r="J113" s="21"/>
      <c r="K113" s="21"/>
      <c r="L113" s="21"/>
      <c r="M113" s="21"/>
      <c r="N113" s="21"/>
      <c r="O113" s="21"/>
      <c r="P113" s="21"/>
      <c r="Q113" s="21"/>
      <c r="R113" s="21"/>
      <c r="S113" s="21"/>
      <c r="T113" s="21"/>
      <c r="U113" s="21"/>
      <c r="V113" s="21"/>
      <c r="W113" s="21"/>
      <c r="X113" s="21"/>
    </row>
    <row r="114" spans="1:24" hidden="1">
      <c r="A114" s="905"/>
      <c r="B114" s="21"/>
      <c r="C114" s="21"/>
      <c r="D114" s="21"/>
      <c r="E114" s="21"/>
      <c r="F114" s="906"/>
      <c r="G114" s="21"/>
      <c r="H114" s="21"/>
      <c r="I114" s="21"/>
      <c r="J114" s="21"/>
      <c r="K114" s="21"/>
      <c r="L114" s="21"/>
      <c r="M114" s="21"/>
      <c r="N114" s="21"/>
      <c r="O114" s="21"/>
      <c r="P114" s="21"/>
      <c r="Q114" s="21"/>
      <c r="R114" s="21"/>
      <c r="S114" s="21"/>
      <c r="T114" s="21"/>
      <c r="U114" s="21"/>
      <c r="V114" s="21"/>
      <c r="W114" s="21"/>
      <c r="X114" s="21"/>
    </row>
    <row r="115" spans="1:24" hidden="1">
      <c r="A115" s="905"/>
      <c r="B115" s="21"/>
      <c r="C115" s="21"/>
      <c r="D115" s="21"/>
      <c r="E115" s="21"/>
      <c r="F115" s="906"/>
      <c r="G115" s="21"/>
      <c r="H115" s="21"/>
      <c r="I115" s="21"/>
      <c r="J115" s="21"/>
      <c r="K115" s="21"/>
      <c r="L115" s="21"/>
      <c r="M115" s="21"/>
      <c r="N115" s="21"/>
      <c r="O115" s="21"/>
      <c r="P115" s="21"/>
      <c r="Q115" s="21"/>
      <c r="R115" s="21"/>
      <c r="S115" s="21"/>
      <c r="T115" s="21"/>
      <c r="U115" s="21"/>
      <c r="V115" s="21"/>
      <c r="W115" s="21"/>
      <c r="X115" s="21"/>
    </row>
    <row r="116" spans="1:24" hidden="1">
      <c r="A116" s="905"/>
      <c r="B116" s="21"/>
      <c r="C116" s="21"/>
      <c r="D116" s="21"/>
      <c r="E116" s="21"/>
      <c r="F116" s="906"/>
      <c r="G116" s="21"/>
      <c r="H116" s="21"/>
      <c r="I116" s="21"/>
      <c r="J116" s="21"/>
      <c r="K116" s="21"/>
      <c r="L116" s="21"/>
      <c r="M116" s="21"/>
      <c r="N116" s="21"/>
      <c r="O116" s="21"/>
      <c r="P116" s="21"/>
      <c r="Q116" s="21"/>
      <c r="R116" s="21"/>
      <c r="S116" s="21"/>
      <c r="T116" s="21"/>
      <c r="U116" s="21"/>
      <c r="V116" s="21"/>
      <c r="W116" s="21"/>
      <c r="X116" s="21"/>
    </row>
    <row r="117" spans="1:24" hidden="1">
      <c r="A117" s="905"/>
      <c r="B117" s="21"/>
      <c r="C117" s="21"/>
      <c r="D117" s="21"/>
      <c r="E117" s="21"/>
      <c r="F117" s="906"/>
      <c r="G117" s="21"/>
      <c r="H117" s="21"/>
      <c r="I117" s="21"/>
      <c r="J117" s="21"/>
      <c r="K117" s="21"/>
      <c r="L117" s="21"/>
      <c r="M117" s="21"/>
      <c r="N117" s="21"/>
      <c r="O117" s="21"/>
      <c r="P117" s="21"/>
      <c r="Q117" s="21"/>
      <c r="R117" s="21"/>
      <c r="S117" s="21"/>
      <c r="T117" s="21"/>
      <c r="U117" s="21"/>
      <c r="V117" s="21"/>
      <c r="W117" s="21"/>
      <c r="X117" s="21"/>
    </row>
    <row r="118" spans="1:24" hidden="1">
      <c r="A118" s="905"/>
      <c r="B118" s="21"/>
      <c r="C118" s="21"/>
      <c r="D118" s="21"/>
      <c r="E118" s="21"/>
      <c r="F118" s="906"/>
      <c r="G118" s="21"/>
      <c r="H118" s="21"/>
      <c r="I118" s="21"/>
      <c r="J118" s="21"/>
      <c r="K118" s="21"/>
      <c r="L118" s="21"/>
      <c r="M118" s="21"/>
      <c r="N118" s="21"/>
      <c r="O118" s="21"/>
      <c r="P118" s="21"/>
      <c r="Q118" s="21"/>
      <c r="R118" s="21"/>
      <c r="S118" s="21"/>
      <c r="T118" s="21"/>
      <c r="U118" s="21"/>
      <c r="V118" s="21"/>
      <c r="W118" s="21"/>
      <c r="X118" s="21"/>
    </row>
    <row r="119" spans="1:24" hidden="1">
      <c r="A119" s="905"/>
      <c r="B119" s="21"/>
      <c r="C119" s="21"/>
      <c r="D119" s="21"/>
      <c r="E119" s="21"/>
      <c r="F119" s="906"/>
      <c r="G119" s="21"/>
      <c r="H119" s="21"/>
      <c r="I119" s="21"/>
      <c r="J119" s="21"/>
      <c r="K119" s="21"/>
      <c r="L119" s="21"/>
      <c r="M119" s="21"/>
      <c r="N119" s="21"/>
      <c r="O119" s="21"/>
      <c r="P119" s="21"/>
      <c r="Q119" s="21"/>
      <c r="R119" s="21"/>
      <c r="S119" s="21"/>
      <c r="T119" s="21"/>
      <c r="U119" s="21"/>
      <c r="V119" s="21"/>
      <c r="W119" s="21"/>
      <c r="X119" s="21"/>
    </row>
    <row r="120" spans="1:24" hidden="1">
      <c r="A120" s="905"/>
      <c r="B120" s="21"/>
      <c r="C120" s="21"/>
      <c r="D120" s="21"/>
      <c r="E120" s="21"/>
      <c r="F120" s="906"/>
      <c r="G120" s="21"/>
      <c r="H120" s="21"/>
      <c r="I120" s="21"/>
      <c r="J120" s="21"/>
      <c r="K120" s="21"/>
      <c r="L120" s="21"/>
      <c r="M120" s="21"/>
      <c r="N120" s="21"/>
      <c r="O120" s="21"/>
      <c r="P120" s="21"/>
      <c r="Q120" s="21"/>
      <c r="R120" s="21"/>
      <c r="S120" s="21"/>
      <c r="T120" s="21"/>
      <c r="U120" s="21"/>
      <c r="V120" s="21"/>
      <c r="W120" s="21"/>
      <c r="X120" s="21"/>
    </row>
    <row r="121" spans="1:24" hidden="1">
      <c r="A121" s="905"/>
      <c r="B121" s="21"/>
      <c r="C121" s="21"/>
      <c r="D121" s="21"/>
      <c r="E121" s="21"/>
      <c r="F121" s="906"/>
      <c r="G121" s="21"/>
      <c r="H121" s="21"/>
      <c r="I121" s="21"/>
      <c r="J121" s="21"/>
      <c r="K121" s="21"/>
      <c r="L121" s="21"/>
      <c r="M121" s="21"/>
      <c r="N121" s="21"/>
      <c r="O121" s="21"/>
      <c r="P121" s="21"/>
      <c r="Q121" s="21"/>
      <c r="R121" s="21"/>
      <c r="S121" s="21"/>
      <c r="T121" s="21"/>
      <c r="U121" s="21"/>
      <c r="V121" s="21"/>
      <c r="W121" s="21"/>
      <c r="X121" s="21"/>
    </row>
    <row r="122" spans="1:24" hidden="1">
      <c r="A122" s="905"/>
      <c r="B122" s="21"/>
      <c r="C122" s="21"/>
      <c r="D122" s="21"/>
      <c r="E122" s="21"/>
      <c r="F122" s="906"/>
      <c r="G122" s="21"/>
      <c r="H122" s="21"/>
      <c r="I122" s="21"/>
      <c r="J122" s="21"/>
      <c r="K122" s="21"/>
      <c r="L122" s="21"/>
      <c r="M122" s="21"/>
      <c r="N122" s="21"/>
      <c r="O122" s="21"/>
      <c r="P122" s="21"/>
      <c r="Q122" s="21"/>
      <c r="R122" s="21"/>
      <c r="S122" s="21"/>
      <c r="T122" s="21"/>
      <c r="U122" s="21"/>
      <c r="V122" s="21"/>
      <c r="W122" s="21"/>
      <c r="X122" s="21"/>
    </row>
    <row r="123" spans="1:24" hidden="1">
      <c r="A123" s="905"/>
      <c r="B123" s="21"/>
      <c r="C123" s="21"/>
      <c r="D123" s="21"/>
      <c r="E123" s="21"/>
      <c r="F123" s="906"/>
      <c r="G123" s="21"/>
      <c r="H123" s="21"/>
      <c r="I123" s="21"/>
      <c r="J123" s="21"/>
      <c r="K123" s="21"/>
      <c r="L123" s="21"/>
      <c r="M123" s="21"/>
      <c r="N123" s="21"/>
      <c r="O123" s="21"/>
      <c r="P123" s="21"/>
      <c r="Q123" s="21"/>
      <c r="R123" s="21"/>
      <c r="S123" s="21"/>
      <c r="T123" s="21"/>
      <c r="U123" s="21"/>
      <c r="V123" s="21"/>
      <c r="W123" s="21"/>
      <c r="X123" s="21"/>
    </row>
    <row r="124" spans="1:24" hidden="1">
      <c r="A124" s="905"/>
      <c r="B124" s="21"/>
      <c r="C124" s="21"/>
      <c r="D124" s="21"/>
      <c r="E124" s="21"/>
      <c r="F124" s="906"/>
      <c r="G124" s="21"/>
      <c r="H124" s="21"/>
      <c r="I124" s="21"/>
      <c r="J124" s="21"/>
      <c r="K124" s="21"/>
      <c r="L124" s="21"/>
      <c r="M124" s="21"/>
      <c r="N124" s="21"/>
      <c r="O124" s="21"/>
      <c r="P124" s="21"/>
      <c r="Q124" s="21"/>
      <c r="R124" s="21"/>
      <c r="S124" s="21"/>
      <c r="T124" s="21"/>
      <c r="U124" s="21"/>
      <c r="V124" s="21"/>
      <c r="W124" s="21"/>
      <c r="X124" s="21"/>
    </row>
    <row r="125" spans="1:24" hidden="1">
      <c r="A125" s="905"/>
      <c r="B125" s="21"/>
      <c r="C125" s="21"/>
      <c r="D125" s="21"/>
      <c r="E125" s="21"/>
      <c r="F125" s="906"/>
      <c r="G125" s="21"/>
      <c r="H125" s="21"/>
      <c r="I125" s="21"/>
      <c r="J125" s="21"/>
      <c r="K125" s="21"/>
      <c r="L125" s="21"/>
      <c r="M125" s="21"/>
      <c r="N125" s="21"/>
      <c r="O125" s="21"/>
      <c r="P125" s="21"/>
      <c r="Q125" s="21"/>
      <c r="R125" s="21"/>
      <c r="S125" s="21"/>
      <c r="T125" s="21"/>
      <c r="U125" s="21"/>
      <c r="V125" s="21"/>
      <c r="W125" s="21"/>
      <c r="X125" s="21"/>
    </row>
    <row r="126" spans="1:24" hidden="1">
      <c r="A126" s="905"/>
      <c r="B126" s="21"/>
      <c r="C126" s="21"/>
      <c r="D126" s="21"/>
      <c r="E126" s="21"/>
      <c r="F126" s="906"/>
      <c r="G126" s="21"/>
      <c r="H126" s="21"/>
      <c r="I126" s="21"/>
      <c r="J126" s="21"/>
      <c r="K126" s="21"/>
      <c r="L126" s="21"/>
      <c r="M126" s="21"/>
      <c r="N126" s="21"/>
      <c r="O126" s="21"/>
      <c r="P126" s="21"/>
      <c r="Q126" s="21"/>
      <c r="R126" s="21"/>
      <c r="S126" s="21"/>
      <c r="T126" s="21"/>
      <c r="U126" s="21"/>
      <c r="V126" s="21"/>
      <c r="W126" s="21"/>
      <c r="X126" s="21"/>
    </row>
    <row r="127" spans="1:24" hidden="1">
      <c r="A127" s="905"/>
      <c r="B127" s="21"/>
      <c r="C127" s="21"/>
      <c r="D127" s="21"/>
      <c r="E127" s="21"/>
      <c r="F127" s="906"/>
      <c r="G127" s="21"/>
      <c r="H127" s="21"/>
      <c r="I127" s="21"/>
      <c r="J127" s="21"/>
      <c r="K127" s="21"/>
      <c r="L127" s="21"/>
      <c r="M127" s="21"/>
      <c r="N127" s="21"/>
      <c r="O127" s="21"/>
      <c r="P127" s="21"/>
      <c r="Q127" s="21"/>
      <c r="R127" s="21"/>
      <c r="S127" s="21"/>
      <c r="T127" s="21"/>
      <c r="U127" s="21"/>
      <c r="V127" s="21"/>
      <c r="W127" s="21"/>
      <c r="X127" s="21"/>
    </row>
    <row r="128" spans="1:24" hidden="1">
      <c r="A128" s="905"/>
      <c r="B128" s="21"/>
      <c r="C128" s="21"/>
      <c r="D128" s="21"/>
      <c r="E128" s="21"/>
      <c r="F128" s="906"/>
      <c r="G128" s="21"/>
      <c r="H128" s="21"/>
      <c r="I128" s="21"/>
      <c r="J128" s="21"/>
      <c r="K128" s="21"/>
      <c r="L128" s="21"/>
      <c r="M128" s="21"/>
      <c r="N128" s="21"/>
      <c r="O128" s="21"/>
      <c r="P128" s="21"/>
      <c r="Q128" s="21"/>
      <c r="R128" s="21"/>
      <c r="S128" s="21"/>
      <c r="T128" s="21"/>
      <c r="U128" s="21"/>
      <c r="V128" s="21"/>
      <c r="W128" s="21"/>
      <c r="X128" s="21"/>
    </row>
    <row r="129" spans="1:24" hidden="1">
      <c r="A129" s="905"/>
      <c r="B129" s="21"/>
      <c r="C129" s="21"/>
      <c r="D129" s="21"/>
      <c r="E129" s="21"/>
      <c r="F129" s="906"/>
      <c r="G129" s="21"/>
      <c r="H129" s="21"/>
      <c r="I129" s="21"/>
      <c r="J129" s="21"/>
      <c r="K129" s="21"/>
      <c r="L129" s="21"/>
      <c r="M129" s="21"/>
      <c r="N129" s="21"/>
      <c r="O129" s="21"/>
      <c r="P129" s="21"/>
      <c r="Q129" s="21"/>
      <c r="R129" s="21"/>
      <c r="S129" s="21"/>
      <c r="T129" s="21"/>
      <c r="U129" s="21"/>
      <c r="V129" s="21"/>
      <c r="W129" s="21"/>
      <c r="X129" s="21"/>
    </row>
    <row r="130" spans="1:24" hidden="1">
      <c r="A130" s="905"/>
      <c r="B130" s="21"/>
      <c r="C130" s="21"/>
      <c r="D130" s="21"/>
      <c r="E130" s="21"/>
      <c r="F130" s="906"/>
      <c r="G130" s="21"/>
      <c r="H130" s="21"/>
      <c r="I130" s="21"/>
      <c r="J130" s="21"/>
      <c r="K130" s="21"/>
      <c r="L130" s="21"/>
      <c r="M130" s="21"/>
      <c r="N130" s="21"/>
      <c r="O130" s="21"/>
      <c r="P130" s="21"/>
      <c r="Q130" s="21"/>
      <c r="R130" s="21"/>
      <c r="S130" s="21"/>
      <c r="T130" s="21"/>
      <c r="U130" s="21"/>
      <c r="V130" s="21"/>
      <c r="W130" s="21"/>
      <c r="X130" s="21"/>
    </row>
    <row r="131" spans="1:24" hidden="1">
      <c r="A131" s="905"/>
      <c r="B131" s="21"/>
      <c r="C131" s="21"/>
      <c r="D131" s="21"/>
      <c r="E131" s="21"/>
      <c r="F131" s="906"/>
      <c r="G131" s="21"/>
      <c r="H131" s="21"/>
      <c r="I131" s="21"/>
      <c r="J131" s="21"/>
      <c r="K131" s="21"/>
      <c r="L131" s="21"/>
      <c r="M131" s="21"/>
      <c r="N131" s="21"/>
      <c r="O131" s="21"/>
      <c r="P131" s="21"/>
      <c r="Q131" s="21"/>
      <c r="R131" s="21"/>
      <c r="S131" s="21"/>
      <c r="T131" s="21"/>
      <c r="U131" s="21"/>
      <c r="V131" s="21"/>
      <c r="W131" s="21"/>
      <c r="X131" s="21"/>
    </row>
    <row r="132" spans="1:24" hidden="1">
      <c r="A132" s="905"/>
      <c r="B132" s="21"/>
      <c r="C132" s="21"/>
      <c r="D132" s="21"/>
      <c r="E132" s="21"/>
      <c r="F132" s="906"/>
      <c r="G132" s="21"/>
      <c r="H132" s="21"/>
      <c r="I132" s="21"/>
      <c r="J132" s="21"/>
      <c r="K132" s="21"/>
      <c r="L132" s="21"/>
      <c r="M132" s="21"/>
      <c r="N132" s="21"/>
      <c r="O132" s="21"/>
      <c r="P132" s="21"/>
      <c r="Q132" s="21"/>
      <c r="R132" s="21"/>
      <c r="S132" s="21"/>
      <c r="T132" s="21"/>
      <c r="U132" s="21"/>
      <c r="V132" s="21"/>
      <c r="W132" s="21"/>
      <c r="X132" s="21"/>
    </row>
    <row r="133" spans="1:24" hidden="1">
      <c r="A133" s="905"/>
      <c r="B133" s="21"/>
      <c r="C133" s="21"/>
      <c r="D133" s="21"/>
      <c r="E133" s="21"/>
      <c r="F133" s="906"/>
      <c r="G133" s="21"/>
      <c r="H133" s="21"/>
      <c r="I133" s="21"/>
      <c r="J133" s="21"/>
      <c r="K133" s="21"/>
      <c r="L133" s="21"/>
      <c r="M133" s="21"/>
      <c r="N133" s="21"/>
      <c r="O133" s="21"/>
      <c r="P133" s="21"/>
      <c r="Q133" s="21"/>
      <c r="R133" s="21"/>
      <c r="S133" s="21"/>
      <c r="T133" s="21"/>
      <c r="U133" s="21"/>
      <c r="V133" s="21"/>
      <c r="W133" s="21"/>
      <c r="X133" s="21"/>
    </row>
    <row r="134" spans="1:24" hidden="1">
      <c r="A134" s="905"/>
      <c r="B134" s="21"/>
      <c r="C134" s="21"/>
      <c r="D134" s="21"/>
      <c r="E134" s="21"/>
      <c r="F134" s="906"/>
      <c r="G134" s="21"/>
      <c r="H134" s="21"/>
      <c r="I134" s="21"/>
      <c r="J134" s="21"/>
      <c r="K134" s="21"/>
      <c r="L134" s="21"/>
      <c r="M134" s="21"/>
      <c r="N134" s="21"/>
      <c r="O134" s="21"/>
      <c r="P134" s="21"/>
      <c r="Q134" s="21"/>
      <c r="R134" s="21"/>
      <c r="S134" s="21"/>
      <c r="T134" s="21"/>
      <c r="U134" s="21"/>
      <c r="V134" s="21"/>
      <c r="W134" s="21"/>
      <c r="X134" s="21"/>
    </row>
    <row r="135" spans="1:24" hidden="1">
      <c r="A135" s="905"/>
      <c r="B135" s="21"/>
      <c r="C135" s="21"/>
      <c r="D135" s="21"/>
      <c r="E135" s="21"/>
      <c r="F135" s="906"/>
      <c r="G135" s="21"/>
      <c r="H135" s="21"/>
      <c r="I135" s="21"/>
      <c r="J135" s="21"/>
      <c r="K135" s="21"/>
      <c r="L135" s="21"/>
      <c r="M135" s="21"/>
      <c r="N135" s="21"/>
      <c r="O135" s="21"/>
      <c r="P135" s="21"/>
      <c r="Q135" s="21"/>
      <c r="R135" s="21"/>
      <c r="S135" s="21"/>
      <c r="T135" s="21"/>
      <c r="U135" s="21"/>
      <c r="V135" s="21"/>
      <c r="W135" s="21"/>
      <c r="X135" s="21"/>
    </row>
    <row r="136" spans="1:24" hidden="1">
      <c r="A136" s="905"/>
      <c r="B136" s="21"/>
      <c r="C136" s="21"/>
      <c r="D136" s="21"/>
      <c r="E136" s="21"/>
      <c r="F136" s="906"/>
      <c r="G136" s="21"/>
      <c r="H136" s="21"/>
      <c r="I136" s="21"/>
      <c r="J136" s="21"/>
      <c r="K136" s="21"/>
      <c r="L136" s="21"/>
      <c r="M136" s="21"/>
      <c r="N136" s="21"/>
      <c r="O136" s="21"/>
      <c r="P136" s="21"/>
      <c r="Q136" s="21"/>
      <c r="R136" s="21"/>
      <c r="S136" s="21"/>
      <c r="T136" s="21"/>
      <c r="U136" s="21"/>
      <c r="V136" s="21"/>
      <c r="W136" s="21"/>
      <c r="X136" s="21"/>
    </row>
    <row r="137" spans="1:24" hidden="1">
      <c r="A137" s="905"/>
      <c r="B137" s="21"/>
      <c r="C137" s="21"/>
      <c r="D137" s="21"/>
      <c r="E137" s="21"/>
      <c r="F137" s="906"/>
      <c r="G137" s="21"/>
      <c r="H137" s="21"/>
      <c r="I137" s="21"/>
      <c r="J137" s="21"/>
      <c r="K137" s="21"/>
      <c r="L137" s="21"/>
      <c r="M137" s="21"/>
      <c r="N137" s="21"/>
      <c r="O137" s="21"/>
      <c r="P137" s="21"/>
      <c r="Q137" s="21"/>
      <c r="R137" s="21"/>
      <c r="S137" s="21"/>
      <c r="T137" s="21"/>
      <c r="U137" s="21"/>
      <c r="V137" s="21"/>
      <c r="W137" s="21"/>
      <c r="X137" s="21"/>
    </row>
    <row r="138" spans="1:24" ht="13.5" hidden="1" thickBot="1">
      <c r="A138" s="908"/>
      <c r="B138" s="909"/>
      <c r="C138" s="909"/>
      <c r="D138" s="909"/>
      <c r="E138" s="909"/>
      <c r="F138" s="910"/>
      <c r="G138" s="21"/>
      <c r="H138" s="21"/>
      <c r="I138" s="21"/>
      <c r="J138" s="21"/>
      <c r="K138" s="21"/>
      <c r="L138" s="21"/>
      <c r="M138" s="21"/>
      <c r="N138" s="21"/>
      <c r="O138" s="21"/>
      <c r="P138" s="21"/>
      <c r="Q138" s="21"/>
      <c r="R138" s="21"/>
      <c r="S138" s="21"/>
      <c r="T138" s="21"/>
      <c r="U138" s="21"/>
      <c r="V138" s="21"/>
      <c r="W138" s="21"/>
      <c r="X138" s="21"/>
    </row>
    <row r="139" spans="1:24"/>
    <row r="140" spans="1:24"/>
    <row r="141" spans="1:24"/>
    <row r="142" spans="1:24"/>
    <row r="143" spans="1:24"/>
    <row r="144" spans="1:2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sheetData>
  <customSheetViews>
    <customSheetView guid="{FC62AB03-1E1B-40DD-97B7-FC10FADA3A15}" showPageBreaks="1" printArea="1">
      <selection activeCell="C9" sqref="C9"/>
      <pageMargins left="0" right="0" top="0" bottom="0" header="0" footer="0"/>
      <printOptions horizontalCentered="1"/>
      <pageSetup paperSize="9" scale="97" orientation="portrait" r:id="rId1"/>
      <headerFooter alignWithMargins="0">
        <oddHeader>&amp;L&amp;G&amp;R&amp;8Mit freundlicher Unterstützung von&amp;10
&amp;"Arial,Fett"&amp;11Enigma Gründungszentrum</oddHeader>
        <oddFooter>&amp;L&amp;9SD / 03-2008
MvC / 05-2008&amp;Cwww.enigmagruendungszentrum.de
www.gruendungsatelier.de&amp;R&amp;9Seite 0</oddFooter>
      </headerFooter>
    </customSheetView>
  </customSheetViews>
  <mergeCells count="1">
    <mergeCell ref="G5:G13"/>
  </mergeCells>
  <phoneticPr fontId="31" type="noConversion"/>
  <dataValidations count="2">
    <dataValidation type="list" allowBlank="1" showInputMessage="1" showErrorMessage="1" sqref="C9" xr:uid="{002F0ECC-E479-4A9C-B5A9-AF86580BEA6B}">
      <formula1>"0%,7%,19%,15%"</formula1>
    </dataValidation>
    <dataValidation type="list" allowBlank="1" showInputMessage="1" showErrorMessage="1" sqref="C8" xr:uid="{2F225713-3391-4088-9462-65DB3CBCD927}">
      <formula1>$G$99:$G$110</formula1>
    </dataValidation>
  </dataValidations>
  <printOptions horizontalCentered="1"/>
  <pageMargins left="1.3779527559055118" right="0.78740157480314965" top="1.2204724409448819" bottom="0.78740157480314965" header="0.51181102362204722" footer="0.39370078740157483"/>
  <pageSetup paperSize="9" scale="97" orientation="portrait" r:id="rId2"/>
  <headerFooter alignWithMargins="0">
    <oddHeader>&amp;L&amp;F&amp;R&amp;8&amp;A</oddHeader>
    <oddFooter>&amp;L&amp;9Die Vorlage dieser Datei wurde zur Verfügung gestellt durch die Wirtschafts-Senioren Hannover</oddFooter>
  </headerFooter>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F6B8-75B1-46AA-A1DC-DC7FCF7FE458}">
  <dimension ref="A1:P30"/>
  <sheetViews>
    <sheetView workbookViewId="0">
      <selection activeCell="M15" sqref="M15"/>
    </sheetView>
  </sheetViews>
  <sheetFormatPr defaultRowHeight="12.75"/>
  <cols>
    <col min="1" max="1" width="11.42578125" customWidth="1"/>
    <col min="2" max="2" width="14.28515625" customWidth="1"/>
    <col min="3" max="256" width="11.42578125" customWidth="1"/>
  </cols>
  <sheetData>
    <row r="1" spans="1:16" ht="39">
      <c r="A1" s="1959" t="s">
        <v>64</v>
      </c>
      <c r="D1" s="2154">
        <f ca="1">TODAY()</f>
        <v>45978</v>
      </c>
      <c r="E1" s="2155"/>
      <c r="L1" s="2145" t="s">
        <v>65</v>
      </c>
      <c r="M1" s="2145"/>
      <c r="N1" s="2145"/>
      <c r="O1" s="2145"/>
      <c r="P1" s="2145"/>
    </row>
    <row r="2" spans="1:16" ht="15">
      <c r="A2" s="2147" t="s">
        <v>66</v>
      </c>
      <c r="B2" s="2148"/>
      <c r="C2" s="2148"/>
      <c r="D2" s="2148"/>
      <c r="E2" s="2148"/>
      <c r="F2" s="1960"/>
      <c r="G2" s="1960"/>
      <c r="H2" s="1960"/>
      <c r="I2" s="1960"/>
      <c r="J2" s="1960"/>
      <c r="L2" s="2146"/>
      <c r="M2" s="2146"/>
      <c r="N2" s="2146"/>
      <c r="O2" s="2146"/>
      <c r="P2" s="2146"/>
    </row>
    <row r="3" spans="1:16" ht="19.899999999999999" customHeight="1">
      <c r="A3" s="2147" t="s">
        <v>67</v>
      </c>
      <c r="B3" s="2148"/>
      <c r="C3" s="2148"/>
      <c r="D3" s="2148"/>
      <c r="E3" s="2148"/>
      <c r="F3" s="1960"/>
      <c r="G3" s="1960"/>
      <c r="H3" s="1960"/>
      <c r="I3" s="1960"/>
      <c r="J3" s="1960"/>
    </row>
    <row r="4" spans="1:16" ht="13.5">
      <c r="A4" s="1961"/>
      <c r="B4" s="1962"/>
      <c r="C4" s="1960"/>
      <c r="D4" s="1960"/>
      <c r="E4" s="1960"/>
      <c r="F4" s="1960"/>
      <c r="G4" s="1960"/>
      <c r="H4" s="1960"/>
      <c r="I4" s="1960"/>
      <c r="J4" s="1960"/>
    </row>
    <row r="5" spans="1:16" ht="13.5">
      <c r="A5" s="1963"/>
      <c r="B5" s="1960"/>
      <c r="C5" s="1960"/>
      <c r="D5" s="1960"/>
      <c r="E5" s="1960"/>
      <c r="F5" s="1960"/>
      <c r="G5" s="1960"/>
      <c r="H5" s="1960"/>
      <c r="I5" s="1960"/>
      <c r="J5" s="1960"/>
    </row>
    <row r="6" spans="1:16" ht="15.75">
      <c r="A6" s="2039" t="s">
        <v>68</v>
      </c>
      <c r="B6" s="1964" t="s">
        <v>69</v>
      </c>
      <c r="C6" s="1965"/>
      <c r="D6" s="1965"/>
      <c r="E6" s="1965"/>
      <c r="G6" s="1960"/>
      <c r="H6" s="1960"/>
      <c r="I6" s="1960"/>
      <c r="J6" s="1960"/>
    </row>
    <row r="8" spans="1:16">
      <c r="B8" s="2149" t="s">
        <v>70</v>
      </c>
      <c r="C8" s="2150"/>
      <c r="D8" s="2150"/>
      <c r="E8" s="2150"/>
      <c r="F8" s="2150"/>
      <c r="G8" s="2150"/>
      <c r="H8" s="2150"/>
      <c r="I8" s="2150"/>
      <c r="J8" s="2150"/>
      <c r="K8" s="2150"/>
    </row>
    <row r="9" spans="1:16" ht="15">
      <c r="A9" s="1966" t="s">
        <v>71</v>
      </c>
      <c r="B9" s="2150"/>
      <c r="C9" s="2150"/>
      <c r="D9" s="2150"/>
      <c r="E9" s="2150"/>
      <c r="F9" s="2150"/>
      <c r="G9" s="2150"/>
      <c r="H9" s="2150"/>
      <c r="I9" s="2150"/>
      <c r="J9" s="2150"/>
      <c r="K9" s="2150"/>
    </row>
    <row r="10" spans="1:16" ht="15">
      <c r="A10" s="1967"/>
      <c r="B10" s="2150"/>
      <c r="C10" s="2150"/>
      <c r="D10" s="2150"/>
      <c r="E10" s="2150"/>
      <c r="F10" s="2150"/>
      <c r="G10" s="2150"/>
      <c r="H10" s="2150"/>
      <c r="I10" s="2150"/>
      <c r="J10" s="2150"/>
      <c r="K10" s="2150"/>
    </row>
    <row r="11" spans="1:16" ht="15">
      <c r="A11" s="1967"/>
    </row>
    <row r="12" spans="1:16" ht="20.100000000000001" customHeight="1">
      <c r="A12" s="1964" t="s">
        <v>72</v>
      </c>
      <c r="B12" s="2151" t="s">
        <v>73</v>
      </c>
      <c r="C12" s="2152"/>
      <c r="D12" s="2152"/>
      <c r="E12" s="2152"/>
      <c r="F12" s="2152"/>
      <c r="G12" s="2152"/>
      <c r="H12" s="2152"/>
      <c r="I12" s="2152"/>
      <c r="J12" s="2152"/>
      <c r="K12" s="2152"/>
    </row>
    <row r="13" spans="1:16" ht="20.100000000000001" customHeight="1">
      <c r="A13" s="1544"/>
      <c r="B13" s="2152"/>
      <c r="C13" s="2152"/>
      <c r="D13" s="2152"/>
      <c r="E13" s="2152"/>
      <c r="F13" s="2152"/>
      <c r="G13" s="2152"/>
      <c r="H13" s="2152"/>
      <c r="I13" s="2152"/>
      <c r="J13" s="2152"/>
      <c r="K13" s="2152"/>
    </row>
    <row r="14" spans="1:16" ht="20.100000000000001" customHeight="1">
      <c r="A14" s="1544"/>
      <c r="B14" s="2152"/>
      <c r="C14" s="2152"/>
      <c r="D14" s="2152"/>
      <c r="E14" s="2152"/>
      <c r="F14" s="2152"/>
      <c r="G14" s="2152"/>
      <c r="H14" s="2152"/>
      <c r="I14" s="2152"/>
      <c r="J14" s="2152"/>
      <c r="K14" s="2152"/>
    </row>
    <row r="15" spans="1:16" ht="20.100000000000001" customHeight="1">
      <c r="A15" s="1544"/>
      <c r="B15" s="2152"/>
      <c r="C15" s="2152"/>
      <c r="D15" s="2152"/>
      <c r="E15" s="2152"/>
      <c r="F15" s="2152"/>
      <c r="G15" s="2152"/>
      <c r="H15" s="2152"/>
      <c r="I15" s="2152"/>
      <c r="J15" s="2152"/>
      <c r="K15" s="2152"/>
    </row>
    <row r="16" spans="1:16" ht="20.100000000000001" customHeight="1">
      <c r="A16" s="1964" t="s">
        <v>74</v>
      </c>
      <c r="B16" s="2151" t="s">
        <v>75</v>
      </c>
      <c r="C16" s="2152"/>
      <c r="D16" s="2152"/>
      <c r="E16" s="2152"/>
      <c r="F16" s="2152"/>
      <c r="G16" s="2152"/>
      <c r="H16" s="2152"/>
      <c r="I16" s="2152"/>
      <c r="J16" s="2152"/>
      <c r="K16" s="2152"/>
    </row>
    <row r="17" spans="1:11" ht="20.100000000000001" customHeight="1">
      <c r="A17" s="1544"/>
      <c r="B17" s="2152"/>
      <c r="C17" s="2152"/>
      <c r="D17" s="2152"/>
      <c r="E17" s="2152"/>
      <c r="F17" s="2152"/>
      <c r="G17" s="2152"/>
      <c r="H17" s="2152"/>
      <c r="I17" s="2152"/>
      <c r="J17" s="2152"/>
      <c r="K17" s="2152"/>
    </row>
    <row r="18" spans="1:11" ht="20.100000000000001" customHeight="1">
      <c r="A18" s="1544"/>
      <c r="B18" s="2152"/>
      <c r="C18" s="2152"/>
      <c r="D18" s="2152"/>
      <c r="E18" s="2152"/>
      <c r="F18" s="2152"/>
      <c r="G18" s="2152"/>
      <c r="H18" s="2152"/>
      <c r="I18" s="2152"/>
      <c r="J18" s="2152"/>
      <c r="K18" s="2152"/>
    </row>
    <row r="19" spans="1:11" ht="20.100000000000001" customHeight="1">
      <c r="A19" s="1544"/>
      <c r="B19" s="2040"/>
      <c r="C19" s="2040"/>
      <c r="D19" s="2040"/>
      <c r="E19" s="2040"/>
      <c r="F19" s="2040"/>
      <c r="G19" s="2040"/>
      <c r="H19" s="2040"/>
      <c r="I19" s="2040"/>
      <c r="J19" s="2040"/>
      <c r="K19" s="2040"/>
    </row>
    <row r="20" spans="1:11" ht="20.100000000000001" customHeight="1">
      <c r="A20" s="1964" t="s">
        <v>76</v>
      </c>
      <c r="B20" s="2151" t="s">
        <v>77</v>
      </c>
      <c r="C20" s="2152"/>
      <c r="D20" s="2152"/>
      <c r="E20" s="2152"/>
      <c r="F20" s="2152"/>
      <c r="G20" s="2152"/>
      <c r="H20" s="2152"/>
      <c r="I20" s="2152"/>
      <c r="J20" s="2152"/>
      <c r="K20" s="2152"/>
    </row>
    <row r="21" spans="1:11" ht="20.100000000000001" customHeight="1">
      <c r="A21" s="1544"/>
      <c r="B21" s="2152"/>
      <c r="C21" s="2152"/>
      <c r="D21" s="2152"/>
      <c r="E21" s="2152"/>
      <c r="F21" s="2152"/>
      <c r="G21" s="2152"/>
      <c r="H21" s="2152"/>
      <c r="I21" s="2152"/>
      <c r="J21" s="2152"/>
      <c r="K21" s="2152"/>
    </row>
    <row r="22" spans="1:11" ht="20.100000000000001" customHeight="1">
      <c r="A22" s="1544"/>
      <c r="B22" s="2152"/>
      <c r="C22" s="2152"/>
      <c r="D22" s="2152"/>
      <c r="E22" s="2152"/>
      <c r="F22" s="2152"/>
      <c r="G22" s="2152"/>
      <c r="H22" s="2152"/>
      <c r="I22" s="2152"/>
      <c r="J22" s="2152"/>
      <c r="K22" s="2152"/>
    </row>
    <row r="23" spans="1:11" ht="20.100000000000001" customHeight="1">
      <c r="A23" s="1543"/>
      <c r="B23" s="2152"/>
      <c r="C23" s="2152"/>
      <c r="D23" s="2152"/>
      <c r="E23" s="2152"/>
      <c r="F23" s="2152"/>
      <c r="G23" s="2152"/>
      <c r="H23" s="2152"/>
      <c r="I23" s="2152"/>
      <c r="J23" s="2152"/>
      <c r="K23" s="2152"/>
    </row>
    <row r="24" spans="1:11" ht="20.100000000000001" customHeight="1">
      <c r="A24" s="1544"/>
      <c r="B24" s="2152"/>
      <c r="C24" s="2152"/>
      <c r="D24" s="2152"/>
      <c r="E24" s="2152"/>
      <c r="F24" s="2152"/>
      <c r="G24" s="2152"/>
      <c r="H24" s="2152"/>
      <c r="I24" s="2152"/>
      <c r="J24" s="2152"/>
      <c r="K24" s="2152"/>
    </row>
    <row r="25" spans="1:11" ht="20.100000000000001" customHeight="1">
      <c r="A25" s="1544"/>
      <c r="B25" s="2040"/>
      <c r="C25" s="2040"/>
      <c r="D25" s="2040"/>
      <c r="E25" s="2040"/>
      <c r="F25" s="2040"/>
      <c r="G25" s="2040"/>
      <c r="H25" s="2040"/>
      <c r="I25" s="2040"/>
      <c r="J25" s="2040"/>
      <c r="K25" s="2040"/>
    </row>
    <row r="26" spans="1:11" ht="20.100000000000001" customHeight="1">
      <c r="A26" s="1543" t="s">
        <v>78</v>
      </c>
      <c r="B26" s="2151" t="s">
        <v>79</v>
      </c>
      <c r="C26" s="2152"/>
      <c r="D26" s="2152"/>
      <c r="E26" s="2152"/>
      <c r="F26" s="2152"/>
      <c r="G26" s="2152"/>
      <c r="H26" s="2152"/>
      <c r="I26" s="2152"/>
      <c r="J26" s="2152"/>
      <c r="K26" s="2152"/>
    </row>
    <row r="27" spans="1:11" ht="20.100000000000001" customHeight="1">
      <c r="A27" s="1544"/>
      <c r="B27" s="2152"/>
      <c r="C27" s="2152"/>
      <c r="D27" s="2152"/>
      <c r="E27" s="2152"/>
      <c r="F27" s="2152"/>
      <c r="G27" s="2152"/>
      <c r="H27" s="2152"/>
      <c r="I27" s="2152"/>
      <c r="J27" s="2152"/>
      <c r="K27" s="2152"/>
    </row>
    <row r="28" spans="1:11" ht="20.100000000000001" customHeight="1">
      <c r="A28" s="1544"/>
      <c r="B28" s="2152"/>
      <c r="C28" s="2152"/>
      <c r="D28" s="2152"/>
      <c r="E28" s="2152"/>
      <c r="F28" s="2152"/>
      <c r="G28" s="2152"/>
      <c r="H28" s="2152"/>
      <c r="I28" s="2152"/>
      <c r="J28" s="2152"/>
      <c r="K28" s="2152"/>
    </row>
    <row r="29" spans="1:11" ht="20.100000000000001" customHeight="1">
      <c r="A29" s="1544"/>
      <c r="B29" s="2152"/>
      <c r="C29" s="2152"/>
      <c r="D29" s="2152"/>
      <c r="E29" s="2152"/>
      <c r="F29" s="2152"/>
      <c r="G29" s="2152"/>
      <c r="H29" s="2152"/>
      <c r="I29" s="2152"/>
      <c r="J29" s="2152"/>
      <c r="K29" s="2152"/>
    </row>
    <row r="30" spans="1:11">
      <c r="B30" s="2153"/>
      <c r="C30" s="2153"/>
      <c r="D30" s="2153"/>
      <c r="E30" s="2153"/>
      <c r="F30" s="2153"/>
      <c r="G30" s="2153"/>
      <c r="H30" s="2153"/>
      <c r="I30" s="2153"/>
      <c r="J30" s="2153"/>
      <c r="K30" s="2153"/>
    </row>
  </sheetData>
  <mergeCells count="10">
    <mergeCell ref="B30:K30"/>
    <mergeCell ref="B16:K18"/>
    <mergeCell ref="B20:K24"/>
    <mergeCell ref="B26:K29"/>
    <mergeCell ref="D1:E1"/>
    <mergeCell ref="L1:P2"/>
    <mergeCell ref="A2:E2"/>
    <mergeCell ref="A3:E3"/>
    <mergeCell ref="B8:K10"/>
    <mergeCell ref="B12:K15"/>
  </mergeCells>
  <pageMargins left="0.7" right="0.7" top="0.78740157499999996" bottom="0.78740157499999996"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2D9A0-AAC5-423D-8231-E3F150333812}">
  <dimension ref="A1"/>
  <sheetViews>
    <sheetView workbookViewId="0">
      <selection activeCell="B15" sqref="B15"/>
    </sheetView>
  </sheetViews>
  <sheetFormatPr defaultColWidth="11.5703125" defaultRowHeight="15"/>
  <cols>
    <col min="1" max="2" width="11.5703125" style="1863"/>
    <col min="3" max="5" width="11.5703125" style="1863" customWidth="1"/>
    <col min="6" max="16384" width="11.5703125" style="1863"/>
  </cols>
  <sheetData/>
  <pageMargins left="0.7" right="0.7" top="0.78740157499999996" bottom="0.78740157499999996"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CC869-7D03-4462-9EF1-FB84E8BCBE6D}">
  <dimension ref="A3:K30"/>
  <sheetViews>
    <sheetView workbookViewId="0">
      <selection activeCell="C32" sqref="C32"/>
    </sheetView>
  </sheetViews>
  <sheetFormatPr defaultColWidth="11.5703125" defaultRowHeight="15"/>
  <cols>
    <col min="1" max="1" width="9.7109375" style="1863" customWidth="1"/>
    <col min="2" max="16384" width="11.5703125" style="1863"/>
  </cols>
  <sheetData>
    <row r="3" spans="1:10">
      <c r="B3" s="2157" t="s">
        <v>80</v>
      </c>
      <c r="C3" s="2158"/>
      <c r="D3" s="2158"/>
      <c r="E3" s="2158"/>
      <c r="F3" s="2158"/>
      <c r="G3" s="2158"/>
      <c r="H3" s="2158"/>
      <c r="I3" s="2158"/>
      <c r="J3" s="2158"/>
    </row>
    <row r="4" spans="1:10">
      <c r="B4" s="2158"/>
      <c r="C4" s="2158"/>
      <c r="D4" s="2158"/>
      <c r="E4" s="2158"/>
      <c r="F4" s="2158"/>
      <c r="G4" s="2158"/>
      <c r="H4" s="2158"/>
      <c r="I4" s="2158"/>
      <c r="J4" s="2158"/>
    </row>
    <row r="7" spans="1:10">
      <c r="B7" s="2156" t="s">
        <v>81</v>
      </c>
      <c r="C7" s="2156"/>
      <c r="D7" s="2156"/>
      <c r="E7" s="2156"/>
      <c r="F7" s="2156"/>
      <c r="G7" s="2156"/>
      <c r="H7" s="2156"/>
      <c r="I7" s="2156"/>
      <c r="J7" s="2156"/>
    </row>
    <row r="8" spans="1:10">
      <c r="A8" s="1864" t="s">
        <v>82</v>
      </c>
      <c r="B8" s="2156"/>
      <c r="C8" s="2156"/>
      <c r="D8" s="2156"/>
      <c r="E8" s="2156"/>
      <c r="F8" s="2156"/>
      <c r="G8" s="2156"/>
      <c r="H8" s="2156"/>
      <c r="I8" s="2156"/>
      <c r="J8" s="2156"/>
    </row>
    <row r="9" spans="1:10">
      <c r="B9" s="2156"/>
      <c r="C9" s="2156"/>
      <c r="D9" s="2156"/>
      <c r="E9" s="2156"/>
      <c r="F9" s="2156"/>
      <c r="G9" s="2156"/>
      <c r="H9" s="2156"/>
      <c r="I9" s="2156"/>
      <c r="J9" s="2156"/>
    </row>
    <row r="10" spans="1:10">
      <c r="B10" s="2156"/>
      <c r="C10" s="2156"/>
      <c r="D10" s="2156"/>
      <c r="E10" s="2156"/>
      <c r="F10" s="2156"/>
      <c r="G10" s="2156"/>
      <c r="H10" s="2156"/>
      <c r="I10" s="2156"/>
      <c r="J10" s="2156"/>
    </row>
    <row r="11" spans="1:10">
      <c r="B11" s="1865"/>
      <c r="C11" s="1865"/>
      <c r="D11" s="1865"/>
      <c r="E11" s="1865"/>
      <c r="F11" s="1865"/>
      <c r="G11" s="1865"/>
      <c r="H11" s="1865"/>
      <c r="I11" s="1865"/>
      <c r="J11" s="1865"/>
    </row>
    <row r="12" spans="1:10">
      <c r="A12" s="1864" t="s">
        <v>83</v>
      </c>
      <c r="B12" s="2156" t="s">
        <v>84</v>
      </c>
      <c r="C12" s="2156"/>
      <c r="D12" s="2156"/>
      <c r="E12" s="2156"/>
      <c r="F12" s="2156"/>
      <c r="G12" s="2156"/>
      <c r="H12" s="2156"/>
      <c r="I12" s="2156"/>
      <c r="J12" s="2156"/>
    </row>
    <row r="13" spans="1:10">
      <c r="B13" s="2156"/>
      <c r="C13" s="2156"/>
      <c r="D13" s="2156"/>
      <c r="E13" s="2156"/>
      <c r="F13" s="2156"/>
      <c r="G13" s="2156"/>
      <c r="H13" s="2156"/>
      <c r="I13" s="2156"/>
      <c r="J13" s="2156"/>
    </row>
    <row r="14" spans="1:10">
      <c r="B14" s="2156"/>
      <c r="C14" s="2156"/>
      <c r="D14" s="2156"/>
      <c r="E14" s="2156"/>
      <c r="F14" s="2156"/>
      <c r="G14" s="2156"/>
      <c r="H14" s="2156"/>
      <c r="I14" s="2156"/>
      <c r="J14" s="2156"/>
    </row>
    <row r="15" spans="1:10">
      <c r="B15" s="2156"/>
      <c r="C15" s="2156"/>
      <c r="D15" s="2156"/>
      <c r="E15" s="2156"/>
      <c r="F15" s="2156"/>
      <c r="G15" s="2156"/>
      <c r="H15" s="2156"/>
      <c r="I15" s="2156"/>
      <c r="J15" s="2156"/>
    </row>
    <row r="16" spans="1:10">
      <c r="B16" s="1865"/>
      <c r="C16" s="1865"/>
      <c r="D16" s="1865"/>
      <c r="E16" s="1865"/>
      <c r="F16" s="1865"/>
      <c r="G16" s="1865"/>
      <c r="H16" s="1865"/>
      <c r="I16" s="1865"/>
      <c r="J16" s="1865"/>
    </row>
    <row r="17" spans="1:11">
      <c r="B17" s="2156" t="s">
        <v>85</v>
      </c>
      <c r="C17" s="2156"/>
      <c r="D17" s="2156"/>
      <c r="E17" s="2156"/>
      <c r="F17" s="2156"/>
      <c r="G17" s="2156"/>
      <c r="H17" s="2156"/>
      <c r="I17" s="2156"/>
      <c r="J17" s="2156"/>
    </row>
    <row r="18" spans="1:11">
      <c r="A18" s="1864" t="s">
        <v>86</v>
      </c>
      <c r="B18" s="2156"/>
      <c r="C18" s="2156"/>
      <c r="D18" s="2156"/>
      <c r="E18" s="2156"/>
      <c r="F18" s="2156"/>
      <c r="G18" s="2156"/>
      <c r="H18" s="2156"/>
      <c r="I18" s="2156"/>
      <c r="J18" s="2156"/>
      <c r="K18" s="1866"/>
    </row>
    <row r="19" spans="1:11">
      <c r="B19" s="2156"/>
      <c r="C19" s="2156"/>
      <c r="D19" s="2156"/>
      <c r="E19" s="2156"/>
      <c r="F19" s="2156"/>
      <c r="G19" s="2156"/>
      <c r="H19" s="2156"/>
      <c r="I19" s="2156"/>
      <c r="J19" s="2156"/>
    </row>
    <row r="20" spans="1:11">
      <c r="B20" s="2156"/>
      <c r="C20" s="2156"/>
      <c r="D20" s="2156"/>
      <c r="E20" s="2156"/>
      <c r="F20" s="2156"/>
      <c r="G20" s="2156"/>
      <c r="H20" s="2156"/>
      <c r="I20" s="2156"/>
      <c r="J20" s="2156"/>
    </row>
    <row r="22" spans="1:11" ht="14.45" customHeight="1">
      <c r="B22" s="2156" t="s">
        <v>87</v>
      </c>
      <c r="C22" s="2156"/>
      <c r="D22" s="2156"/>
      <c r="E22" s="2156"/>
      <c r="F22" s="2156"/>
      <c r="G22" s="2156"/>
      <c r="H22" s="2156"/>
      <c r="I22" s="2156"/>
      <c r="J22" s="2156"/>
    </row>
    <row r="23" spans="1:11" ht="14.45" customHeight="1">
      <c r="A23" s="1864" t="s">
        <v>88</v>
      </c>
      <c r="B23" s="2156"/>
      <c r="C23" s="2156"/>
      <c r="D23" s="2156"/>
      <c r="E23" s="2156"/>
      <c r="F23" s="2156"/>
      <c r="G23" s="2156"/>
      <c r="H23" s="2156"/>
      <c r="I23" s="2156"/>
      <c r="J23" s="2156"/>
    </row>
    <row r="24" spans="1:11" ht="14.45" customHeight="1">
      <c r="B24" s="2156"/>
      <c r="C24" s="2156"/>
      <c r="D24" s="2156"/>
      <c r="E24" s="2156"/>
      <c r="F24" s="2156"/>
      <c r="G24" s="2156"/>
      <c r="H24" s="2156"/>
      <c r="I24" s="2156"/>
      <c r="J24" s="2156"/>
    </row>
    <row r="25" spans="1:11" ht="14.45" customHeight="1">
      <c r="B25" s="2156"/>
      <c r="C25" s="2156"/>
      <c r="D25" s="2156"/>
      <c r="E25" s="2156"/>
      <c r="F25" s="2156"/>
      <c r="G25" s="2156"/>
      <c r="H25" s="2156"/>
      <c r="I25" s="2156"/>
      <c r="J25" s="2156"/>
    </row>
    <row r="27" spans="1:11">
      <c r="B27" s="2156" t="s">
        <v>89</v>
      </c>
      <c r="C27" s="2156"/>
      <c r="D27" s="2156"/>
      <c r="E27" s="2156"/>
      <c r="F27" s="2156"/>
      <c r="G27" s="2156"/>
      <c r="H27" s="2156"/>
      <c r="I27" s="2156"/>
      <c r="J27" s="2156"/>
    </row>
    <row r="28" spans="1:11">
      <c r="B28" s="2156"/>
      <c r="C28" s="2156"/>
      <c r="D28" s="2156"/>
      <c r="E28" s="2156"/>
      <c r="F28" s="2156"/>
      <c r="G28" s="2156"/>
      <c r="H28" s="2156"/>
      <c r="I28" s="2156"/>
      <c r="J28" s="2156"/>
    </row>
    <row r="29" spans="1:11">
      <c r="A29" s="1864" t="s">
        <v>90</v>
      </c>
      <c r="B29" s="2156"/>
      <c r="C29" s="2156"/>
      <c r="D29" s="2156"/>
      <c r="E29" s="2156"/>
      <c r="F29" s="2156"/>
      <c r="G29" s="2156"/>
      <c r="H29" s="2156"/>
      <c r="I29" s="2156"/>
      <c r="J29" s="2156"/>
    </row>
    <row r="30" spans="1:11">
      <c r="B30" s="2156"/>
      <c r="C30" s="2156"/>
      <c r="D30" s="2156"/>
      <c r="E30" s="2156"/>
      <c r="F30" s="2156"/>
      <c r="G30" s="2156"/>
      <c r="H30" s="2156"/>
      <c r="I30" s="2156"/>
      <c r="J30" s="2156"/>
    </row>
  </sheetData>
  <mergeCells count="6">
    <mergeCell ref="B27:J30"/>
    <mergeCell ref="B3:J4"/>
    <mergeCell ref="B7:J10"/>
    <mergeCell ref="B12:J15"/>
    <mergeCell ref="B17:J20"/>
    <mergeCell ref="B22:J25"/>
  </mergeCells>
  <pageMargins left="0.7" right="0.7" top="0.78740157499999996" bottom="0.78740157499999996"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1A233-73A1-4891-ADE7-3D068C0D7224}">
  <dimension ref="A1:N50"/>
  <sheetViews>
    <sheetView workbookViewId="0">
      <selection activeCell="F43" sqref="F43"/>
    </sheetView>
  </sheetViews>
  <sheetFormatPr defaultRowHeight="12.75"/>
  <cols>
    <col min="1" max="1" width="3.140625" customWidth="1"/>
    <col min="2" max="2" width="8.7109375" customWidth="1"/>
    <col min="3" max="6" width="11.42578125" customWidth="1"/>
    <col min="7" max="7" width="17" customWidth="1"/>
    <col min="8" max="8" width="1.28515625" customWidth="1"/>
    <col min="9" max="13" width="11.42578125" customWidth="1"/>
    <col min="14" max="14" width="2.7109375" customWidth="1"/>
    <col min="15" max="256" width="11.42578125" customWidth="1"/>
  </cols>
  <sheetData>
    <row r="1" spans="1:14" ht="30.6" customHeight="1">
      <c r="A1" s="1830"/>
      <c r="B1" s="2159" t="s">
        <v>91</v>
      </c>
      <c r="C1" s="2160"/>
      <c r="D1" s="2160"/>
      <c r="E1" s="2160"/>
      <c r="F1" s="2160"/>
      <c r="G1" s="2160"/>
      <c r="H1" s="2160"/>
      <c r="I1" s="2160"/>
      <c r="J1" s="2160"/>
      <c r="K1" s="1829"/>
      <c r="L1" s="1829"/>
      <c r="M1" s="1829"/>
      <c r="N1" s="1830"/>
    </row>
    <row r="2" spans="1:14" ht="15">
      <c r="A2" s="1830"/>
      <c r="B2" s="2155" t="s">
        <v>92</v>
      </c>
      <c r="C2" s="2153"/>
      <c r="H2" s="1830"/>
      <c r="N2" s="1830"/>
    </row>
    <row r="3" spans="1:14">
      <c r="A3" s="1830"/>
      <c r="H3" s="1830"/>
      <c r="N3" s="1830"/>
    </row>
    <row r="4" spans="1:14" ht="14.25">
      <c r="A4" s="1830"/>
      <c r="C4" s="1845" t="s">
        <v>93</v>
      </c>
      <c r="H4" s="1830"/>
      <c r="J4" s="1845" t="s">
        <v>94</v>
      </c>
      <c r="N4" s="1830"/>
    </row>
    <row r="5" spans="1:14" ht="13.5" thickBot="1">
      <c r="A5" s="1830"/>
      <c r="B5" s="1832"/>
      <c r="H5" s="1830"/>
      <c r="I5" s="1831"/>
      <c r="N5" s="1830"/>
    </row>
    <row r="6" spans="1:14">
      <c r="A6" s="1830"/>
      <c r="B6" s="1832" t="s">
        <v>95</v>
      </c>
      <c r="C6" s="1834" t="s">
        <v>96</v>
      </c>
      <c r="D6" s="1835"/>
      <c r="E6" s="1835"/>
      <c r="F6" s="1835"/>
      <c r="G6" s="1836"/>
      <c r="H6" s="1830"/>
      <c r="I6" s="1831" t="s">
        <v>95</v>
      </c>
      <c r="J6" s="1844" t="s">
        <v>97</v>
      </c>
      <c r="K6" s="1835"/>
      <c r="L6" s="1835"/>
      <c r="M6" s="1836"/>
      <c r="N6" s="1830"/>
    </row>
    <row r="7" spans="1:14">
      <c r="A7" s="1830"/>
      <c r="B7" s="1832" t="s">
        <v>98</v>
      </c>
      <c r="C7" s="1837" t="s">
        <v>99</v>
      </c>
      <c r="D7" s="1838"/>
      <c r="E7" s="1838"/>
      <c r="F7" s="1838"/>
      <c r="G7" s="1839"/>
      <c r="H7" s="1830"/>
      <c r="I7" s="1831" t="s">
        <v>98</v>
      </c>
      <c r="J7" s="1837" t="s">
        <v>99</v>
      </c>
      <c r="K7" s="1838"/>
      <c r="L7" s="1838"/>
      <c r="M7" s="1839"/>
      <c r="N7" s="1830"/>
    </row>
    <row r="8" spans="1:14">
      <c r="A8" s="1830"/>
      <c r="B8" s="1832" t="s">
        <v>100</v>
      </c>
      <c r="C8" s="1837" t="s">
        <v>101</v>
      </c>
      <c r="D8" s="1838"/>
      <c r="E8" s="1838"/>
      <c r="F8" s="1838"/>
      <c r="G8" s="1839"/>
      <c r="H8" s="1830"/>
      <c r="I8" s="1831"/>
      <c r="J8" s="1837"/>
      <c r="K8" s="1838"/>
      <c r="L8" s="1838"/>
      <c r="M8" s="1839"/>
      <c r="N8" s="1830"/>
    </row>
    <row r="9" spans="1:14">
      <c r="A9" s="1830"/>
      <c r="B9" s="1832" t="s">
        <v>102</v>
      </c>
      <c r="C9" s="1840" t="s">
        <v>103</v>
      </c>
      <c r="D9" s="1838"/>
      <c r="E9" s="1838"/>
      <c r="F9" s="1838"/>
      <c r="G9" s="1839"/>
      <c r="H9" s="1830"/>
      <c r="I9" s="1831"/>
      <c r="J9" s="1837"/>
      <c r="K9" s="1838"/>
      <c r="L9" s="1838"/>
      <c r="M9" s="1839"/>
      <c r="N9" s="1830"/>
    </row>
    <row r="10" spans="1:14">
      <c r="A10" s="1830"/>
      <c r="B10" s="1832" t="s">
        <v>104</v>
      </c>
      <c r="C10" s="1837" t="s">
        <v>105</v>
      </c>
      <c r="D10" s="1838"/>
      <c r="E10" s="1838"/>
      <c r="F10" s="1838"/>
      <c r="G10" s="1839"/>
      <c r="H10" s="1830"/>
      <c r="I10" s="1831" t="s">
        <v>104</v>
      </c>
      <c r="J10" s="1837" t="s">
        <v>105</v>
      </c>
      <c r="K10" s="1838"/>
      <c r="L10" s="1838"/>
      <c r="M10" s="1839"/>
      <c r="N10" s="1830"/>
    </row>
    <row r="11" spans="1:14">
      <c r="A11" s="1830"/>
      <c r="B11" s="1832" t="s">
        <v>106</v>
      </c>
      <c r="C11" s="1837" t="s">
        <v>107</v>
      </c>
      <c r="D11" s="1838"/>
      <c r="E11" s="1838"/>
      <c r="F11" s="1838"/>
      <c r="G11" s="1839"/>
      <c r="H11" s="1830"/>
      <c r="I11" s="1831"/>
      <c r="J11" s="1837"/>
      <c r="K11" s="1838"/>
      <c r="L11" s="1838"/>
      <c r="M11" s="1839"/>
      <c r="N11" s="1830"/>
    </row>
    <row r="12" spans="1:14">
      <c r="A12" s="1830"/>
      <c r="B12" s="1832" t="s">
        <v>108</v>
      </c>
      <c r="C12" s="1840" t="s">
        <v>109</v>
      </c>
      <c r="D12" s="1838"/>
      <c r="E12" s="1838"/>
      <c r="F12" s="1838"/>
      <c r="G12" s="1839"/>
      <c r="H12" s="1830"/>
      <c r="I12" s="1831"/>
      <c r="J12" s="1837"/>
      <c r="K12" s="1838"/>
      <c r="L12" s="1838"/>
      <c r="M12" s="1839"/>
      <c r="N12" s="1830"/>
    </row>
    <row r="13" spans="1:14">
      <c r="A13" s="1830"/>
      <c r="B13" s="1832" t="s">
        <v>110</v>
      </c>
      <c r="C13" s="1840" t="s">
        <v>111</v>
      </c>
      <c r="D13" s="1838"/>
      <c r="E13" s="1838"/>
      <c r="F13" s="1838"/>
      <c r="G13" s="1839"/>
      <c r="H13" s="1830"/>
      <c r="I13" s="1831"/>
      <c r="J13" s="1837"/>
      <c r="K13" s="1838"/>
      <c r="L13" s="1838"/>
      <c r="M13" s="1839"/>
      <c r="N13" s="1830"/>
    </row>
    <row r="14" spans="1:14">
      <c r="A14" s="1830"/>
      <c r="B14" s="1832" t="s">
        <v>112</v>
      </c>
      <c r="C14" s="1837" t="s">
        <v>113</v>
      </c>
      <c r="D14" s="1838"/>
      <c r="E14" s="1838"/>
      <c r="F14" s="1838"/>
      <c r="G14" s="1839"/>
      <c r="H14" s="1830"/>
      <c r="I14" s="1831"/>
      <c r="J14" s="1837"/>
      <c r="K14" s="1838"/>
      <c r="L14" s="1838"/>
      <c r="M14" s="1839"/>
      <c r="N14" s="1830"/>
    </row>
    <row r="15" spans="1:14">
      <c r="A15" s="1830"/>
      <c r="B15" s="1832"/>
      <c r="C15" s="1837" t="s">
        <v>114</v>
      </c>
      <c r="D15" s="1838"/>
      <c r="E15" s="1838"/>
      <c r="F15" s="1838"/>
      <c r="G15" s="1839"/>
      <c r="H15" s="1830"/>
      <c r="I15" s="1831"/>
      <c r="J15" s="1837" t="s">
        <v>114</v>
      </c>
      <c r="K15" s="1838"/>
      <c r="L15" s="1838"/>
      <c r="M15" s="1839"/>
      <c r="N15" s="1830"/>
    </row>
    <row r="16" spans="1:14" ht="13.5" thickBot="1">
      <c r="A16" s="1830"/>
      <c r="B16" s="1832"/>
      <c r="C16" s="1841" t="s">
        <v>115</v>
      </c>
      <c r="D16" s="1842"/>
      <c r="E16" s="1842"/>
      <c r="F16" s="1842"/>
      <c r="G16" s="1843"/>
      <c r="H16" s="1830"/>
      <c r="I16" s="1831"/>
      <c r="J16" s="1841" t="s">
        <v>116</v>
      </c>
      <c r="K16" s="1842"/>
      <c r="L16" s="1842"/>
      <c r="M16" s="1843"/>
      <c r="N16" s="1830"/>
    </row>
    <row r="17" spans="1:14">
      <c r="A17" s="1830"/>
      <c r="H17" s="1830"/>
      <c r="N17" s="1830"/>
    </row>
    <row r="18" spans="1:14">
      <c r="A18" s="1830"/>
      <c r="H18" s="1830"/>
      <c r="N18" s="1830"/>
    </row>
    <row r="19" spans="1:14" ht="15">
      <c r="A19" s="1830"/>
      <c r="B19" s="2155" t="s">
        <v>117</v>
      </c>
      <c r="C19" s="2153"/>
      <c r="H19" s="1830"/>
      <c r="N19" s="1830"/>
    </row>
    <row r="20" spans="1:14">
      <c r="A20" s="1830"/>
      <c r="H20" s="1830"/>
      <c r="N20" s="1830"/>
    </row>
    <row r="21" spans="1:14" ht="14.25">
      <c r="A21" s="1830"/>
      <c r="B21" s="1833"/>
      <c r="C21" s="1845" t="s">
        <v>118</v>
      </c>
      <c r="H21" s="1830"/>
      <c r="N21" s="1830"/>
    </row>
    <row r="22" spans="1:14" ht="13.5" thickBot="1">
      <c r="A22" s="1830"/>
      <c r="B22" s="1833"/>
      <c r="H22" s="1830"/>
      <c r="N22" s="1830"/>
    </row>
    <row r="23" spans="1:14">
      <c r="A23" s="1830"/>
      <c r="B23" s="1833"/>
      <c r="C23" s="1844" t="s">
        <v>119</v>
      </c>
      <c r="D23" s="1835"/>
      <c r="E23" s="1835"/>
      <c r="F23" s="1835"/>
      <c r="G23" s="1836"/>
      <c r="H23" s="1830"/>
      <c r="N23" s="1830"/>
    </row>
    <row r="24" spans="1:14">
      <c r="A24" s="1830"/>
      <c r="B24" s="1833" t="s">
        <v>120</v>
      </c>
      <c r="C24" s="1837" t="s">
        <v>121</v>
      </c>
      <c r="D24" s="1838"/>
      <c r="E24" s="1838"/>
      <c r="F24" s="1838"/>
      <c r="G24" s="1839"/>
      <c r="H24" s="1830"/>
      <c r="N24" s="1830"/>
    </row>
    <row r="25" spans="1:14">
      <c r="A25" s="1830"/>
      <c r="B25" s="1833" t="s">
        <v>120</v>
      </c>
      <c r="C25" s="1837" t="s">
        <v>122</v>
      </c>
      <c r="D25" s="1838"/>
      <c r="E25" s="1838"/>
      <c r="F25" s="1838"/>
      <c r="G25" s="1839"/>
      <c r="H25" s="1830"/>
      <c r="N25" s="1830"/>
    </row>
    <row r="26" spans="1:14">
      <c r="A26" s="1830"/>
      <c r="B26" s="1833" t="s">
        <v>123</v>
      </c>
      <c r="C26" s="1837" t="s">
        <v>124</v>
      </c>
      <c r="D26" s="1838"/>
      <c r="E26" s="1838"/>
      <c r="F26" s="1838"/>
      <c r="G26" s="1839"/>
      <c r="H26" s="1830"/>
      <c r="N26" s="1830"/>
    </row>
    <row r="27" spans="1:14">
      <c r="A27" s="1830"/>
      <c r="B27" s="1833" t="s">
        <v>123</v>
      </c>
      <c r="C27" s="1837" t="s">
        <v>125</v>
      </c>
      <c r="D27" s="1838"/>
      <c r="E27" s="1838"/>
      <c r="F27" s="1838"/>
      <c r="G27" s="1839"/>
      <c r="H27" s="1830"/>
      <c r="N27" s="1830"/>
    </row>
    <row r="28" spans="1:14">
      <c r="A28" s="1830"/>
      <c r="B28" s="1833" t="s">
        <v>123</v>
      </c>
      <c r="C28" s="1837" t="s">
        <v>126</v>
      </c>
      <c r="D28" s="1838"/>
      <c r="E28" s="1838"/>
      <c r="F28" s="1838"/>
      <c r="G28" s="1839"/>
      <c r="H28" s="1830"/>
      <c r="N28" s="1830"/>
    </row>
    <row r="29" spans="1:14">
      <c r="A29" s="1830"/>
      <c r="B29" s="1833" t="s">
        <v>123</v>
      </c>
      <c r="C29" s="1837" t="s">
        <v>127</v>
      </c>
      <c r="D29" s="1838"/>
      <c r="E29" s="1838"/>
      <c r="F29" s="1838"/>
      <c r="G29" s="1839"/>
      <c r="H29" s="1830"/>
      <c r="N29" s="1830"/>
    </row>
    <row r="30" spans="1:14" ht="13.5" thickBot="1">
      <c r="A30" s="1830"/>
      <c r="B30" s="1833"/>
      <c r="C30" s="1841" t="s">
        <v>128</v>
      </c>
      <c r="D30" s="1842"/>
      <c r="E30" s="1842"/>
      <c r="F30" s="1842"/>
      <c r="G30" s="1843"/>
      <c r="H30" s="1830"/>
      <c r="N30" s="1830"/>
    </row>
    <row r="31" spans="1:14">
      <c r="A31" s="1830"/>
      <c r="H31" s="1830"/>
      <c r="N31" s="1830"/>
    </row>
    <row r="32" spans="1:14" ht="15">
      <c r="A32" s="1830"/>
      <c r="B32" s="2155" t="s">
        <v>54</v>
      </c>
      <c r="C32" s="2153"/>
      <c r="H32" s="1830"/>
      <c r="N32" s="1830"/>
    </row>
    <row r="33" spans="1:14">
      <c r="A33" s="1830"/>
      <c r="H33" s="1830"/>
      <c r="N33" s="1830"/>
    </row>
    <row r="34" spans="1:14" ht="14.25">
      <c r="A34" s="1830"/>
      <c r="B34" s="1831"/>
      <c r="C34" s="1845" t="s">
        <v>129</v>
      </c>
      <c r="H34" s="1830"/>
      <c r="N34" s="1830"/>
    </row>
    <row r="35" spans="1:14" ht="13.5" thickBot="1">
      <c r="A35" s="1830"/>
      <c r="B35" s="1831"/>
      <c r="H35" s="1830"/>
      <c r="N35" s="1830"/>
    </row>
    <row r="36" spans="1:14">
      <c r="A36" s="1830"/>
      <c r="B36" s="1831"/>
      <c r="C36" s="1844" t="s">
        <v>130</v>
      </c>
      <c r="D36" s="1835"/>
      <c r="E36" s="1835"/>
      <c r="F36" s="1835"/>
      <c r="G36" s="1836"/>
      <c r="H36" s="1830"/>
      <c r="N36" s="1830"/>
    </row>
    <row r="37" spans="1:14">
      <c r="A37" s="1830"/>
      <c r="B37" s="1831" t="s">
        <v>123</v>
      </c>
      <c r="C37" s="1837" t="s">
        <v>131</v>
      </c>
      <c r="D37" s="1838"/>
      <c r="E37" s="1838"/>
      <c r="F37" s="1838"/>
      <c r="G37" s="1839"/>
      <c r="H37" s="1830"/>
      <c r="N37" s="1830"/>
    </row>
    <row r="38" spans="1:14">
      <c r="A38" s="1830"/>
      <c r="B38" s="1831" t="s">
        <v>120</v>
      </c>
      <c r="C38" s="1837" t="s">
        <v>132</v>
      </c>
      <c r="D38" s="1838"/>
      <c r="E38" s="1838"/>
      <c r="F38" s="1838"/>
      <c r="G38" s="1839"/>
      <c r="H38" s="1830"/>
      <c r="N38" s="1830"/>
    </row>
    <row r="39" spans="1:14">
      <c r="A39" s="1830"/>
      <c r="B39" s="1831" t="s">
        <v>120</v>
      </c>
      <c r="C39" s="1837" t="s">
        <v>133</v>
      </c>
      <c r="D39" s="1838"/>
      <c r="E39" s="1838"/>
      <c r="F39" s="1838"/>
      <c r="G39" s="1839"/>
      <c r="H39" s="1830"/>
      <c r="N39" s="1830"/>
    </row>
    <row r="40" spans="1:14">
      <c r="A40" s="1830"/>
      <c r="B40" s="1831"/>
      <c r="C40" s="1837" t="s">
        <v>114</v>
      </c>
      <c r="D40" s="1838"/>
      <c r="E40" s="1838"/>
      <c r="F40" s="1838"/>
      <c r="G40" s="1839"/>
      <c r="H40" s="1830"/>
      <c r="N40" s="1830"/>
    </row>
    <row r="41" spans="1:14" ht="13.5" thickBot="1">
      <c r="A41" s="1830"/>
      <c r="B41" s="1831"/>
      <c r="C41" s="1841" t="s">
        <v>134</v>
      </c>
      <c r="D41" s="1842"/>
      <c r="E41" s="1842"/>
      <c r="F41" s="1842"/>
      <c r="G41" s="1843"/>
      <c r="H41" s="1830"/>
      <c r="N41" s="1830"/>
    </row>
    <row r="42" spans="1:14">
      <c r="A42" s="1830"/>
      <c r="B42" s="1831"/>
      <c r="H42" s="1830"/>
      <c r="N42" s="1830"/>
    </row>
    <row r="43" spans="1:14" ht="14.25">
      <c r="A43" s="1830"/>
      <c r="B43" s="1831"/>
      <c r="C43" s="1845" t="s">
        <v>135</v>
      </c>
      <c r="H43" s="1830"/>
      <c r="N43" s="1830"/>
    </row>
    <row r="44" spans="1:14" ht="13.5" thickBot="1">
      <c r="A44" s="1830"/>
      <c r="B44" s="1831"/>
      <c r="H44" s="1830"/>
      <c r="N44" s="1830"/>
    </row>
    <row r="45" spans="1:14">
      <c r="A45" s="1830"/>
      <c r="B45" s="1831"/>
      <c r="C45" s="1844" t="s">
        <v>133</v>
      </c>
      <c r="D45" s="1835"/>
      <c r="E45" s="1835"/>
      <c r="F45" s="1835"/>
      <c r="G45" s="1836"/>
      <c r="H45" s="1830"/>
      <c r="N45" s="1830"/>
    </row>
    <row r="46" spans="1:14">
      <c r="A46" s="1830"/>
      <c r="B46" s="1831" t="s">
        <v>120</v>
      </c>
      <c r="C46" s="1837" t="s">
        <v>132</v>
      </c>
      <c r="D46" s="1838"/>
      <c r="E46" s="1838"/>
      <c r="F46" s="1838"/>
      <c r="G46" s="1839"/>
      <c r="H46" s="1830"/>
      <c r="N46" s="1830"/>
    </row>
    <row r="47" spans="1:14">
      <c r="A47" s="1830"/>
      <c r="B47" s="1831" t="s">
        <v>123</v>
      </c>
      <c r="C47" s="1837" t="s">
        <v>136</v>
      </c>
      <c r="D47" s="1838"/>
      <c r="E47" s="1838"/>
      <c r="F47" s="1838"/>
      <c r="G47" s="1839"/>
      <c r="H47" s="1830"/>
      <c r="N47" s="1830"/>
    </row>
    <row r="48" spans="1:14" ht="13.5" thickBot="1">
      <c r="A48" s="1830"/>
      <c r="B48" s="1831" t="s">
        <v>123</v>
      </c>
      <c r="C48" s="1841" t="s">
        <v>137</v>
      </c>
      <c r="D48" s="1842"/>
      <c r="E48" s="1842"/>
      <c r="F48" s="1842"/>
      <c r="G48" s="1843"/>
      <c r="H48" s="1830"/>
      <c r="N48" s="1830"/>
    </row>
    <row r="49" spans="1:14">
      <c r="A49" s="1830"/>
      <c r="H49" s="1830"/>
      <c r="N49" s="1830"/>
    </row>
    <row r="50" spans="1:14">
      <c r="A50" s="1830"/>
      <c r="B50" s="1830"/>
      <c r="C50" s="1830"/>
      <c r="D50" s="1830"/>
      <c r="E50" s="1830"/>
      <c r="F50" s="1830"/>
      <c r="G50" s="1830"/>
      <c r="H50" s="1830"/>
      <c r="I50" s="1830"/>
      <c r="J50" s="1830"/>
      <c r="K50" s="1830"/>
      <c r="L50" s="1830"/>
      <c r="M50" s="1830"/>
      <c r="N50" s="1830"/>
    </row>
  </sheetData>
  <mergeCells count="4">
    <mergeCell ref="B1:J1"/>
    <mergeCell ref="B2:C2"/>
    <mergeCell ref="B19:C19"/>
    <mergeCell ref="B32:C32"/>
  </mergeCells>
  <pageMargins left="0.70866141732283472" right="0.70866141732283472"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ED7B-757C-4EE6-B47B-7BCB7A81A090}">
  <sheetPr>
    <tabColor rgb="FFFF0000"/>
  </sheetPr>
  <dimension ref="A1:M40"/>
  <sheetViews>
    <sheetView workbookViewId="0">
      <selection activeCell="N13" sqref="N13"/>
    </sheetView>
  </sheetViews>
  <sheetFormatPr defaultRowHeight="12.75"/>
  <cols>
    <col min="1" max="1" width="19.140625" customWidth="1"/>
    <col min="2" max="256" width="11.42578125" customWidth="1"/>
  </cols>
  <sheetData>
    <row r="1" spans="1:12" ht="27.6" customHeight="1">
      <c r="A1" s="2163" t="str">
        <f>Deckblatt!C5</f>
        <v>Max Mustermann</v>
      </c>
      <c r="B1" s="2163"/>
      <c r="C1" s="2163"/>
      <c r="D1" s="2163"/>
      <c r="E1" s="1602"/>
      <c r="F1" s="1602"/>
      <c r="G1" s="1602"/>
      <c r="H1" s="1602"/>
      <c r="I1" s="1602"/>
      <c r="J1" s="1602"/>
      <c r="K1" s="1602"/>
      <c r="L1" s="1602"/>
    </row>
    <row r="2" spans="1:12">
      <c r="A2" s="1602"/>
      <c r="B2" s="1602"/>
      <c r="C2" s="1602"/>
      <c r="D2" s="1602"/>
      <c r="E2" s="1602"/>
      <c r="F2" s="1602"/>
      <c r="G2" s="1602"/>
      <c r="H2" s="1602"/>
      <c r="I2" s="1602"/>
      <c r="J2" s="1602"/>
      <c r="K2" s="1602"/>
      <c r="L2" s="1602"/>
    </row>
    <row r="3" spans="1:12">
      <c r="A3" s="1700" t="s">
        <v>138</v>
      </c>
      <c r="B3" s="2161"/>
      <c r="C3" s="2162"/>
      <c r="D3" s="2162"/>
      <c r="E3" s="2162"/>
      <c r="F3" s="2162"/>
      <c r="G3" s="2162"/>
      <c r="H3" s="2162"/>
      <c r="I3" s="2162"/>
      <c r="J3" s="2162"/>
      <c r="K3" s="2162"/>
      <c r="L3" s="1602"/>
    </row>
    <row r="4" spans="1:12">
      <c r="A4" s="1700"/>
      <c r="B4" s="2162"/>
      <c r="C4" s="2162"/>
      <c r="D4" s="2162"/>
      <c r="E4" s="2162"/>
      <c r="F4" s="2162"/>
      <c r="G4" s="2162"/>
      <c r="H4" s="2162"/>
      <c r="I4" s="2162"/>
      <c r="J4" s="2162"/>
      <c r="K4" s="2162"/>
      <c r="L4" s="1602"/>
    </row>
    <row r="5" spans="1:12">
      <c r="A5" s="1700"/>
      <c r="B5" s="2162"/>
      <c r="C5" s="2162"/>
      <c r="D5" s="2162"/>
      <c r="E5" s="2162"/>
      <c r="F5" s="2162"/>
      <c r="G5" s="2162"/>
      <c r="H5" s="2162"/>
      <c r="I5" s="2162"/>
      <c r="J5" s="2162"/>
      <c r="K5" s="2162"/>
      <c r="L5" s="1602"/>
    </row>
    <row r="6" spans="1:12">
      <c r="A6" s="1700"/>
      <c r="B6" s="1700"/>
      <c r="C6" s="1700"/>
      <c r="D6" s="1700"/>
      <c r="E6" s="1700"/>
      <c r="F6" s="1700"/>
      <c r="G6" s="1700"/>
      <c r="H6" s="1700"/>
      <c r="I6" s="1700"/>
      <c r="J6" s="1700"/>
      <c r="K6" s="1700"/>
      <c r="L6" s="1602"/>
    </row>
    <row r="7" spans="1:12">
      <c r="A7" s="1700" t="s">
        <v>139</v>
      </c>
      <c r="B7" s="2161"/>
      <c r="C7" s="2162"/>
      <c r="D7" s="2162"/>
      <c r="E7" s="2162"/>
      <c r="F7" s="2162"/>
      <c r="G7" s="2162"/>
      <c r="H7" s="2162"/>
      <c r="I7" s="2162"/>
      <c r="J7" s="2162"/>
      <c r="K7" s="2162"/>
      <c r="L7" s="1602"/>
    </row>
    <row r="8" spans="1:12">
      <c r="A8" s="1700"/>
      <c r="B8" s="2161"/>
      <c r="C8" s="2162"/>
      <c r="D8" s="2162"/>
      <c r="E8" s="2162"/>
      <c r="F8" s="2162"/>
      <c r="G8" s="2162"/>
      <c r="H8" s="2162"/>
      <c r="I8" s="2162"/>
      <c r="J8" s="2162"/>
      <c r="K8" s="2162"/>
      <c r="L8" s="1602"/>
    </row>
    <row r="9" spans="1:12">
      <c r="A9" s="1700"/>
      <c r="B9" s="2161"/>
      <c r="C9" s="2162"/>
      <c r="D9" s="2162"/>
      <c r="E9" s="2162"/>
      <c r="F9" s="2162"/>
      <c r="G9" s="2162"/>
      <c r="H9" s="2162"/>
      <c r="I9" s="2162"/>
      <c r="J9" s="2162"/>
      <c r="K9" s="2162"/>
      <c r="L9" s="1602"/>
    </row>
    <row r="10" spans="1:12">
      <c r="A10" s="1700"/>
      <c r="B10" s="2162"/>
      <c r="C10" s="2162"/>
      <c r="D10" s="2162"/>
      <c r="E10" s="2162"/>
      <c r="F10" s="2162"/>
      <c r="G10" s="2162"/>
      <c r="H10" s="2162"/>
      <c r="I10" s="2162"/>
      <c r="J10" s="2162"/>
      <c r="K10" s="2162"/>
      <c r="L10" s="1602"/>
    </row>
    <row r="11" spans="1:12">
      <c r="A11" s="1700"/>
      <c r="B11" s="2162"/>
      <c r="C11" s="2162"/>
      <c r="D11" s="2162"/>
      <c r="E11" s="2162"/>
      <c r="F11" s="2162"/>
      <c r="G11" s="2162"/>
      <c r="H11" s="2162"/>
      <c r="I11" s="2162"/>
      <c r="J11" s="2162"/>
      <c r="K11" s="2162"/>
      <c r="L11" s="1602"/>
    </row>
    <row r="12" spans="1:12">
      <c r="A12" s="1700"/>
      <c r="B12" s="1700"/>
      <c r="C12" s="1700"/>
      <c r="D12" s="1700"/>
      <c r="E12" s="1700"/>
      <c r="F12" s="1700"/>
      <c r="G12" s="1700"/>
      <c r="H12" s="1700"/>
      <c r="I12" s="1700"/>
      <c r="J12" s="1700"/>
      <c r="K12" s="1700"/>
      <c r="L12" s="1602"/>
    </row>
    <row r="13" spans="1:12">
      <c r="A13" s="1700" t="s">
        <v>140</v>
      </c>
      <c r="B13" s="2161"/>
      <c r="C13" s="2162"/>
      <c r="D13" s="2162"/>
      <c r="E13" s="2162"/>
      <c r="F13" s="2162"/>
      <c r="G13" s="2162"/>
      <c r="H13" s="2162"/>
      <c r="I13" s="2162"/>
      <c r="J13" s="2162"/>
      <c r="K13" s="2162"/>
      <c r="L13" s="1602"/>
    </row>
    <row r="14" spans="1:12">
      <c r="A14" s="1700"/>
      <c r="B14" s="2162"/>
      <c r="C14" s="2162"/>
      <c r="D14" s="2162"/>
      <c r="E14" s="2162"/>
      <c r="F14" s="2162"/>
      <c r="G14" s="2162"/>
      <c r="H14" s="2162"/>
      <c r="I14" s="2162"/>
      <c r="J14" s="2162"/>
      <c r="K14" s="2162"/>
      <c r="L14" s="1602"/>
    </row>
    <row r="15" spans="1:12">
      <c r="A15" s="1700"/>
      <c r="B15" s="2162"/>
      <c r="C15" s="2162"/>
      <c r="D15" s="2162"/>
      <c r="E15" s="2162"/>
      <c r="F15" s="2162"/>
      <c r="G15" s="2162"/>
      <c r="H15" s="2162"/>
      <c r="I15" s="2162"/>
      <c r="J15" s="2162"/>
      <c r="K15" s="2162"/>
      <c r="L15" s="1602"/>
    </row>
    <row r="16" spans="1:12">
      <c r="A16" s="1700"/>
      <c r="B16" s="1700"/>
      <c r="C16" s="1700"/>
      <c r="D16" s="1700"/>
      <c r="E16" s="1700"/>
      <c r="F16" s="1700"/>
      <c r="G16" s="1700"/>
      <c r="H16" s="1700"/>
      <c r="I16" s="1700"/>
      <c r="J16" s="1700"/>
      <c r="K16" s="1700"/>
      <c r="L16" s="1602"/>
    </row>
    <row r="17" spans="1:13">
      <c r="A17" s="1700" t="s">
        <v>141</v>
      </c>
      <c r="B17" s="2161"/>
      <c r="C17" s="2162"/>
      <c r="D17" s="2162"/>
      <c r="E17" s="2162"/>
      <c r="F17" s="2162"/>
      <c r="G17" s="2162"/>
      <c r="H17" s="2162"/>
      <c r="I17" s="2162"/>
      <c r="J17" s="2162"/>
      <c r="K17" s="2162"/>
      <c r="L17" s="1602"/>
    </row>
    <row r="18" spans="1:13">
      <c r="A18" s="1700"/>
      <c r="B18" s="2162"/>
      <c r="C18" s="2162"/>
      <c r="D18" s="2162"/>
      <c r="E18" s="2162"/>
      <c r="F18" s="2162"/>
      <c r="G18" s="2162"/>
      <c r="H18" s="2162"/>
      <c r="I18" s="2162"/>
      <c r="J18" s="2162"/>
      <c r="K18" s="2162"/>
      <c r="L18" s="1602"/>
    </row>
    <row r="19" spans="1:13">
      <c r="A19" s="1700"/>
      <c r="B19" s="2162"/>
      <c r="C19" s="2162"/>
      <c r="D19" s="2162"/>
      <c r="E19" s="2162"/>
      <c r="F19" s="2162"/>
      <c r="G19" s="2162"/>
      <c r="H19" s="2162"/>
      <c r="I19" s="2162"/>
      <c r="J19" s="2162"/>
      <c r="K19" s="2162"/>
      <c r="L19" s="1602"/>
    </row>
    <row r="20" spans="1:13">
      <c r="A20" s="1700"/>
      <c r="B20" s="1700"/>
      <c r="C20" s="1700"/>
      <c r="D20" s="1700"/>
      <c r="E20" s="1700"/>
      <c r="F20" s="1700"/>
      <c r="G20" s="1700"/>
      <c r="H20" s="1700"/>
      <c r="I20" s="1700"/>
      <c r="J20" s="1700"/>
      <c r="K20" s="1700"/>
      <c r="L20" s="1602"/>
      <c r="M20" s="1602"/>
    </row>
    <row r="21" spans="1:13">
      <c r="A21" s="1700" t="s">
        <v>142</v>
      </c>
      <c r="B21" s="2161"/>
      <c r="C21" s="2162"/>
      <c r="D21" s="2162"/>
      <c r="E21" s="2162"/>
      <c r="F21" s="2162"/>
      <c r="G21" s="2162"/>
      <c r="H21" s="2162"/>
      <c r="I21" s="2162"/>
      <c r="J21" s="2162"/>
      <c r="K21" s="2162"/>
      <c r="L21" s="1602"/>
    </row>
    <row r="22" spans="1:13">
      <c r="A22" s="1700"/>
      <c r="B22" s="2162"/>
      <c r="C22" s="2162"/>
      <c r="D22" s="2162"/>
      <c r="E22" s="2162"/>
      <c r="F22" s="2162"/>
      <c r="G22" s="2162"/>
      <c r="H22" s="2162"/>
      <c r="I22" s="2162"/>
      <c r="J22" s="2162"/>
      <c r="K22" s="2162"/>
      <c r="L22" s="1602"/>
    </row>
    <row r="23" spans="1:13">
      <c r="A23" s="1700"/>
      <c r="B23" s="2162"/>
      <c r="C23" s="2162"/>
      <c r="D23" s="2162"/>
      <c r="E23" s="2162"/>
      <c r="F23" s="2162"/>
      <c r="G23" s="2162"/>
      <c r="H23" s="2162"/>
      <c r="I23" s="2162"/>
      <c r="J23" s="2162"/>
      <c r="K23" s="2162"/>
      <c r="L23" s="1602"/>
    </row>
    <row r="24" spans="1:13">
      <c r="A24" s="1700"/>
      <c r="B24" s="1700"/>
      <c r="C24" s="1700"/>
      <c r="D24" s="1700"/>
      <c r="E24" s="1700"/>
      <c r="F24" s="1700"/>
      <c r="G24" s="1700"/>
      <c r="H24" s="1700"/>
      <c r="I24" s="1700"/>
      <c r="J24" s="1700"/>
      <c r="K24" s="1700"/>
      <c r="L24" s="1602"/>
    </row>
    <row r="25" spans="1:13">
      <c r="A25" s="1700" t="s">
        <v>143</v>
      </c>
      <c r="B25" s="2161"/>
      <c r="C25" s="2162"/>
      <c r="D25" s="2162"/>
      <c r="E25" s="2162"/>
      <c r="F25" s="2162"/>
      <c r="G25" s="2162"/>
      <c r="H25" s="2162"/>
      <c r="I25" s="2162"/>
      <c r="J25" s="2162"/>
      <c r="K25" s="2162"/>
      <c r="L25" s="1602"/>
    </row>
    <row r="26" spans="1:13">
      <c r="A26" s="1700"/>
      <c r="B26" s="2162"/>
      <c r="C26" s="2162"/>
      <c r="D26" s="2162"/>
      <c r="E26" s="2162"/>
      <c r="F26" s="2162"/>
      <c r="G26" s="2162"/>
      <c r="H26" s="2162"/>
      <c r="I26" s="2162"/>
      <c r="J26" s="2162"/>
      <c r="K26" s="2162"/>
      <c r="L26" s="1602"/>
    </row>
    <row r="27" spans="1:13">
      <c r="A27" s="1700"/>
      <c r="B27" s="2162"/>
      <c r="C27" s="2162"/>
      <c r="D27" s="2162"/>
      <c r="E27" s="2162"/>
      <c r="F27" s="2162"/>
      <c r="G27" s="2162"/>
      <c r="H27" s="2162"/>
      <c r="I27" s="2162"/>
      <c r="J27" s="2162"/>
      <c r="K27" s="2162"/>
      <c r="L27" s="1602"/>
    </row>
    <row r="28" spans="1:13">
      <c r="A28" s="1700"/>
      <c r="B28" s="1700"/>
      <c r="C28" s="1700"/>
      <c r="D28" s="1700"/>
      <c r="E28" s="1700"/>
      <c r="F28" s="1700"/>
      <c r="G28" s="1700"/>
      <c r="H28" s="1700"/>
      <c r="I28" s="1700"/>
      <c r="J28" s="1700"/>
      <c r="K28" s="1700"/>
      <c r="L28" s="1602"/>
    </row>
    <row r="29" spans="1:13">
      <c r="A29" s="1700" t="s">
        <v>144</v>
      </c>
      <c r="B29" s="2161"/>
      <c r="C29" s="2162"/>
      <c r="D29" s="2162"/>
      <c r="E29" s="2162"/>
      <c r="F29" s="2162"/>
      <c r="G29" s="2162"/>
      <c r="H29" s="2162"/>
      <c r="I29" s="2162"/>
      <c r="J29" s="2162"/>
      <c r="K29" s="2162"/>
      <c r="L29" s="1602"/>
    </row>
    <row r="30" spans="1:13">
      <c r="A30" s="1700"/>
      <c r="B30" s="2162"/>
      <c r="C30" s="2162"/>
      <c r="D30" s="2162"/>
      <c r="E30" s="2162"/>
      <c r="F30" s="2162"/>
      <c r="G30" s="2162"/>
      <c r="H30" s="2162"/>
      <c r="I30" s="2162"/>
      <c r="J30" s="2162"/>
      <c r="K30" s="2162"/>
      <c r="L30" s="1602"/>
    </row>
    <row r="31" spans="1:13">
      <c r="A31" s="1700"/>
      <c r="B31" s="2162"/>
      <c r="C31" s="2162"/>
      <c r="D31" s="2162"/>
      <c r="E31" s="2162"/>
      <c r="F31" s="2162"/>
      <c r="G31" s="2162"/>
      <c r="H31" s="2162"/>
      <c r="I31" s="2162"/>
      <c r="J31" s="2162"/>
      <c r="K31" s="2162"/>
      <c r="L31" s="1602"/>
    </row>
    <row r="32" spans="1:13">
      <c r="A32" s="1700"/>
      <c r="B32" s="1700"/>
      <c r="C32" s="1700"/>
      <c r="D32" s="1700"/>
      <c r="E32" s="1700"/>
      <c r="F32" s="1700"/>
      <c r="G32" s="1700"/>
      <c r="H32" s="1700"/>
      <c r="I32" s="1700"/>
      <c r="J32" s="1700"/>
      <c r="K32" s="1700"/>
      <c r="L32" s="1602"/>
    </row>
    <row r="33" spans="1:12">
      <c r="A33" s="1700" t="s">
        <v>145</v>
      </c>
      <c r="B33" s="2161"/>
      <c r="C33" s="2162"/>
      <c r="D33" s="2162"/>
      <c r="E33" s="2162"/>
      <c r="F33" s="2162"/>
      <c r="G33" s="2162"/>
      <c r="H33" s="2162"/>
      <c r="I33" s="2162"/>
      <c r="J33" s="2162"/>
      <c r="K33" s="2162"/>
      <c r="L33" s="1602"/>
    </row>
    <row r="34" spans="1:12">
      <c r="A34" s="1700"/>
      <c r="B34" s="2162"/>
      <c r="C34" s="2162"/>
      <c r="D34" s="2162"/>
      <c r="E34" s="2162"/>
      <c r="F34" s="2162"/>
      <c r="G34" s="2162"/>
      <c r="H34" s="2162"/>
      <c r="I34" s="2162"/>
      <c r="J34" s="2162"/>
      <c r="K34" s="2162"/>
      <c r="L34" s="1602"/>
    </row>
    <row r="35" spans="1:12">
      <c r="A35" s="1700"/>
      <c r="B35" s="2162"/>
      <c r="C35" s="2162"/>
      <c r="D35" s="2162"/>
      <c r="E35" s="2162"/>
      <c r="F35" s="2162"/>
      <c r="G35" s="2162"/>
      <c r="H35" s="2162"/>
      <c r="I35" s="2162"/>
      <c r="J35" s="2162"/>
      <c r="K35" s="2162"/>
      <c r="L35" s="1602"/>
    </row>
    <row r="36" spans="1:12">
      <c r="A36" s="1700"/>
      <c r="B36" s="1700"/>
      <c r="C36" s="1700"/>
      <c r="D36" s="1700"/>
      <c r="E36" s="1700"/>
      <c r="F36" s="1700"/>
      <c r="G36" s="1700"/>
      <c r="H36" s="1700"/>
      <c r="I36" s="1700"/>
      <c r="J36" s="1700"/>
      <c r="K36" s="1700"/>
      <c r="L36" s="1602"/>
    </row>
    <row r="37" spans="1:12">
      <c r="A37" s="1700" t="s">
        <v>146</v>
      </c>
      <c r="B37" s="2161"/>
      <c r="C37" s="2162"/>
      <c r="D37" s="2162"/>
      <c r="E37" s="2162"/>
      <c r="F37" s="2162"/>
      <c r="G37" s="2162"/>
      <c r="H37" s="2162"/>
      <c r="I37" s="2162"/>
      <c r="J37" s="2162"/>
      <c r="K37" s="2162"/>
      <c r="L37" s="1602"/>
    </row>
    <row r="38" spans="1:12">
      <c r="A38" s="1700"/>
      <c r="B38" s="2162"/>
      <c r="C38" s="2162"/>
      <c r="D38" s="2162"/>
      <c r="E38" s="2162"/>
      <c r="F38" s="2162"/>
      <c r="G38" s="2162"/>
      <c r="H38" s="2162"/>
      <c r="I38" s="2162"/>
      <c r="J38" s="2162"/>
      <c r="K38" s="2162"/>
      <c r="L38" s="1602"/>
    </row>
    <row r="39" spans="1:12">
      <c r="A39" s="1700"/>
      <c r="B39" s="2162"/>
      <c r="C39" s="2162"/>
      <c r="D39" s="2162"/>
      <c r="E39" s="2162"/>
      <c r="F39" s="2162"/>
      <c r="G39" s="2162"/>
      <c r="H39" s="2162"/>
      <c r="I39" s="2162"/>
      <c r="J39" s="2162"/>
      <c r="K39" s="2162"/>
    </row>
    <row r="40" spans="1:12">
      <c r="A40" s="1805"/>
      <c r="B40" s="1805"/>
      <c r="C40" s="1805"/>
      <c r="D40" s="1805"/>
      <c r="E40" s="1805"/>
      <c r="F40" s="1805"/>
      <c r="G40" s="1805"/>
      <c r="H40" s="1805"/>
      <c r="I40" s="1805"/>
      <c r="J40" s="1805"/>
      <c r="K40" s="1805"/>
    </row>
  </sheetData>
  <mergeCells count="10">
    <mergeCell ref="B29:K31"/>
    <mergeCell ref="B33:K35"/>
    <mergeCell ref="B37:K39"/>
    <mergeCell ref="A1:D1"/>
    <mergeCell ref="B3:K5"/>
    <mergeCell ref="B13:K15"/>
    <mergeCell ref="B17:K19"/>
    <mergeCell ref="B21:K23"/>
    <mergeCell ref="B25:K27"/>
    <mergeCell ref="B7:K11"/>
  </mergeCell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967E-CB00-4A63-A6CD-68C8DC7A7273}">
  <sheetPr>
    <tabColor rgb="FF00B050"/>
  </sheetPr>
  <dimension ref="A1"/>
  <sheetViews>
    <sheetView topLeftCell="A10" workbookViewId="0">
      <selection activeCell="O34" sqref="O34"/>
    </sheetView>
  </sheetViews>
  <sheetFormatPr defaultRowHeight="12.75"/>
  <cols>
    <col min="1" max="256" width="11.42578125" customWidth="1"/>
  </cols>
  <sheetData/>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Acrobat Document" shapeId="70657" r:id="rId4">
          <objectPr defaultSize="0" autoPict="0" r:id="rId5">
            <anchor moveWithCells="1">
              <from>
                <xdr:col>3</xdr:col>
                <xdr:colOff>28575</xdr:colOff>
                <xdr:row>4</xdr:row>
                <xdr:rowOff>76200</xdr:rowOff>
              </from>
              <to>
                <xdr:col>14</xdr:col>
                <xdr:colOff>352425</xdr:colOff>
                <xdr:row>44</xdr:row>
                <xdr:rowOff>19050</xdr:rowOff>
              </to>
            </anchor>
          </objectPr>
        </oleObject>
      </mc:Choice>
      <mc:Fallback>
        <oleObject progId="Acrobat Document" shapeId="70657"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A6BA-09C6-4753-968B-F59399335289}">
  <sheetPr>
    <pageSetUpPr fitToPage="1"/>
  </sheetPr>
  <dimension ref="A1:K63"/>
  <sheetViews>
    <sheetView showGridLines="0" topLeftCell="A23" zoomScaleNormal="100" workbookViewId="0">
      <selection activeCell="J27" sqref="J27"/>
    </sheetView>
  </sheetViews>
  <sheetFormatPr defaultColWidth="11.42578125" defaultRowHeight="12.75"/>
  <cols>
    <col min="1" max="1" width="1.85546875" style="1214" customWidth="1"/>
    <col min="2" max="2" width="46.7109375" style="1214" customWidth="1"/>
    <col min="3" max="3" width="13.85546875" style="1214" bestFit="1" customWidth="1"/>
    <col min="4" max="5" width="15.140625" style="1214" bestFit="1" customWidth="1"/>
    <col min="6" max="6" width="1.42578125" style="1214" customWidth="1"/>
    <col min="7" max="16384" width="11.42578125" style="1214"/>
  </cols>
  <sheetData>
    <row r="1" spans="1:11" ht="24" customHeight="1" thickTop="1">
      <c r="A1" s="1327"/>
      <c r="B1" s="2164" t="s">
        <v>147</v>
      </c>
      <c r="C1" s="2165"/>
      <c r="D1" s="2165"/>
      <c r="E1" s="2165"/>
      <c r="F1" s="2166"/>
    </row>
    <row r="2" spans="1:11" ht="13.5" thickBot="1">
      <c r="A2" s="1328"/>
      <c r="B2" s="857"/>
      <c r="C2" s="857"/>
      <c r="D2" s="857"/>
      <c r="E2" s="857"/>
      <c r="F2" s="1329"/>
    </row>
    <row r="3" spans="1:11">
      <c r="A3" s="1328"/>
      <c r="B3" s="2173" t="s">
        <v>148</v>
      </c>
      <c r="C3" s="2167">
        <v>2025</v>
      </c>
      <c r="D3" s="2167">
        <v>2026</v>
      </c>
      <c r="E3" s="2169">
        <v>2027</v>
      </c>
      <c r="F3" s="2171"/>
    </row>
    <row r="4" spans="1:11">
      <c r="A4" s="1328"/>
      <c r="B4" s="2174"/>
      <c r="C4" s="2168"/>
      <c r="D4" s="2168"/>
      <c r="E4" s="2170"/>
      <c r="F4" s="2172"/>
    </row>
    <row r="5" spans="1:11">
      <c r="A5" s="1328"/>
      <c r="B5" s="1330" t="s">
        <v>149</v>
      </c>
      <c r="C5" s="1331">
        <f>'Ertragsv. 2025'!O3</f>
        <v>0</v>
      </c>
      <c r="D5" s="1331">
        <f>'Ertragsv. 2026'!O3</f>
        <v>0</v>
      </c>
      <c r="E5" s="1332">
        <f>'Ertragsv. 2027'!O3</f>
        <v>0</v>
      </c>
      <c r="F5" s="1333"/>
      <c r="G5" s="1334"/>
    </row>
    <row r="6" spans="1:11">
      <c r="A6" s="1328"/>
      <c r="B6" s="1330"/>
      <c r="C6" s="1335"/>
      <c r="D6" s="1335"/>
      <c r="E6" s="1336"/>
      <c r="F6" s="1333"/>
      <c r="G6" s="1334"/>
    </row>
    <row r="7" spans="1:11">
      <c r="A7" s="1328"/>
      <c r="B7" s="1337" t="s">
        <v>150</v>
      </c>
      <c r="C7" s="1338" t="e">
        <f>'Ertragsv. 2025'!P4/100</f>
        <v>#DIV/0!</v>
      </c>
      <c r="D7" s="1338" t="e">
        <f>'Ertragsv. 2026'!P4%</f>
        <v>#DIV/0!</v>
      </c>
      <c r="E7" s="1339" t="e">
        <f>'Ertragsv. 2027'!P4/100</f>
        <v>#DIV/0!</v>
      </c>
      <c r="F7" s="1340"/>
    </row>
    <row r="8" spans="1:11">
      <c r="A8" s="1328"/>
      <c r="B8" s="1337" t="s">
        <v>151</v>
      </c>
      <c r="C8" s="1338" t="e">
        <f>'Ertragsv. 2025'!O3/('Ertragsv. 2025'!M38*12)</f>
        <v>#DIV/0!</v>
      </c>
      <c r="D8" s="1338" t="e">
        <f>'Ertragsv. 2026'!O3/('Ertragsv. 2026'!M37*12)</f>
        <v>#DIV/0!</v>
      </c>
      <c r="E8" s="1339" t="e">
        <f>'Ertragsv. 2027'!O3/('Ertragsv. 2027'!M37*12)</f>
        <v>#DIV/0!</v>
      </c>
      <c r="F8" s="1340"/>
    </row>
    <row r="9" spans="1:11">
      <c r="A9" s="1328"/>
      <c r="B9" s="1337" t="s">
        <v>152</v>
      </c>
      <c r="C9" s="1338" t="e">
        <f>'Ertragsv. 2025'!P23/100</f>
        <v>#DIV/0!</v>
      </c>
      <c r="D9" s="1338" t="e">
        <f>'Ertragsv. 2026'!P23/100</f>
        <v>#DIV/0!</v>
      </c>
      <c r="E9" s="1339" t="e">
        <f>'Ertragsv. 2027'!P23/100</f>
        <v>#DIV/0!</v>
      </c>
      <c r="F9" s="1340"/>
    </row>
    <row r="10" spans="1:11">
      <c r="A10" s="1328"/>
      <c r="B10" s="1337" t="s">
        <v>153</v>
      </c>
      <c r="C10" s="1338" t="e">
        <f>('Ertragsv. 2025'!O20-'Ertragsv. 2025'!O4)/'Ertragsv. 2025'!O3</f>
        <v>#DIV/0!</v>
      </c>
      <c r="D10" s="1338" t="e">
        <f>('Ertragsv. 2026'!O20-'Ertragsv. 2026'!O4)/'Ertragsv. 2026'!O3</f>
        <v>#DIV/0!</v>
      </c>
      <c r="E10" s="1339" t="e">
        <f>('Ertragsv. 2027'!O20-'Ertragsv. 2027'!O4)/'Ertragsv. 2027'!O3</f>
        <v>#DIV/0!</v>
      </c>
      <c r="F10" s="1340"/>
    </row>
    <row r="11" spans="1:11">
      <c r="A11" s="1328"/>
      <c r="B11" s="1337"/>
      <c r="C11" s="1341"/>
      <c r="D11" s="1341"/>
      <c r="E11" s="1342"/>
      <c r="F11" s="1340"/>
    </row>
    <row r="12" spans="1:11">
      <c r="A12" s="1328"/>
      <c r="B12" s="1337" t="s">
        <v>154</v>
      </c>
      <c r="C12" s="1343">
        <f>('Ertragsv. 2025'!O20-'Ertragsv. 2025'!O4+'Ertragsv. 2025'!O22+'Ertragsv. 2025'!O23)/12/'Ertragsv. 2025'!L41/ArbStd_MA!F49</f>
        <v>0</v>
      </c>
      <c r="D12" s="1343">
        <f>('Ertragsv. 2026'!O20-'Ertragsv. 2026'!O4+'Ertragsv. 2026'!O22+'Ertragsv. 2026'!O23)/12/'Ertragsv. 2026'!L40/ArbStd_MA!G49</f>
        <v>0</v>
      </c>
      <c r="E12" s="761">
        <f>('Ertragsv. 2027'!O20-'Ertragsv. 2027'!O4+'Ertragsv. 2027'!O22+'Ertragsv. 2027'!O23)/12/'Ertragsv. 2027'!L40/ArbStd_MA!H49</f>
        <v>0</v>
      </c>
      <c r="F12" s="1344"/>
    </row>
    <row r="13" spans="1:11">
      <c r="A13" s="1328"/>
      <c r="B13" s="1337" t="s">
        <v>155</v>
      </c>
      <c r="C13" s="1343">
        <f>'Ertragsv. 2025'!M41</f>
        <v>0</v>
      </c>
      <c r="D13" s="1343">
        <f>'Ertragsv. 2026'!M40</f>
        <v>0</v>
      </c>
      <c r="E13" s="761">
        <f>'Ertragsv. 2027'!M40</f>
        <v>0</v>
      </c>
      <c r="F13" s="1344"/>
    </row>
    <row r="14" spans="1:11">
      <c r="A14" s="1328"/>
      <c r="B14" s="2175"/>
      <c r="C14" s="2176"/>
      <c r="D14" s="2176"/>
      <c r="E14" s="2177"/>
      <c r="F14" s="1345"/>
      <c r="K14" s="1346"/>
    </row>
    <row r="15" spans="1:11">
      <c r="A15" s="1328"/>
      <c r="B15" s="1337" t="s">
        <v>156</v>
      </c>
      <c r="C15" s="1347" t="e">
        <f>IF(Einzelkalk_Handel!D5&gt;0,Einzelkalk_Handel!D5)</f>
        <v>#DIV/0!</v>
      </c>
      <c r="D15" s="1347" t="e">
        <f>Einzelkalk_Handel!G5</f>
        <v>#DIV/0!</v>
      </c>
      <c r="E15" s="1348" t="e">
        <f>Einzelkalk_Handel!J5</f>
        <v>#DIV/0!</v>
      </c>
      <c r="F15" s="1340"/>
    </row>
    <row r="16" spans="1:11">
      <c r="A16" s="1328"/>
      <c r="B16" s="1337" t="s">
        <v>157</v>
      </c>
      <c r="C16" s="1347" t="e">
        <f>Einzelkalk_Handel!D6</f>
        <v>#DIV/0!</v>
      </c>
      <c r="D16" s="1349" t="e">
        <f>Einzelkalk_Handel!G6</f>
        <v>#DIV/0!</v>
      </c>
      <c r="E16" s="1348" t="e">
        <f>Einzelkalk_Handel!J6</f>
        <v>#DIV/0!</v>
      </c>
      <c r="F16" s="1340"/>
    </row>
    <row r="17" spans="1:9">
      <c r="A17" s="1328"/>
      <c r="B17" s="2175"/>
      <c r="C17" s="2176"/>
      <c r="D17" s="2176"/>
      <c r="E17" s="2177"/>
      <c r="F17" s="1345"/>
    </row>
    <row r="18" spans="1:9">
      <c r="A18" s="1328"/>
      <c r="B18" s="1337" t="s">
        <v>158</v>
      </c>
      <c r="C18" s="1350">
        <f>'Ertragsv. 2025'!O23</f>
        <v>0</v>
      </c>
      <c r="D18" s="1350">
        <f>'Ertragsv. 2026'!O23</f>
        <v>0</v>
      </c>
      <c r="E18" s="1351">
        <f>'Ertragsv. 2027'!O23</f>
        <v>0</v>
      </c>
      <c r="F18" s="1333"/>
    </row>
    <row r="19" spans="1:9">
      <c r="A19" s="1328"/>
      <c r="B19" s="2178"/>
      <c r="C19" s="2179"/>
      <c r="D19" s="2179"/>
      <c r="E19" s="2180"/>
      <c r="F19" s="1352"/>
    </row>
    <row r="20" spans="1:9">
      <c r="A20" s="1328"/>
      <c r="B20" s="1337" t="s">
        <v>159</v>
      </c>
      <c r="C20" s="1350">
        <f>'Ertragsv. 2025'!O26</f>
        <v>0</v>
      </c>
      <c r="D20" s="1350">
        <f>'Ertragsv. 2026'!O26</f>
        <v>0</v>
      </c>
      <c r="E20" s="1351">
        <f>'Ertragsv. 2027'!O26</f>
        <v>0</v>
      </c>
      <c r="F20" s="1333"/>
    </row>
    <row r="21" spans="1:9">
      <c r="A21" s="1328"/>
      <c r="B21" s="2175"/>
      <c r="C21" s="2176"/>
      <c r="D21" s="2176"/>
      <c r="E21" s="2177"/>
      <c r="F21" s="1333"/>
    </row>
    <row r="22" spans="1:9">
      <c r="A22" s="1328"/>
      <c r="B22" s="1337" t="s">
        <v>160</v>
      </c>
      <c r="C22" s="1350">
        <f>'Ertragsv. 2025'!O27</f>
        <v>0</v>
      </c>
      <c r="D22" s="1350">
        <f>'Ertragsv. 2026'!O27</f>
        <v>0</v>
      </c>
      <c r="E22" s="1351">
        <f>'Ertragsv. 2027'!O27</f>
        <v>0</v>
      </c>
      <c r="F22" s="1333"/>
      <c r="G22" s="1334"/>
      <c r="H22" s="1334"/>
    </row>
    <row r="23" spans="1:9">
      <c r="A23" s="1328"/>
      <c r="B23" s="2178"/>
      <c r="C23" s="2179"/>
      <c r="D23" s="2179"/>
      <c r="E23" s="2180"/>
      <c r="F23" s="1352"/>
      <c r="G23" s="1334"/>
      <c r="H23" s="1334"/>
      <c r="I23" s="1334"/>
    </row>
    <row r="24" spans="1:9" ht="13.5" customHeight="1">
      <c r="A24" s="1328"/>
      <c r="B24" s="1337" t="s">
        <v>161</v>
      </c>
      <c r="C24" s="1350">
        <f>C20-C22</f>
        <v>0</v>
      </c>
      <c r="D24" s="1350">
        <f>D20-D22</f>
        <v>0</v>
      </c>
      <c r="E24" s="1351">
        <f>E20-E22</f>
        <v>0</v>
      </c>
      <c r="F24" s="1333"/>
      <c r="G24" s="1334"/>
      <c r="H24" s="1334"/>
    </row>
    <row r="25" spans="1:9" ht="11.25" customHeight="1">
      <c r="A25" s="1328"/>
      <c r="B25" s="2175"/>
      <c r="C25" s="2176"/>
      <c r="D25" s="2176"/>
      <c r="E25" s="2177"/>
      <c r="F25" s="1333"/>
      <c r="G25" s="1334"/>
      <c r="H25" s="1334"/>
    </row>
    <row r="26" spans="1:9" ht="13.5" thickBot="1">
      <c r="A26" s="1328"/>
      <c r="B26" s="1353" t="s">
        <v>162</v>
      </c>
      <c r="C26" s="1354">
        <f>'Ertragsv. 2025'!O23+'Ertragsv. 2025'!O22-'Ertragsv. 2025'!O25-'Ertragsv. 2025'!O27</f>
        <v>0</v>
      </c>
      <c r="D26" s="1354">
        <f>'Ertragsv. 2026'!O23+'Ertragsv. 2026'!O22-'Ertragsv. 2026'!O25-'Ertragsv. 2026'!O27</f>
        <v>0</v>
      </c>
      <c r="E26" s="1355">
        <f>'Ertragsv. 2027'!O23+'Ertragsv. 2027'!O22-'Ertragsv. 2027'!O25-'Ertragsv. 2027'!O27</f>
        <v>0</v>
      </c>
      <c r="F26" s="1333"/>
      <c r="G26" s="1334"/>
      <c r="H26" s="1334"/>
    </row>
    <row r="27" spans="1:9" ht="13.5" thickBot="1">
      <c r="A27" s="1356"/>
      <c r="B27" s="1357"/>
      <c r="C27" s="365"/>
      <c r="D27" s="365"/>
      <c r="E27" s="365"/>
      <c r="F27" s="1358"/>
      <c r="G27" s="1334"/>
      <c r="H27" s="1334"/>
    </row>
    <row r="28" spans="1:9" ht="14.25" thickTop="1" thickBot="1">
      <c r="A28" s="857"/>
      <c r="B28" s="1781" t="s">
        <v>163</v>
      </c>
      <c r="C28" s="1783">
        <f>Finanz_AfA_Investitionen!$G$38*12</f>
        <v>0</v>
      </c>
      <c r="D28" s="1783">
        <f>Finanz_AfA_Investitionen!$G$38*12</f>
        <v>0</v>
      </c>
      <c r="E28" s="1783">
        <f>Finanz_AfA_Investitionen!$G$38*12</f>
        <v>0</v>
      </c>
      <c r="F28" s="881"/>
      <c r="G28" s="1334"/>
      <c r="H28" s="1334"/>
    </row>
    <row r="29" spans="1:9" ht="13.5" thickBot="1">
      <c r="A29" s="857"/>
      <c r="B29" s="1781"/>
      <c r="C29" s="1784"/>
      <c r="D29" s="1563"/>
      <c r="E29" s="1563"/>
      <c r="F29" s="885"/>
      <c r="G29" s="1334"/>
      <c r="H29" s="1334"/>
    </row>
    <row r="30" spans="1:9" ht="13.5" thickBot="1">
      <c r="A30" s="1601"/>
      <c r="B30" s="1781" t="s">
        <v>164</v>
      </c>
      <c r="C30" s="1785">
        <f>C26-C28</f>
        <v>0</v>
      </c>
      <c r="D30" s="1785">
        <f>D26-D28</f>
        <v>0</v>
      </c>
      <c r="E30" s="1785">
        <f>E26-E28</f>
        <v>0</v>
      </c>
      <c r="F30" s="1782"/>
      <c r="G30" s="1334"/>
      <c r="H30" s="1334"/>
    </row>
    <row r="31" spans="1:9">
      <c r="A31" s="1598"/>
      <c r="C31" s="1334"/>
      <c r="D31" s="1334"/>
      <c r="F31" s="1599"/>
    </row>
    <row r="32" spans="1:9">
      <c r="A32" s="1598"/>
      <c r="C32" s="1334"/>
      <c r="D32" s="1334"/>
      <c r="F32" s="1599"/>
    </row>
    <row r="33" spans="1:6" ht="13.5" thickBot="1">
      <c r="A33" s="1567"/>
      <c r="B33" s="8"/>
      <c r="C33" s="21"/>
      <c r="D33" s="21"/>
      <c r="E33" s="8"/>
      <c r="F33" s="1600"/>
    </row>
    <row r="34" spans="1:6" ht="14.25" thickTop="1" thickBot="1">
      <c r="A34" s="1567"/>
      <c r="B34" s="1566" t="s">
        <v>165</v>
      </c>
      <c r="C34" s="1571"/>
      <c r="D34" s="1571"/>
      <c r="E34" s="1572"/>
      <c r="F34" s="1570"/>
    </row>
    <row r="35" spans="1:6" ht="13.5" thickBot="1">
      <c r="A35" s="1567"/>
      <c r="B35" s="1579" t="s">
        <v>166</v>
      </c>
      <c r="C35" s="1571"/>
      <c r="D35" s="1571"/>
      <c r="E35" s="1572"/>
      <c r="F35" s="1570"/>
    </row>
    <row r="36" spans="1:6" ht="13.5" thickBot="1">
      <c r="A36" s="1567"/>
      <c r="B36" s="1563" t="s">
        <v>0</v>
      </c>
      <c r="C36" s="1571"/>
      <c r="D36" s="1571"/>
      <c r="E36" s="1572"/>
      <c r="F36" s="1570"/>
    </row>
    <row r="37" spans="1:6" ht="13.5" thickBot="1">
      <c r="A37" s="1567"/>
      <c r="B37" s="1563" t="s">
        <v>1</v>
      </c>
      <c r="C37" s="1571"/>
      <c r="D37" s="1571"/>
      <c r="E37" s="1572"/>
      <c r="F37" s="1570"/>
    </row>
    <row r="38" spans="1:6" ht="13.5" thickBot="1">
      <c r="A38" s="1567"/>
      <c r="B38" s="1563" t="s">
        <v>2</v>
      </c>
      <c r="C38" s="1571"/>
      <c r="D38" s="1571"/>
      <c r="E38" s="1572"/>
      <c r="F38" s="1570"/>
    </row>
    <row r="39" spans="1:6" ht="13.5" thickBot="1">
      <c r="A39" s="1567"/>
      <c r="B39" s="1563" t="s">
        <v>3</v>
      </c>
      <c r="C39" s="1571"/>
      <c r="D39" s="1571"/>
      <c r="E39" s="1572"/>
      <c r="F39" s="1570"/>
    </row>
    <row r="40" spans="1:6" ht="13.5" thickBot="1">
      <c r="A40" s="1567"/>
      <c r="B40" s="1563" t="s">
        <v>4</v>
      </c>
      <c r="C40" s="1571"/>
      <c r="D40" s="1571"/>
      <c r="E40" s="1572"/>
      <c r="F40" s="1570"/>
    </row>
    <row r="41" spans="1:6" ht="13.5" thickBot="1">
      <c r="A41" s="1567"/>
      <c r="B41" s="1563" t="s">
        <v>5</v>
      </c>
      <c r="C41" s="1571"/>
      <c r="D41" s="1571"/>
      <c r="E41" s="1572"/>
      <c r="F41" s="1570"/>
    </row>
    <row r="42" spans="1:6" ht="13.5" thickBot="1">
      <c r="A42" s="1567"/>
      <c r="B42" s="1563" t="s">
        <v>6</v>
      </c>
      <c r="C42" s="1571"/>
      <c r="D42" s="1571"/>
      <c r="E42" s="1572"/>
      <c r="F42" s="1570"/>
    </row>
    <row r="43" spans="1:6" ht="13.5" thickBot="1">
      <c r="A43" s="1567"/>
      <c r="B43" s="1563" t="s">
        <v>7</v>
      </c>
      <c r="C43" s="1571"/>
      <c r="D43" s="1571"/>
      <c r="E43" s="1572"/>
      <c r="F43" s="1570"/>
    </row>
    <row r="44" spans="1:6" ht="13.5" thickBot="1">
      <c r="A44" s="1567"/>
      <c r="B44" s="1563" t="s">
        <v>8</v>
      </c>
      <c r="C44" s="1571"/>
      <c r="D44" s="1571"/>
      <c r="E44" s="1572"/>
      <c r="F44" s="1570"/>
    </row>
    <row r="45" spans="1:6" ht="13.5" thickBot="1">
      <c r="A45" s="1567"/>
      <c r="B45" s="1563" t="s">
        <v>9</v>
      </c>
      <c r="C45" s="1571"/>
      <c r="D45" s="1571"/>
      <c r="E45" s="1572"/>
      <c r="F45" s="1570"/>
    </row>
    <row r="46" spans="1:6" ht="13.5" thickBot="1">
      <c r="A46" s="1567"/>
      <c r="B46" s="1563" t="s">
        <v>10</v>
      </c>
      <c r="C46" s="1571"/>
      <c r="D46" s="1571"/>
      <c r="E46" s="1572"/>
      <c r="F46" s="1570"/>
    </row>
    <row r="47" spans="1:6" ht="13.5" thickBot="1">
      <c r="A47" s="1567"/>
      <c r="B47" s="1563" t="s">
        <v>167</v>
      </c>
      <c r="C47" s="1571"/>
      <c r="D47" s="1571"/>
      <c r="E47" s="1572"/>
      <c r="F47" s="1570"/>
    </row>
    <row r="48" spans="1:6" ht="13.5" thickBot="1">
      <c r="A48" s="1567"/>
      <c r="B48" s="1563"/>
      <c r="C48" s="1564"/>
      <c r="D48" s="1564"/>
      <c r="E48" s="1568"/>
      <c r="F48" s="1570"/>
    </row>
    <row r="49" spans="1:6" ht="13.5" thickBot="1">
      <c r="A49" s="1567"/>
      <c r="B49" s="1566" t="s">
        <v>168</v>
      </c>
      <c r="C49" s="1564"/>
      <c r="D49" s="1564"/>
      <c r="E49" s="1568"/>
      <c r="F49" s="1570"/>
    </row>
    <row r="50" spans="1:6" ht="13.5" thickBot="1">
      <c r="A50" s="1567"/>
      <c r="B50" s="1579" t="s">
        <v>166</v>
      </c>
      <c r="C50" s="1564"/>
      <c r="D50" s="1564"/>
      <c r="E50" s="1568"/>
      <c r="F50" s="1570"/>
    </row>
    <row r="51" spans="1:6" ht="13.5" thickBot="1">
      <c r="A51" s="1567"/>
      <c r="B51" s="1563" t="s">
        <v>0</v>
      </c>
      <c r="C51" s="1564"/>
      <c r="D51" s="1564"/>
      <c r="E51" s="1568"/>
      <c r="F51" s="1570"/>
    </row>
    <row r="52" spans="1:6" ht="13.5" thickBot="1">
      <c r="A52" s="1567"/>
      <c r="B52" s="1563" t="s">
        <v>1</v>
      </c>
      <c r="C52" s="1564"/>
      <c r="D52" s="1564"/>
      <c r="E52" s="1568"/>
      <c r="F52" s="1570"/>
    </row>
    <row r="53" spans="1:6" ht="13.5" thickBot="1">
      <c r="A53" s="1567"/>
      <c r="B53" s="1563" t="s">
        <v>2</v>
      </c>
      <c r="C53" s="1564"/>
      <c r="D53" s="1564"/>
      <c r="E53" s="1568"/>
      <c r="F53" s="1570"/>
    </row>
    <row r="54" spans="1:6" ht="13.5" thickBot="1">
      <c r="A54" s="1567"/>
      <c r="B54" s="1563" t="s">
        <v>3</v>
      </c>
      <c r="C54" s="1564"/>
      <c r="D54" s="1564"/>
      <c r="E54" s="1568"/>
      <c r="F54" s="1570"/>
    </row>
    <row r="55" spans="1:6" ht="13.5" thickBot="1">
      <c r="A55" s="1567"/>
      <c r="B55" s="1563" t="s">
        <v>4</v>
      </c>
      <c r="C55" s="1564"/>
      <c r="D55" s="1564"/>
      <c r="E55" s="1568"/>
      <c r="F55" s="1570"/>
    </row>
    <row r="56" spans="1:6" ht="13.5" thickBot="1">
      <c r="A56" s="1567"/>
      <c r="B56" s="1563" t="s">
        <v>5</v>
      </c>
      <c r="C56" s="1564"/>
      <c r="D56" s="1564"/>
      <c r="E56" s="1568"/>
      <c r="F56" s="1570"/>
    </row>
    <row r="57" spans="1:6" ht="13.5" thickBot="1">
      <c r="A57" s="1567"/>
      <c r="B57" s="1563" t="s">
        <v>6</v>
      </c>
      <c r="C57" s="1564"/>
      <c r="D57" s="1564"/>
      <c r="E57" s="1568"/>
      <c r="F57" s="1570"/>
    </row>
    <row r="58" spans="1:6" ht="13.5" thickBot="1">
      <c r="A58" s="1567"/>
      <c r="B58" s="1563" t="s">
        <v>7</v>
      </c>
      <c r="C58" s="1565"/>
      <c r="D58" s="1565"/>
      <c r="E58" s="1569"/>
      <c r="F58" s="1570"/>
    </row>
    <row r="59" spans="1:6" ht="13.5" thickBot="1">
      <c r="A59" s="1567"/>
      <c r="B59" s="1563" t="s">
        <v>8</v>
      </c>
      <c r="C59" s="1564"/>
      <c r="D59" s="1564"/>
      <c r="E59" s="1568"/>
      <c r="F59" s="1570"/>
    </row>
    <row r="60" spans="1:6" ht="13.5" thickBot="1">
      <c r="A60" s="1567"/>
      <c r="B60" s="1563" t="s">
        <v>9</v>
      </c>
      <c r="C60" s="1564"/>
      <c r="D60" s="1564"/>
      <c r="E60" s="1568"/>
      <c r="F60" s="1570"/>
    </row>
    <row r="61" spans="1:6" ht="13.5" thickBot="1">
      <c r="A61" s="1567"/>
      <c r="B61" s="1563" t="s">
        <v>10</v>
      </c>
      <c r="C61" s="1564"/>
      <c r="D61" s="1564"/>
      <c r="E61" s="1568"/>
      <c r="F61" s="1570"/>
    </row>
    <row r="62" spans="1:6" ht="13.5" thickBot="1">
      <c r="A62" s="1567"/>
      <c r="B62" s="1573" t="s">
        <v>11</v>
      </c>
      <c r="C62" s="1574"/>
      <c r="D62" s="1574"/>
      <c r="E62" s="1575"/>
      <c r="F62" s="1570"/>
    </row>
    <row r="63" spans="1:6" ht="13.5" thickBot="1">
      <c r="A63" s="1576"/>
      <c r="B63" s="1577"/>
      <c r="C63" s="1577"/>
      <c r="D63" s="1577"/>
      <c r="E63" s="1577"/>
      <c r="F63" s="1578"/>
    </row>
  </sheetData>
  <customSheetViews>
    <customSheetView guid="{FC62AB03-1E1B-40DD-97B7-FC10FADA3A15}">
      <selection activeCell="G12" sqref="G12"/>
      <pageMargins left="0" right="0" top="0" bottom="0" header="0" footer="0"/>
      <pageSetup paperSize="9" orientation="portrait" horizontalDpi="4294967293" r:id="rId1"/>
      <headerFooter alignWithMargins="0"/>
    </customSheetView>
  </customSheetViews>
  <mergeCells count="12">
    <mergeCell ref="B25:E25"/>
    <mergeCell ref="B14:E14"/>
    <mergeCell ref="B17:E17"/>
    <mergeCell ref="B19:E19"/>
    <mergeCell ref="B21:E21"/>
    <mergeCell ref="B23:E23"/>
    <mergeCell ref="B1:F1"/>
    <mergeCell ref="C3:C4"/>
    <mergeCell ref="D3:D4"/>
    <mergeCell ref="E3:E4"/>
    <mergeCell ref="F3:F4"/>
    <mergeCell ref="B3:B4"/>
  </mergeCells>
  <phoneticPr fontId="0" type="noConversion"/>
  <pageMargins left="0.78740157480314965" right="0.78740157480314965" top="0.98425196850393704" bottom="0.98425196850393704" header="0.51181102362204722" footer="0.51181102362204722"/>
  <pageSetup paperSize="9" orientation="landscape" horizontalDpi="4294967293" r:id="rId2"/>
  <headerFooter differentFirst="1" alignWithMargins="0">
    <oddHeader>&amp;CSeite&amp;P</oddHeader>
    <oddFooter>&amp;LDie Vorlage dieser Datei wurde zur Verfügung gestellt durch die Wirtschafts-Senioren Hannover&amp;R&amp;D</oddFooter>
    <firstHeader>&amp;C&amp;P</firstHeader>
  </headerFooter>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8F9F8-296D-4631-B3D1-75DF17C79FF7}">
  <sheetPr>
    <tabColor rgb="FFFFFF00"/>
    <pageSetUpPr fitToPage="1"/>
  </sheetPr>
  <dimension ref="A1:X77"/>
  <sheetViews>
    <sheetView showGridLines="0" zoomScaleNormal="100" zoomScaleSheetLayoutView="50" workbookViewId="0">
      <selection activeCell="F8" sqref="F8"/>
    </sheetView>
  </sheetViews>
  <sheetFormatPr defaultColWidth="11.5703125" defaultRowHeight="12.75"/>
  <cols>
    <col min="1" max="1" width="3" style="8" customWidth="1"/>
    <col min="2" max="2" width="3.42578125" style="8" customWidth="1"/>
    <col min="3" max="3" width="39.7109375" style="8" customWidth="1"/>
    <col min="4" max="4" width="10.7109375" style="8" customWidth="1"/>
    <col min="5" max="5" width="11.28515625" style="8" customWidth="1"/>
    <col min="6" max="6" width="10.5703125" style="8" customWidth="1"/>
    <col min="7" max="7" width="11.85546875" style="8" customWidth="1"/>
    <col min="8" max="8" width="9.28515625" style="8" customWidth="1"/>
    <col min="9" max="9" width="11.85546875" style="8" customWidth="1"/>
    <col min="10" max="10" width="11.5703125" style="8" hidden="1" customWidth="1"/>
    <col min="11" max="11" width="14.7109375" style="8" hidden="1" customWidth="1"/>
    <col min="12" max="12" width="3.7109375" style="8" customWidth="1"/>
    <col min="13" max="13" width="37.140625" style="8" customWidth="1"/>
    <col min="14" max="14" width="8.5703125" style="8" customWidth="1"/>
    <col min="15" max="15" width="9.7109375" style="8" customWidth="1"/>
    <col min="16" max="16" width="4.28515625" style="8" customWidth="1"/>
    <col min="17" max="17" width="8.140625" style="8" customWidth="1"/>
    <col min="18" max="18" width="5.28515625" style="8" customWidth="1"/>
    <col min="19" max="19" width="2.7109375" style="8" customWidth="1"/>
    <col min="20" max="20" width="4.28515625" style="8" customWidth="1"/>
    <col min="21" max="21" width="31.42578125" style="8" customWidth="1"/>
    <col min="22" max="16384" width="11.5703125" style="8"/>
  </cols>
  <sheetData>
    <row r="1" spans="1:24" ht="12.75" customHeight="1" thickTop="1">
      <c r="A1" s="532"/>
      <c r="B1" s="688"/>
      <c r="C1" s="689"/>
      <c r="D1" s="690"/>
      <c r="E1" s="690"/>
      <c r="F1" s="690"/>
      <c r="G1" s="690"/>
      <c r="H1" s="690"/>
      <c r="I1" s="690"/>
      <c r="J1" s="690"/>
      <c r="K1" s="690"/>
      <c r="L1" s="690"/>
      <c r="M1" s="690"/>
      <c r="N1" s="534"/>
      <c r="O1" s="2191" t="s">
        <v>169</v>
      </c>
      <c r="P1" s="2192"/>
      <c r="Q1" s="2193"/>
      <c r="S1" s="1852"/>
      <c r="T1" s="1567"/>
      <c r="U1" s="1567"/>
      <c r="V1" s="1567"/>
      <c r="W1" s="1567"/>
      <c r="X1" s="1567"/>
    </row>
    <row r="2" spans="1:24" ht="15.75" customHeight="1">
      <c r="A2" s="535"/>
      <c r="B2" s="102" t="s">
        <v>170</v>
      </c>
      <c r="C2" s="103"/>
      <c r="D2" s="2181" t="s">
        <v>171</v>
      </c>
      <c r="E2" s="2181"/>
      <c r="F2" s="2181"/>
      <c r="G2" s="2181"/>
      <c r="H2" s="2181"/>
      <c r="I2" s="2181"/>
      <c r="J2" s="2181"/>
      <c r="K2" s="2181"/>
      <c r="L2" s="2181"/>
      <c r="M2" s="2181"/>
      <c r="N2" s="537"/>
      <c r="O2" s="2194"/>
      <c r="P2" s="2195"/>
      <c r="Q2" s="2193"/>
      <c r="S2" s="1852"/>
      <c r="T2" s="1567"/>
      <c r="U2" s="2187" t="s">
        <v>172</v>
      </c>
      <c r="V2" s="2153"/>
      <c r="W2" s="2153"/>
      <c r="X2" s="2153"/>
    </row>
    <row r="3" spans="1:24" ht="13.5" customHeight="1" thickBot="1">
      <c r="A3" s="535"/>
      <c r="B3" s="365"/>
      <c r="C3" s="103"/>
      <c r="D3" s="103"/>
      <c r="E3" s="103"/>
      <c r="F3" s="103"/>
      <c r="G3" s="103"/>
      <c r="H3" s="103"/>
      <c r="I3" s="103"/>
      <c r="J3" s="103"/>
      <c r="K3" s="103"/>
      <c r="L3" s="103"/>
      <c r="M3" s="103"/>
      <c r="N3" s="537"/>
      <c r="O3" s="2194"/>
      <c r="P3" s="2195"/>
      <c r="Q3" s="2193"/>
      <c r="S3" s="1852"/>
      <c r="T3" s="1567"/>
      <c r="U3" s="1567"/>
      <c r="V3" s="1567"/>
      <c r="W3" s="1567"/>
      <c r="X3" s="1567"/>
    </row>
    <row r="4" spans="1:24">
      <c r="A4" s="535"/>
      <c r="B4" s="2043"/>
      <c r="C4" s="2182" t="s">
        <v>173</v>
      </c>
      <c r="D4" s="2185">
        <f>ZusammenführErgebn!C3</f>
        <v>2025</v>
      </c>
      <c r="E4" s="2186"/>
      <c r="F4" s="2202">
        <f>ZusammenführErgebn!D3</f>
        <v>2026</v>
      </c>
      <c r="G4" s="2186"/>
      <c r="H4" s="2202">
        <f>ZusammenführErgebn!E3</f>
        <v>2027</v>
      </c>
      <c r="I4" s="2186"/>
      <c r="J4" s="2185" t="s">
        <v>174</v>
      </c>
      <c r="K4" s="2185"/>
      <c r="L4" s="2042"/>
      <c r="M4" s="2182" t="s">
        <v>175</v>
      </c>
      <c r="N4" s="1847"/>
      <c r="O4" s="2196"/>
      <c r="P4" s="2197"/>
      <c r="Q4" s="2198"/>
      <c r="S4" s="1852"/>
      <c r="T4" s="2043"/>
      <c r="U4" s="2182"/>
      <c r="V4" s="2185">
        <f>ZusammenführErgebn!U3</f>
        <v>0</v>
      </c>
      <c r="W4" s="2186"/>
      <c r="X4" s="1849"/>
    </row>
    <row r="5" spans="1:24">
      <c r="A5" s="535"/>
      <c r="B5" s="178"/>
      <c r="C5" s="2183"/>
      <c r="D5" s="107"/>
      <c r="E5" s="108">
        <v>12</v>
      </c>
      <c r="F5" s="109" t="s">
        <v>176</v>
      </c>
      <c r="G5" s="1383">
        <v>0.02</v>
      </c>
      <c r="H5" s="110" t="s">
        <v>176</v>
      </c>
      <c r="I5" s="1383">
        <v>0.03</v>
      </c>
      <c r="J5" s="111" t="s">
        <v>176</v>
      </c>
      <c r="K5" s="112">
        <v>0.05</v>
      </c>
      <c r="L5" s="112"/>
      <c r="M5" s="2201"/>
      <c r="N5" s="1848" t="s">
        <v>177</v>
      </c>
      <c r="O5" s="2196"/>
      <c r="P5" s="2197"/>
      <c r="Q5" s="2198"/>
      <c r="S5" s="1852"/>
      <c r="T5" s="178"/>
      <c r="U5" s="2183"/>
      <c r="V5" s="107"/>
      <c r="W5" s="108">
        <v>12</v>
      </c>
      <c r="X5" s="1850" t="s">
        <v>178</v>
      </c>
    </row>
    <row r="6" spans="1:24" ht="13.15" customHeight="1" thickBot="1">
      <c r="A6" s="535"/>
      <c r="B6" s="179"/>
      <c r="C6" s="2184"/>
      <c r="D6" s="113" t="s">
        <v>179</v>
      </c>
      <c r="E6" s="114" t="s">
        <v>180</v>
      </c>
      <c r="F6" s="113" t="s">
        <v>179</v>
      </c>
      <c r="G6" s="114" t="s">
        <v>180</v>
      </c>
      <c r="H6" s="113" t="s">
        <v>179</v>
      </c>
      <c r="I6" s="114" t="s">
        <v>180</v>
      </c>
      <c r="J6" s="115" t="s">
        <v>181</v>
      </c>
      <c r="K6" s="115" t="s">
        <v>182</v>
      </c>
      <c r="L6" s="107"/>
      <c r="M6" s="2201"/>
      <c r="N6" s="1847" t="s">
        <v>183</v>
      </c>
      <c r="O6" s="2196"/>
      <c r="P6" s="2197"/>
      <c r="Q6" s="2198"/>
      <c r="S6" s="1852"/>
      <c r="T6" s="179"/>
      <c r="U6" s="2184"/>
      <c r="V6" s="113" t="s">
        <v>179</v>
      </c>
      <c r="W6" s="114" t="s">
        <v>180</v>
      </c>
      <c r="X6" s="1849"/>
    </row>
    <row r="7" spans="1:24" s="366" customFormat="1" ht="16.5" customHeight="1" thickTop="1">
      <c r="A7" s="535"/>
      <c r="B7" s="180"/>
      <c r="C7" s="116" t="s">
        <v>184</v>
      </c>
      <c r="D7" s="88"/>
      <c r="E7" s="104">
        <f t="shared" ref="E7:E32" si="0">D7*$E$5</f>
        <v>0</v>
      </c>
      <c r="F7" s="104">
        <f>D7*(1+G$5)</f>
        <v>0</v>
      </c>
      <c r="G7" s="104">
        <f>F7*12</f>
        <v>0</v>
      </c>
      <c r="H7" s="104">
        <f>F7*(1+I$5)</f>
        <v>0</v>
      </c>
      <c r="I7" s="105">
        <f>H7*12</f>
        <v>0</v>
      </c>
      <c r="J7" s="181">
        <f>H7*(1+K$5)</f>
        <v>0</v>
      </c>
      <c r="K7" s="182">
        <f>J7*12</f>
        <v>0</v>
      </c>
      <c r="L7" s="55"/>
      <c r="M7" s="25" t="s">
        <v>185</v>
      </c>
      <c r="N7" s="537"/>
      <c r="O7" s="1786"/>
      <c r="P7" s="1795"/>
      <c r="Q7" s="1787"/>
      <c r="S7" s="1852"/>
      <c r="T7" s="180"/>
      <c r="U7" s="116" t="s">
        <v>184</v>
      </c>
      <c r="V7" s="88">
        <v>845</v>
      </c>
      <c r="W7" s="104">
        <f>V7*$E$5</f>
        <v>10140</v>
      </c>
      <c r="X7" s="1854">
        <f t="shared" ref="X7:X23" si="1">V7/$V$29%</f>
        <v>34.517973856209153</v>
      </c>
    </row>
    <row r="8" spans="1:24" s="366" customFormat="1" ht="16.5" customHeight="1">
      <c r="A8" s="535"/>
      <c r="B8" s="180"/>
      <c r="C8" s="117" t="s">
        <v>186</v>
      </c>
      <c r="D8" s="91"/>
      <c r="E8" s="104">
        <f t="shared" si="0"/>
        <v>0</v>
      </c>
      <c r="F8" s="104">
        <f t="shared" ref="F8:F27" si="2">D8*(1+G$5)</f>
        <v>0</v>
      </c>
      <c r="G8" s="104">
        <f t="shared" ref="G8:G32" si="3">F8*12</f>
        <v>0</v>
      </c>
      <c r="H8" s="104">
        <f t="shared" ref="H8:H27" si="4">F8*(1+I$5)</f>
        <v>0</v>
      </c>
      <c r="I8" s="105">
        <f t="shared" ref="I8:I32" si="5">H8*12</f>
        <v>0</v>
      </c>
      <c r="J8" s="181">
        <f t="shared" ref="J8:J27" si="6">H8*(1+K$5)</f>
        <v>0</v>
      </c>
      <c r="K8" s="182">
        <f t="shared" ref="K8:K32" si="7">J8*12</f>
        <v>0</v>
      </c>
      <c r="L8" s="56"/>
      <c r="M8" s="26" t="s">
        <v>187</v>
      </c>
      <c r="N8" s="537"/>
      <c r="O8" s="1788"/>
      <c r="P8" s="1796"/>
      <c r="Q8" s="1789"/>
      <c r="S8" s="1852"/>
      <c r="T8" s="180"/>
      <c r="U8" s="117" t="s">
        <v>186</v>
      </c>
      <c r="V8" s="91"/>
      <c r="W8" s="104">
        <f>V8*$E$5</f>
        <v>0</v>
      </c>
      <c r="X8" s="1855">
        <f t="shared" si="1"/>
        <v>0</v>
      </c>
    </row>
    <row r="9" spans="1:24" s="366" customFormat="1" ht="16.5" customHeight="1" thickBot="1">
      <c r="A9" s="535"/>
      <c r="B9" s="180"/>
      <c r="C9" s="117" t="s">
        <v>188</v>
      </c>
      <c r="D9" s="92"/>
      <c r="E9" s="104">
        <f t="shared" si="0"/>
        <v>0</v>
      </c>
      <c r="F9" s="104">
        <f t="shared" si="2"/>
        <v>0</v>
      </c>
      <c r="G9" s="104">
        <f t="shared" si="3"/>
        <v>0</v>
      </c>
      <c r="H9" s="104">
        <f t="shared" si="4"/>
        <v>0</v>
      </c>
      <c r="I9" s="105">
        <f t="shared" si="5"/>
        <v>0</v>
      </c>
      <c r="J9" s="181">
        <f t="shared" si="6"/>
        <v>0</v>
      </c>
      <c r="K9" s="182">
        <f t="shared" si="7"/>
        <v>0</v>
      </c>
      <c r="L9" s="56"/>
      <c r="M9" s="26"/>
      <c r="N9" s="537"/>
      <c r="O9" s="1788"/>
      <c r="P9" s="1796"/>
      <c r="Q9" s="1789"/>
      <c r="S9" s="1852"/>
      <c r="T9" s="180"/>
      <c r="U9" s="117" t="s">
        <v>188</v>
      </c>
      <c r="V9" s="92"/>
      <c r="W9" s="104">
        <f>V9*$E$5</f>
        <v>0</v>
      </c>
      <c r="X9" s="1855">
        <f t="shared" si="1"/>
        <v>0</v>
      </c>
    </row>
    <row r="10" spans="1:24" s="366" customFormat="1" ht="16.5" customHeight="1" thickTop="1" thickBot="1">
      <c r="A10" s="535"/>
      <c r="B10" s="183">
        <v>1</v>
      </c>
      <c r="C10" s="118" t="s">
        <v>189</v>
      </c>
      <c r="D10" s="184">
        <f>SUM(D7:D9)</f>
        <v>0</v>
      </c>
      <c r="E10" s="119">
        <f t="shared" ref="E10:K10" si="8">SUM(E7:E9)</f>
        <v>0</v>
      </c>
      <c r="F10" s="119">
        <f t="shared" si="8"/>
        <v>0</v>
      </c>
      <c r="G10" s="119">
        <f t="shared" si="8"/>
        <v>0</v>
      </c>
      <c r="H10" s="119">
        <f t="shared" si="8"/>
        <v>0</v>
      </c>
      <c r="I10" s="120">
        <f t="shared" si="8"/>
        <v>0</v>
      </c>
      <c r="J10" s="185">
        <f t="shared" si="8"/>
        <v>0</v>
      </c>
      <c r="K10" s="186">
        <f t="shared" si="8"/>
        <v>0</v>
      </c>
      <c r="L10" s="57"/>
      <c r="M10" s="27"/>
      <c r="N10" s="537"/>
      <c r="O10" s="1788"/>
      <c r="P10" s="1796"/>
      <c r="Q10" s="1789"/>
      <c r="R10" s="1800"/>
      <c r="S10" s="1852"/>
      <c r="T10" s="183">
        <v>1</v>
      </c>
      <c r="U10" s="118" t="s">
        <v>189</v>
      </c>
      <c r="V10" s="184">
        <f>SUM(V7:V9)</f>
        <v>845</v>
      </c>
      <c r="W10" s="119">
        <f>SUM(W7:W9)</f>
        <v>10140</v>
      </c>
      <c r="X10" s="184">
        <f t="shared" si="1"/>
        <v>34.517973856209153</v>
      </c>
    </row>
    <row r="11" spans="1:24" s="366" customFormat="1" ht="16.5" customHeight="1">
      <c r="A11" s="535"/>
      <c r="B11" s="180"/>
      <c r="C11" s="117" t="s">
        <v>190</v>
      </c>
      <c r="D11" s="93"/>
      <c r="E11" s="104">
        <f t="shared" si="0"/>
        <v>0</v>
      </c>
      <c r="F11" s="104">
        <f t="shared" si="2"/>
        <v>0</v>
      </c>
      <c r="G11" s="104">
        <f t="shared" si="3"/>
        <v>0</v>
      </c>
      <c r="H11" s="104">
        <f t="shared" si="4"/>
        <v>0</v>
      </c>
      <c r="I11" s="105">
        <f t="shared" si="5"/>
        <v>0</v>
      </c>
      <c r="J11" s="181">
        <f t="shared" si="6"/>
        <v>0</v>
      </c>
      <c r="K11" s="182">
        <f t="shared" si="7"/>
        <v>0</v>
      </c>
      <c r="L11" s="56"/>
      <c r="M11" s="26" t="s">
        <v>191</v>
      </c>
      <c r="N11" s="537"/>
      <c r="O11" s="1788"/>
      <c r="P11" s="1796"/>
      <c r="Q11" s="1789"/>
      <c r="R11" s="1801"/>
      <c r="S11" s="1852"/>
      <c r="T11" s="180"/>
      <c r="U11" s="117" t="s">
        <v>190</v>
      </c>
      <c r="V11" s="93">
        <v>486</v>
      </c>
      <c r="W11" s="104">
        <f>V11*$E$5</f>
        <v>5832</v>
      </c>
      <c r="X11" s="1855">
        <f t="shared" si="1"/>
        <v>19.852941176470587</v>
      </c>
    </row>
    <row r="12" spans="1:24" s="366" customFormat="1" ht="16.5" customHeight="1">
      <c r="A12" s="535"/>
      <c r="B12" s="180"/>
      <c r="C12" s="117" t="s">
        <v>192</v>
      </c>
      <c r="D12" s="91"/>
      <c r="E12" s="104">
        <f t="shared" si="0"/>
        <v>0</v>
      </c>
      <c r="F12" s="104">
        <f t="shared" si="2"/>
        <v>0</v>
      </c>
      <c r="G12" s="104">
        <f t="shared" si="3"/>
        <v>0</v>
      </c>
      <c r="H12" s="104">
        <f t="shared" si="4"/>
        <v>0</v>
      </c>
      <c r="I12" s="105">
        <f t="shared" si="5"/>
        <v>0</v>
      </c>
      <c r="J12" s="181">
        <f t="shared" si="6"/>
        <v>0</v>
      </c>
      <c r="K12" s="182">
        <f t="shared" si="7"/>
        <v>0</v>
      </c>
      <c r="L12" s="56"/>
      <c r="M12" s="26"/>
      <c r="N12" s="537"/>
      <c r="O12" s="1788"/>
      <c r="P12" s="1796"/>
      <c r="Q12" s="1789"/>
      <c r="R12" s="1801"/>
      <c r="S12" s="1852"/>
      <c r="T12" s="180"/>
      <c r="U12" s="117" t="s">
        <v>192</v>
      </c>
      <c r="V12" s="91"/>
      <c r="W12" s="104">
        <f>V12*$E$5</f>
        <v>0</v>
      </c>
      <c r="X12" s="1855">
        <f t="shared" si="1"/>
        <v>0</v>
      </c>
    </row>
    <row r="13" spans="1:24" s="366" customFormat="1" ht="16.5" customHeight="1" thickBot="1">
      <c r="A13" s="535"/>
      <c r="B13" s="180"/>
      <c r="C13" s="117" t="s">
        <v>193</v>
      </c>
      <c r="D13" s="92"/>
      <c r="E13" s="104">
        <f t="shared" si="0"/>
        <v>0</v>
      </c>
      <c r="F13" s="104">
        <f t="shared" si="2"/>
        <v>0</v>
      </c>
      <c r="G13" s="104">
        <f t="shared" si="3"/>
        <v>0</v>
      </c>
      <c r="H13" s="104">
        <f t="shared" si="4"/>
        <v>0</v>
      </c>
      <c r="I13" s="105">
        <f t="shared" si="5"/>
        <v>0</v>
      </c>
      <c r="J13" s="181">
        <f t="shared" si="6"/>
        <v>0</v>
      </c>
      <c r="K13" s="182">
        <f t="shared" si="7"/>
        <v>0</v>
      </c>
      <c r="L13" s="56"/>
      <c r="M13" s="26"/>
      <c r="N13" s="537"/>
      <c r="O13" s="1788"/>
      <c r="P13" s="1796"/>
      <c r="Q13" s="1789"/>
      <c r="R13" s="1801"/>
      <c r="S13" s="1852"/>
      <c r="T13" s="180"/>
      <c r="U13" s="117" t="s">
        <v>193</v>
      </c>
      <c r="V13" s="92">
        <v>261</v>
      </c>
      <c r="W13" s="104">
        <f>V13*$E$5</f>
        <v>3132</v>
      </c>
      <c r="X13" s="1855">
        <f t="shared" si="1"/>
        <v>10.661764705882353</v>
      </c>
    </row>
    <row r="14" spans="1:24" s="366" customFormat="1" ht="16.5" customHeight="1" thickBot="1">
      <c r="A14" s="535"/>
      <c r="B14" s="183">
        <v>2</v>
      </c>
      <c r="C14" s="118" t="s">
        <v>194</v>
      </c>
      <c r="D14" s="184">
        <f>SUM(D11:D13)</f>
        <v>0</v>
      </c>
      <c r="E14" s="119">
        <f t="shared" ref="E14:K14" si="9">SUM(E11:E13)</f>
        <v>0</v>
      </c>
      <c r="F14" s="119">
        <f t="shared" si="9"/>
        <v>0</v>
      </c>
      <c r="G14" s="119">
        <f t="shared" si="9"/>
        <v>0</v>
      </c>
      <c r="H14" s="119">
        <f t="shared" si="9"/>
        <v>0</v>
      </c>
      <c r="I14" s="120">
        <f t="shared" si="9"/>
        <v>0</v>
      </c>
      <c r="J14" s="187">
        <f t="shared" si="9"/>
        <v>0</v>
      </c>
      <c r="K14" s="188">
        <f t="shared" si="9"/>
        <v>0</v>
      </c>
      <c r="L14" s="57"/>
      <c r="M14" s="1586"/>
      <c r="N14" s="537"/>
      <c r="O14" s="1788"/>
      <c r="P14" s="1796"/>
      <c r="Q14" s="1789"/>
      <c r="R14" s="1801"/>
      <c r="S14" s="1852"/>
      <c r="T14" s="183">
        <v>2</v>
      </c>
      <c r="U14" s="118" t="s">
        <v>194</v>
      </c>
      <c r="V14" s="184">
        <f>SUM(V11:V13)</f>
        <v>747</v>
      </c>
      <c r="W14" s="119">
        <f>SUM(W11:W13)</f>
        <v>8964</v>
      </c>
      <c r="X14" s="184">
        <f t="shared" si="1"/>
        <v>30.514705882352942</v>
      </c>
    </row>
    <row r="15" spans="1:24" s="366" customFormat="1" ht="25.9" customHeight="1" thickTop="1">
      <c r="A15" s="535"/>
      <c r="B15" s="180"/>
      <c r="C15" s="117" t="s">
        <v>195</v>
      </c>
      <c r="D15" s="93"/>
      <c r="E15" s="104">
        <f t="shared" si="0"/>
        <v>0</v>
      </c>
      <c r="F15" s="104">
        <f t="shared" si="2"/>
        <v>0</v>
      </c>
      <c r="G15" s="104">
        <f t="shared" si="3"/>
        <v>0</v>
      </c>
      <c r="H15" s="104">
        <f t="shared" si="4"/>
        <v>0</v>
      </c>
      <c r="I15" s="105">
        <f t="shared" si="5"/>
        <v>0</v>
      </c>
      <c r="J15" s="181">
        <f t="shared" si="6"/>
        <v>0</v>
      </c>
      <c r="K15" s="182">
        <f t="shared" si="7"/>
        <v>0</v>
      </c>
      <c r="L15" s="1585"/>
      <c r="M15" s="1588" t="s">
        <v>196</v>
      </c>
      <c r="N15" s="691" t="s">
        <v>197</v>
      </c>
      <c r="O15" s="1792">
        <f>'Ertragsv. 2025'!O23*Privatentnahmen!Q15/12</f>
        <v>0</v>
      </c>
      <c r="P15" s="1797"/>
      <c r="Q15" s="1793">
        <v>0.17549999999999999</v>
      </c>
      <c r="R15" s="1801"/>
      <c r="S15" s="1852"/>
      <c r="T15" s="180"/>
      <c r="U15" s="117" t="s">
        <v>195</v>
      </c>
      <c r="V15" s="93"/>
      <c r="W15" s="104">
        <f>V15*$E$5</f>
        <v>0</v>
      </c>
      <c r="X15" s="1855">
        <f t="shared" si="1"/>
        <v>0</v>
      </c>
    </row>
    <row r="16" spans="1:24" s="366" customFormat="1" ht="16.5" customHeight="1">
      <c r="A16" s="535"/>
      <c r="B16" s="180"/>
      <c r="C16" s="117" t="s">
        <v>198</v>
      </c>
      <c r="D16" s="91"/>
      <c r="E16" s="104">
        <f t="shared" si="0"/>
        <v>0</v>
      </c>
      <c r="F16" s="104">
        <f t="shared" si="2"/>
        <v>0</v>
      </c>
      <c r="G16" s="104">
        <f t="shared" si="3"/>
        <v>0</v>
      </c>
      <c r="H16" s="104">
        <f t="shared" si="4"/>
        <v>0</v>
      </c>
      <c r="I16" s="105">
        <f t="shared" si="5"/>
        <v>0</v>
      </c>
      <c r="J16" s="181">
        <f t="shared" si="6"/>
        <v>0</v>
      </c>
      <c r="K16" s="182">
        <f t="shared" si="7"/>
        <v>0</v>
      </c>
      <c r="L16" s="1585"/>
      <c r="M16" s="1589"/>
      <c r="N16" s="537"/>
      <c r="O16" s="1788"/>
      <c r="P16" s="1796"/>
      <c r="Q16" s="1794"/>
      <c r="R16" s="1801"/>
      <c r="S16" s="1852"/>
      <c r="T16" s="180"/>
      <c r="U16" s="117" t="s">
        <v>198</v>
      </c>
      <c r="V16" s="91"/>
      <c r="W16" s="104">
        <f>V16*$E$5</f>
        <v>0</v>
      </c>
      <c r="X16" s="1855">
        <f t="shared" si="1"/>
        <v>0</v>
      </c>
    </row>
    <row r="17" spans="1:24" s="366" customFormat="1" ht="24" customHeight="1" thickBot="1">
      <c r="A17" s="535"/>
      <c r="B17" s="180"/>
      <c r="C17" s="117" t="s">
        <v>199</v>
      </c>
      <c r="D17" s="91"/>
      <c r="E17" s="104">
        <f t="shared" si="0"/>
        <v>0</v>
      </c>
      <c r="F17" s="104">
        <f t="shared" si="2"/>
        <v>0</v>
      </c>
      <c r="G17" s="104">
        <f t="shared" si="3"/>
        <v>0</v>
      </c>
      <c r="H17" s="104">
        <f t="shared" si="4"/>
        <v>0</v>
      </c>
      <c r="I17" s="105">
        <f t="shared" si="5"/>
        <v>0</v>
      </c>
      <c r="J17" s="181">
        <f t="shared" si="6"/>
        <v>0</v>
      </c>
      <c r="K17" s="182">
        <f t="shared" si="7"/>
        <v>0</v>
      </c>
      <c r="L17" s="1585"/>
      <c r="M17" s="1590" t="s">
        <v>200</v>
      </c>
      <c r="N17" s="691" t="s">
        <v>201</v>
      </c>
      <c r="O17" s="1792">
        <v>85.05</v>
      </c>
      <c r="P17" s="1797"/>
      <c r="Q17" s="1794"/>
      <c r="R17" s="2188" t="s">
        <v>202</v>
      </c>
      <c r="S17" s="1852"/>
      <c r="T17" s="180"/>
      <c r="U17" s="117" t="s">
        <v>199</v>
      </c>
      <c r="V17" s="91">
        <v>300</v>
      </c>
      <c r="W17" s="104">
        <f>V17*$E$5</f>
        <v>3600</v>
      </c>
      <c r="X17" s="1855">
        <f t="shared" si="1"/>
        <v>12.254901960784313</v>
      </c>
    </row>
    <row r="18" spans="1:24" s="366" customFormat="1" ht="16.5" customHeight="1" thickTop="1" thickBot="1">
      <c r="A18" s="535"/>
      <c r="B18" s="180"/>
      <c r="C18" s="117" t="s">
        <v>203</v>
      </c>
      <c r="D18" s="92">
        <v>0</v>
      </c>
      <c r="E18" s="104">
        <f t="shared" si="0"/>
        <v>0</v>
      </c>
      <c r="F18" s="104">
        <f t="shared" si="2"/>
        <v>0</v>
      </c>
      <c r="G18" s="104">
        <f t="shared" si="3"/>
        <v>0</v>
      </c>
      <c r="H18" s="104">
        <f t="shared" si="4"/>
        <v>0</v>
      </c>
      <c r="I18" s="105">
        <f t="shared" si="5"/>
        <v>0</v>
      </c>
      <c r="J18" s="181">
        <f t="shared" si="6"/>
        <v>0</v>
      </c>
      <c r="K18" s="182">
        <f t="shared" si="7"/>
        <v>0</v>
      </c>
      <c r="L18" s="56"/>
      <c r="M18" s="1587" t="s">
        <v>204</v>
      </c>
      <c r="N18" s="537"/>
      <c r="O18" s="1788"/>
      <c r="P18" s="1796"/>
      <c r="Q18" s="1794"/>
      <c r="R18" s="2189"/>
      <c r="S18" s="1852"/>
      <c r="T18" s="180"/>
      <c r="U18" s="117" t="s">
        <v>203</v>
      </c>
      <c r="V18" s="92">
        <v>56</v>
      </c>
      <c r="W18" s="104">
        <f>V18*$E$5</f>
        <v>672</v>
      </c>
      <c r="X18" s="1855">
        <f t="shared" si="1"/>
        <v>2.2875816993464051</v>
      </c>
    </row>
    <row r="19" spans="1:24" s="366" customFormat="1" ht="16.5" customHeight="1" thickBot="1">
      <c r="A19" s="535"/>
      <c r="B19" s="183">
        <v>3</v>
      </c>
      <c r="C19" s="118" t="s">
        <v>205</v>
      </c>
      <c r="D19" s="184">
        <f>SUM(D15:D18)</f>
        <v>0</v>
      </c>
      <c r="E19" s="119">
        <f t="shared" ref="E19:K19" si="10">SUM(E15:E18)</f>
        <v>0</v>
      </c>
      <c r="F19" s="119">
        <f t="shared" si="10"/>
        <v>0</v>
      </c>
      <c r="G19" s="119">
        <f t="shared" si="10"/>
        <v>0</v>
      </c>
      <c r="H19" s="119">
        <f t="shared" si="10"/>
        <v>0</v>
      </c>
      <c r="I19" s="120">
        <f t="shared" si="10"/>
        <v>0</v>
      </c>
      <c r="J19" s="187">
        <f t="shared" si="10"/>
        <v>0</v>
      </c>
      <c r="K19" s="188">
        <f t="shared" si="10"/>
        <v>0</v>
      </c>
      <c r="L19" s="57"/>
      <c r="M19" s="27"/>
      <c r="N19" s="537"/>
      <c r="O19" s="1788"/>
      <c r="P19" s="1796"/>
      <c r="Q19" s="1794"/>
      <c r="R19" s="2189"/>
      <c r="S19" s="1852"/>
      <c r="T19" s="183">
        <v>3</v>
      </c>
      <c r="U19" s="118" t="s">
        <v>205</v>
      </c>
      <c r="V19" s="184">
        <f>SUM(V15:V18)</f>
        <v>356</v>
      </c>
      <c r="W19" s="119">
        <f>SUM(W15:W18)</f>
        <v>4272</v>
      </c>
      <c r="X19" s="184">
        <f t="shared" si="1"/>
        <v>14.542483660130719</v>
      </c>
    </row>
    <row r="20" spans="1:24" s="366" customFormat="1" ht="16.5" customHeight="1">
      <c r="A20" s="535"/>
      <c r="B20" s="180"/>
      <c r="C20" s="117" t="s">
        <v>206</v>
      </c>
      <c r="D20" s="93"/>
      <c r="E20" s="104">
        <f t="shared" si="0"/>
        <v>0</v>
      </c>
      <c r="F20" s="104">
        <f t="shared" si="2"/>
        <v>0</v>
      </c>
      <c r="G20" s="104">
        <f t="shared" si="3"/>
        <v>0</v>
      </c>
      <c r="H20" s="104">
        <f t="shared" si="4"/>
        <v>0</v>
      </c>
      <c r="I20" s="105">
        <f t="shared" si="5"/>
        <v>0</v>
      </c>
      <c r="J20" s="181">
        <f t="shared" si="6"/>
        <v>0</v>
      </c>
      <c r="K20" s="182">
        <f t="shared" si="7"/>
        <v>0</v>
      </c>
      <c r="L20" s="56"/>
      <c r="M20" s="26" t="s">
        <v>207</v>
      </c>
      <c r="N20" s="537"/>
      <c r="O20" s="1792">
        <f t="shared" ref="O20:O25" si="11">P20*Q20</f>
        <v>0</v>
      </c>
      <c r="P20" s="1796">
        <v>0</v>
      </c>
      <c r="Q20" s="1799">
        <f>399*110%</f>
        <v>438.90000000000003</v>
      </c>
      <c r="R20" s="2189"/>
      <c r="S20" s="1852"/>
      <c r="T20" s="180"/>
      <c r="U20" s="117" t="s">
        <v>206</v>
      </c>
      <c r="V20" s="93"/>
      <c r="W20" s="104">
        <f>V20*$E$5</f>
        <v>0</v>
      </c>
      <c r="X20" s="1855">
        <f t="shared" si="1"/>
        <v>0</v>
      </c>
    </row>
    <row r="21" spans="1:24" s="366" customFormat="1" ht="16.5" customHeight="1" thickBot="1">
      <c r="A21" s="535"/>
      <c r="B21" s="180"/>
      <c r="C21" s="117" t="s">
        <v>208</v>
      </c>
      <c r="D21" s="92"/>
      <c r="E21" s="104">
        <f t="shared" si="0"/>
        <v>0</v>
      </c>
      <c r="F21" s="104">
        <f t="shared" si="2"/>
        <v>0</v>
      </c>
      <c r="G21" s="104">
        <f t="shared" si="3"/>
        <v>0</v>
      </c>
      <c r="H21" s="104">
        <f t="shared" si="4"/>
        <v>0</v>
      </c>
      <c r="I21" s="105">
        <f t="shared" si="5"/>
        <v>0</v>
      </c>
      <c r="J21" s="181">
        <f t="shared" si="6"/>
        <v>0</v>
      </c>
      <c r="K21" s="182">
        <f t="shared" si="7"/>
        <v>0</v>
      </c>
      <c r="L21" s="56"/>
      <c r="M21" s="26"/>
      <c r="N21" s="537"/>
      <c r="O21" s="1792">
        <f t="shared" si="11"/>
        <v>792.00000000000011</v>
      </c>
      <c r="P21" s="1796">
        <v>2</v>
      </c>
      <c r="Q21" s="1799">
        <f>360*110%</f>
        <v>396.00000000000006</v>
      </c>
      <c r="R21" s="2189"/>
      <c r="S21" s="1852"/>
      <c r="T21" s="180"/>
      <c r="U21" s="117" t="s">
        <v>208</v>
      </c>
      <c r="V21" s="92"/>
      <c r="W21" s="104">
        <f>V21*$E$5</f>
        <v>0</v>
      </c>
      <c r="X21" s="1855">
        <f t="shared" si="1"/>
        <v>0</v>
      </c>
    </row>
    <row r="22" spans="1:24" s="366" customFormat="1" ht="16.5" customHeight="1" thickBot="1">
      <c r="A22" s="535"/>
      <c r="B22" s="183">
        <v>4</v>
      </c>
      <c r="C22" s="118" t="s">
        <v>209</v>
      </c>
      <c r="D22" s="184">
        <f>SUM(D20:D21)</f>
        <v>0</v>
      </c>
      <c r="E22" s="119">
        <f t="shared" ref="E22:K22" si="12">SUM(E20:E21)</f>
        <v>0</v>
      </c>
      <c r="F22" s="119">
        <f t="shared" si="12"/>
        <v>0</v>
      </c>
      <c r="G22" s="119">
        <f t="shared" si="12"/>
        <v>0</v>
      </c>
      <c r="H22" s="119">
        <f t="shared" si="12"/>
        <v>0</v>
      </c>
      <c r="I22" s="120">
        <f t="shared" si="12"/>
        <v>0</v>
      </c>
      <c r="J22" s="187">
        <f t="shared" si="12"/>
        <v>0</v>
      </c>
      <c r="K22" s="188">
        <f t="shared" si="12"/>
        <v>0</v>
      </c>
      <c r="L22" s="57"/>
      <c r="M22" s="27"/>
      <c r="N22" s="537"/>
      <c r="O22" s="1792">
        <f t="shared" si="11"/>
        <v>0</v>
      </c>
      <c r="P22" s="1796"/>
      <c r="Q22" s="1799">
        <f>320*110%</f>
        <v>352</v>
      </c>
      <c r="R22" s="2189"/>
      <c r="S22" s="1852"/>
      <c r="T22" s="183">
        <v>4</v>
      </c>
      <c r="U22" s="118" t="s">
        <v>209</v>
      </c>
      <c r="V22" s="184">
        <f>SUM(V20:V21)</f>
        <v>0</v>
      </c>
      <c r="W22" s="119">
        <f>SUM(W20:W21)</f>
        <v>0</v>
      </c>
      <c r="X22" s="184">
        <f t="shared" si="1"/>
        <v>0</v>
      </c>
    </row>
    <row r="23" spans="1:24" s="366" customFormat="1" ht="16.5" customHeight="1">
      <c r="A23" s="535"/>
      <c r="B23" s="180"/>
      <c r="C23" s="117" t="s">
        <v>210</v>
      </c>
      <c r="D23" s="93"/>
      <c r="E23" s="104">
        <f t="shared" si="0"/>
        <v>0</v>
      </c>
      <c r="F23" s="104">
        <f t="shared" si="2"/>
        <v>0</v>
      </c>
      <c r="G23" s="104">
        <f t="shared" si="3"/>
        <v>0</v>
      </c>
      <c r="H23" s="104">
        <f t="shared" si="4"/>
        <v>0</v>
      </c>
      <c r="I23" s="105">
        <f t="shared" si="5"/>
        <v>0</v>
      </c>
      <c r="J23" s="181">
        <f t="shared" si="6"/>
        <v>0</v>
      </c>
      <c r="K23" s="182">
        <f t="shared" si="7"/>
        <v>0</v>
      </c>
      <c r="L23" s="56"/>
      <c r="M23" s="26"/>
      <c r="N23" s="537"/>
      <c r="O23" s="1792">
        <f t="shared" si="11"/>
        <v>0</v>
      </c>
      <c r="P23" s="1796"/>
      <c r="Q23" s="1799">
        <f>302*110%</f>
        <v>332.20000000000005</v>
      </c>
      <c r="R23" s="2189"/>
      <c r="S23" s="1852"/>
      <c r="T23" s="180"/>
      <c r="U23" s="117" t="s">
        <v>210</v>
      </c>
      <c r="V23" s="93"/>
      <c r="W23" s="104">
        <f>V23*$E$5</f>
        <v>0</v>
      </c>
      <c r="X23" s="1855">
        <f t="shared" si="1"/>
        <v>0</v>
      </c>
    </row>
    <row r="24" spans="1:24" s="366" customFormat="1" ht="16.5" customHeight="1">
      <c r="A24" s="535"/>
      <c r="B24" s="180"/>
      <c r="C24" s="117" t="s">
        <v>211</v>
      </c>
      <c r="D24" s="91"/>
      <c r="E24" s="104">
        <f t="shared" si="0"/>
        <v>0</v>
      </c>
      <c r="F24" s="104">
        <f t="shared" si="2"/>
        <v>0</v>
      </c>
      <c r="G24" s="104">
        <f t="shared" si="3"/>
        <v>0</v>
      </c>
      <c r="H24" s="104">
        <f t="shared" si="4"/>
        <v>0</v>
      </c>
      <c r="I24" s="105">
        <f t="shared" si="5"/>
        <v>0</v>
      </c>
      <c r="J24" s="181">
        <f t="shared" si="6"/>
        <v>0</v>
      </c>
      <c r="K24" s="182">
        <f t="shared" si="7"/>
        <v>0</v>
      </c>
      <c r="L24" s="56"/>
      <c r="M24" s="26"/>
      <c r="N24" s="537"/>
      <c r="O24" s="1792">
        <f t="shared" si="11"/>
        <v>293.70000000000005</v>
      </c>
      <c r="P24" s="1796">
        <v>1</v>
      </c>
      <c r="Q24" s="1799">
        <f>267*110%</f>
        <v>293.70000000000005</v>
      </c>
      <c r="R24" s="2189"/>
      <c r="S24" s="1852"/>
      <c r="T24" s="180"/>
      <c r="U24" s="117" t="s">
        <v>211</v>
      </c>
      <c r="V24" s="91">
        <v>57</v>
      </c>
      <c r="W24" s="104">
        <f>V24*$E$5</f>
        <v>684</v>
      </c>
      <c r="X24" s="1855">
        <f t="shared" ref="X24:X29" si="13">V24/$V$29%</f>
        <v>2.3284313725490198</v>
      </c>
    </row>
    <row r="25" spans="1:24" s="366" customFormat="1" ht="16.5" customHeight="1">
      <c r="A25" s="535"/>
      <c r="B25" s="180"/>
      <c r="C25" s="117" t="s">
        <v>212</v>
      </c>
      <c r="D25" s="91"/>
      <c r="E25" s="104">
        <f t="shared" si="0"/>
        <v>0</v>
      </c>
      <c r="F25" s="104">
        <f t="shared" si="2"/>
        <v>0</v>
      </c>
      <c r="G25" s="104">
        <f t="shared" si="3"/>
        <v>0</v>
      </c>
      <c r="H25" s="104">
        <f t="shared" si="4"/>
        <v>0</v>
      </c>
      <c r="I25" s="105">
        <f t="shared" si="5"/>
        <v>0</v>
      </c>
      <c r="J25" s="181">
        <f t="shared" si="6"/>
        <v>0</v>
      </c>
      <c r="K25" s="182">
        <f t="shared" si="7"/>
        <v>0</v>
      </c>
      <c r="L25" s="56"/>
      <c r="M25" s="26"/>
      <c r="N25" s="537"/>
      <c r="O25" s="1792">
        <f t="shared" si="11"/>
        <v>257.40000000000003</v>
      </c>
      <c r="P25" s="1796">
        <v>1</v>
      </c>
      <c r="Q25" s="1799">
        <f>234*110%</f>
        <v>257.40000000000003</v>
      </c>
      <c r="R25" s="2189"/>
      <c r="S25" s="1852"/>
      <c r="T25" s="180"/>
      <c r="U25" s="117" t="s">
        <v>212</v>
      </c>
      <c r="V25" s="91"/>
      <c r="W25" s="104">
        <f>V25*$E$5</f>
        <v>0</v>
      </c>
      <c r="X25" s="1855">
        <f t="shared" si="13"/>
        <v>0</v>
      </c>
    </row>
    <row r="26" spans="1:24" s="366" customFormat="1" ht="16.5" customHeight="1">
      <c r="A26" s="535"/>
      <c r="B26" s="180"/>
      <c r="C26" s="117" t="s">
        <v>213</v>
      </c>
      <c r="D26" s="1446">
        <v>0</v>
      </c>
      <c r="E26" s="104">
        <f t="shared" si="0"/>
        <v>0</v>
      </c>
      <c r="F26" s="104">
        <f t="shared" si="2"/>
        <v>0</v>
      </c>
      <c r="G26" s="104">
        <f t="shared" si="3"/>
        <v>0</v>
      </c>
      <c r="H26" s="104">
        <f t="shared" si="4"/>
        <v>0</v>
      </c>
      <c r="I26" s="105">
        <f t="shared" si="5"/>
        <v>0</v>
      </c>
      <c r="J26" s="181"/>
      <c r="K26" s="182"/>
      <c r="L26" s="56"/>
      <c r="M26" s="26"/>
      <c r="N26" s="537"/>
      <c r="O26" s="1788"/>
      <c r="P26" s="1796"/>
      <c r="Q26" s="1789"/>
      <c r="R26" s="2189"/>
      <c r="S26" s="1852"/>
      <c r="T26" s="180"/>
      <c r="U26" s="117" t="s">
        <v>214</v>
      </c>
      <c r="V26" s="1446">
        <v>124</v>
      </c>
      <c r="W26" s="104">
        <f>V26*$E$5</f>
        <v>1488</v>
      </c>
      <c r="X26" s="1855">
        <f t="shared" si="13"/>
        <v>5.0653594771241828</v>
      </c>
    </row>
    <row r="27" spans="1:24" s="366" customFormat="1" ht="16.5" customHeight="1" thickBot="1">
      <c r="A27" s="535"/>
      <c r="B27" s="180"/>
      <c r="C27" s="117" t="s">
        <v>215</v>
      </c>
      <c r="D27" s="92"/>
      <c r="E27" s="104">
        <f t="shared" si="0"/>
        <v>0</v>
      </c>
      <c r="F27" s="104">
        <f t="shared" si="2"/>
        <v>0</v>
      </c>
      <c r="G27" s="104">
        <f t="shared" si="3"/>
        <v>0</v>
      </c>
      <c r="H27" s="104">
        <f t="shared" si="4"/>
        <v>0</v>
      </c>
      <c r="I27" s="105">
        <f t="shared" si="5"/>
        <v>0</v>
      </c>
      <c r="J27" s="181">
        <f t="shared" si="6"/>
        <v>0</v>
      </c>
      <c r="K27" s="182">
        <f t="shared" si="7"/>
        <v>0</v>
      </c>
      <c r="L27" s="56"/>
      <c r="M27" s="26" t="s">
        <v>216</v>
      </c>
      <c r="N27" s="537"/>
      <c r="O27" s="1788"/>
      <c r="P27" s="1796"/>
      <c r="Q27" s="1789"/>
      <c r="R27" s="2189"/>
      <c r="S27" s="1852"/>
      <c r="T27" s="180"/>
      <c r="U27" s="117" t="s">
        <v>215</v>
      </c>
      <c r="V27" s="92">
        <v>319</v>
      </c>
      <c r="W27" s="104">
        <f>V27*$E$5</f>
        <v>3828</v>
      </c>
      <c r="X27" s="1855">
        <f t="shared" si="13"/>
        <v>13.031045751633986</v>
      </c>
    </row>
    <row r="28" spans="1:24" s="366" customFormat="1" ht="16.5" customHeight="1" thickBot="1">
      <c r="A28" s="535"/>
      <c r="B28" s="183">
        <v>5</v>
      </c>
      <c r="C28" s="118" t="s">
        <v>217</v>
      </c>
      <c r="D28" s="189">
        <f t="shared" ref="D28:K28" si="14">SUM(D23:D27)</f>
        <v>0</v>
      </c>
      <c r="E28" s="121">
        <f t="shared" si="14"/>
        <v>0</v>
      </c>
      <c r="F28" s="121">
        <f t="shared" si="14"/>
        <v>0</v>
      </c>
      <c r="G28" s="121">
        <f t="shared" si="14"/>
        <v>0</v>
      </c>
      <c r="H28" s="121">
        <f t="shared" si="14"/>
        <v>0</v>
      </c>
      <c r="I28" s="122">
        <f t="shared" si="14"/>
        <v>0</v>
      </c>
      <c r="J28" s="187">
        <f t="shared" si="14"/>
        <v>0</v>
      </c>
      <c r="K28" s="188">
        <f t="shared" si="14"/>
        <v>0</v>
      </c>
      <c r="L28" s="57"/>
      <c r="M28" s="27"/>
      <c r="N28" s="537"/>
      <c r="O28" s="1790"/>
      <c r="P28" s="1798"/>
      <c r="Q28" s="1791"/>
      <c r="R28" s="2190"/>
      <c r="S28" s="1852"/>
      <c r="T28" s="183">
        <v>5</v>
      </c>
      <c r="U28" s="118" t="s">
        <v>217</v>
      </c>
      <c r="V28" s="189">
        <f>SUM(V23:V27)</f>
        <v>500</v>
      </c>
      <c r="W28" s="121">
        <f>SUM(W23:W27)</f>
        <v>6000</v>
      </c>
      <c r="X28" s="189">
        <f t="shared" si="13"/>
        <v>20.424836601307188</v>
      </c>
    </row>
    <row r="29" spans="1:24" s="383" customFormat="1" ht="16.5" customHeight="1" thickBot="1">
      <c r="A29" s="573"/>
      <c r="B29" s="190"/>
      <c r="C29" s="106" t="s">
        <v>218</v>
      </c>
      <c r="D29" s="191">
        <f t="shared" ref="D29:K29" si="15">SUM(D28,D22,D19,D14,D10)</f>
        <v>0</v>
      </c>
      <c r="E29" s="682">
        <f t="shared" si="15"/>
        <v>0</v>
      </c>
      <c r="F29" s="682">
        <f t="shared" si="15"/>
        <v>0</v>
      </c>
      <c r="G29" s="682">
        <f t="shared" si="15"/>
        <v>0</v>
      </c>
      <c r="H29" s="682">
        <f t="shared" si="15"/>
        <v>0</v>
      </c>
      <c r="I29" s="683">
        <f t="shared" si="15"/>
        <v>0</v>
      </c>
      <c r="J29" s="192">
        <f t="shared" si="15"/>
        <v>0</v>
      </c>
      <c r="K29" s="193">
        <f t="shared" si="15"/>
        <v>0</v>
      </c>
      <c r="L29" s="57"/>
      <c r="M29" s="27"/>
      <c r="N29" s="691"/>
      <c r="O29" s="191">
        <f>SUM(O7:O28)</f>
        <v>1428.15</v>
      </c>
      <c r="P29" s="191"/>
      <c r="S29" s="1853"/>
      <c r="T29" s="190"/>
      <c r="U29" s="106" t="s">
        <v>218</v>
      </c>
      <c r="V29" s="191">
        <f>SUM(V28,V22,V19,V14,V10)</f>
        <v>2448</v>
      </c>
      <c r="W29" s="682">
        <f>SUM(W28,W22,W19,W14,W10)</f>
        <v>29376</v>
      </c>
      <c r="X29" s="191">
        <f t="shared" si="13"/>
        <v>100</v>
      </c>
    </row>
    <row r="30" spans="1:24" ht="16.5" customHeight="1" thickTop="1">
      <c r="A30" s="535"/>
      <c r="B30" s="180"/>
      <c r="C30" s="117" t="s">
        <v>219</v>
      </c>
      <c r="D30" s="93">
        <v>0</v>
      </c>
      <c r="E30" s="89">
        <f t="shared" si="0"/>
        <v>0</v>
      </c>
      <c r="F30" s="89">
        <f>D30</f>
        <v>0</v>
      </c>
      <c r="G30" s="89">
        <f t="shared" si="3"/>
        <v>0</v>
      </c>
      <c r="H30" s="89">
        <f>F30</f>
        <v>0</v>
      </c>
      <c r="I30" s="90">
        <f t="shared" si="5"/>
        <v>0</v>
      </c>
      <c r="J30" s="181">
        <f>H30</f>
        <v>0</v>
      </c>
      <c r="K30" s="182">
        <f t="shared" si="7"/>
        <v>0</v>
      </c>
      <c r="L30" s="56"/>
      <c r="M30" s="26"/>
      <c r="N30" s="537"/>
      <c r="S30" s="1852"/>
    </row>
    <row r="31" spans="1:24" ht="16.5" customHeight="1">
      <c r="A31" s="535"/>
      <c r="B31" s="180"/>
      <c r="C31" s="117" t="s">
        <v>220</v>
      </c>
      <c r="D31" s="91"/>
      <c r="E31" s="89">
        <f t="shared" si="0"/>
        <v>0</v>
      </c>
      <c r="F31" s="89">
        <f>D31</f>
        <v>0</v>
      </c>
      <c r="G31" s="89">
        <f t="shared" si="3"/>
        <v>0</v>
      </c>
      <c r="H31" s="89">
        <f>F31</f>
        <v>0</v>
      </c>
      <c r="I31" s="90">
        <f t="shared" si="5"/>
        <v>0</v>
      </c>
      <c r="J31" s="181">
        <f>H31</f>
        <v>0</v>
      </c>
      <c r="K31" s="182">
        <f t="shared" si="7"/>
        <v>0</v>
      </c>
      <c r="L31" s="56"/>
      <c r="M31" s="26"/>
      <c r="N31" s="537"/>
      <c r="S31" s="1852"/>
    </row>
    <row r="32" spans="1:24" ht="16.5" customHeight="1" thickBot="1">
      <c r="A32" s="535"/>
      <c r="B32" s="180"/>
      <c r="C32" s="117" t="s">
        <v>221</v>
      </c>
      <c r="D32" s="92"/>
      <c r="E32" s="89">
        <f t="shared" si="0"/>
        <v>0</v>
      </c>
      <c r="F32" s="89">
        <f>D32</f>
        <v>0</v>
      </c>
      <c r="G32" s="89">
        <f t="shared" si="3"/>
        <v>0</v>
      </c>
      <c r="H32" s="89">
        <f>F32</f>
        <v>0</v>
      </c>
      <c r="I32" s="90">
        <f t="shared" si="5"/>
        <v>0</v>
      </c>
      <c r="J32" s="181">
        <f>H32</f>
        <v>0</v>
      </c>
      <c r="K32" s="182">
        <f t="shared" si="7"/>
        <v>0</v>
      </c>
      <c r="L32" s="56"/>
      <c r="M32" s="26"/>
      <c r="N32" s="537"/>
      <c r="S32" s="1852"/>
    </row>
    <row r="33" spans="1:19" ht="16.5" customHeight="1" thickBot="1">
      <c r="A33" s="535"/>
      <c r="B33" s="190"/>
      <c r="C33" s="106" t="s">
        <v>222</v>
      </c>
      <c r="D33" s="194">
        <f t="shared" ref="D33:K33" si="16">SUM(D30:D32)</f>
        <v>0</v>
      </c>
      <c r="E33" s="682">
        <f t="shared" si="16"/>
        <v>0</v>
      </c>
      <c r="F33" s="682">
        <f t="shared" si="16"/>
        <v>0</v>
      </c>
      <c r="G33" s="682">
        <f t="shared" si="16"/>
        <v>0</v>
      </c>
      <c r="H33" s="682">
        <f t="shared" si="16"/>
        <v>0</v>
      </c>
      <c r="I33" s="683">
        <f t="shared" si="16"/>
        <v>0</v>
      </c>
      <c r="J33" s="187">
        <f t="shared" si="16"/>
        <v>0</v>
      </c>
      <c r="K33" s="188">
        <f t="shared" si="16"/>
        <v>0</v>
      </c>
      <c r="L33" s="57"/>
      <c r="M33" s="26"/>
      <c r="N33" s="537"/>
      <c r="S33" s="1852"/>
    </row>
    <row r="34" spans="1:19" s="366" customFormat="1" ht="16.5" customHeight="1" thickTop="1">
      <c r="A34" s="535"/>
      <c r="B34" s="180"/>
      <c r="C34" s="117"/>
      <c r="D34" s="195"/>
      <c r="E34" s="89"/>
      <c r="F34" s="89"/>
      <c r="G34" s="89"/>
      <c r="H34" s="89"/>
      <c r="I34" s="90"/>
      <c r="J34" s="181">
        <f>J46*J47/12</f>
        <v>0</v>
      </c>
      <c r="K34" s="182">
        <f>J34*12</f>
        <v>0</v>
      </c>
      <c r="L34" s="56"/>
      <c r="M34" s="26"/>
      <c r="N34" s="537"/>
      <c r="S34" s="1852"/>
    </row>
    <row r="35" spans="1:19" ht="16.5" customHeight="1" thickBot="1">
      <c r="A35" s="535"/>
      <c r="B35" s="684"/>
      <c r="C35" s="685" t="s">
        <v>223</v>
      </c>
      <c r="D35" s="686">
        <f t="shared" ref="D35:K35" si="17">D29-D33+D34</f>
        <v>0</v>
      </c>
      <c r="E35" s="686">
        <f t="shared" si="17"/>
        <v>0</v>
      </c>
      <c r="F35" s="686">
        <f t="shared" si="17"/>
        <v>0</v>
      </c>
      <c r="G35" s="686">
        <f t="shared" si="17"/>
        <v>0</v>
      </c>
      <c r="H35" s="686">
        <f t="shared" si="17"/>
        <v>0</v>
      </c>
      <c r="I35" s="687">
        <f t="shared" si="17"/>
        <v>0</v>
      </c>
      <c r="J35" s="196">
        <f t="shared" si="17"/>
        <v>0</v>
      </c>
      <c r="K35" s="197">
        <f t="shared" si="17"/>
        <v>0</v>
      </c>
      <c r="L35" s="58"/>
      <c r="M35" s="28"/>
      <c r="N35" s="537"/>
      <c r="S35" s="1852"/>
    </row>
    <row r="36" spans="1:19" ht="13.5" thickBot="1">
      <c r="A36" s="590"/>
      <c r="B36" s="591"/>
      <c r="C36" s="591"/>
      <c r="D36" s="591"/>
      <c r="E36" s="591"/>
      <c r="F36" s="591"/>
      <c r="G36" s="591"/>
      <c r="H36" s="591"/>
      <c r="I36" s="591"/>
      <c r="J36" s="591"/>
      <c r="K36" s="591"/>
      <c r="L36" s="591"/>
      <c r="M36" s="591"/>
      <c r="N36" s="596"/>
      <c r="S36" s="1852"/>
    </row>
    <row r="37" spans="1:19" ht="13.5" thickTop="1">
      <c r="B37" s="366"/>
      <c r="D37" s="21"/>
      <c r="E37" s="21"/>
      <c r="F37" s="21"/>
      <c r="G37" s="21"/>
      <c r="H37" s="21"/>
      <c r="I37" s="21"/>
      <c r="K37" s="1186"/>
      <c r="L37" s="1186"/>
    </row>
    <row r="38" spans="1:19">
      <c r="B38" s="366"/>
      <c r="D38" s="2199"/>
      <c r="E38" s="2200"/>
      <c r="F38" s="2200"/>
      <c r="G38" s="2200"/>
      <c r="H38" s="2200"/>
      <c r="I38" s="2200"/>
    </row>
    <row r="39" spans="1:19" ht="13.5" thickBot="1">
      <c r="D39" s="2200"/>
      <c r="E39" s="2200"/>
      <c r="F39" s="2200"/>
      <c r="G39" s="2200"/>
      <c r="H39" s="2200"/>
      <c r="I39" s="2200"/>
    </row>
    <row r="40" spans="1:19" ht="13.5" thickBot="1">
      <c r="C40" s="1187"/>
      <c r="D40" s="2200"/>
      <c r="E40" s="2200"/>
      <c r="F40" s="2200"/>
      <c r="G40" s="2200"/>
      <c r="H40" s="2200"/>
      <c r="I40" s="2200"/>
      <c r="J40" s="1188"/>
    </row>
    <row r="41" spans="1:19" s="1" customFormat="1">
      <c r="D41" s="2"/>
      <c r="E41" s="2"/>
      <c r="F41" s="2"/>
      <c r="G41" s="2"/>
      <c r="H41" s="21"/>
      <c r="I41" s="14"/>
      <c r="J41" s="3"/>
    </row>
    <row r="42" spans="1:19" s="1" customFormat="1">
      <c r="C42" s="4"/>
      <c r="D42" s="5"/>
      <c r="E42" s="5"/>
      <c r="F42" s="5"/>
      <c r="G42" s="5"/>
      <c r="H42" s="5"/>
      <c r="I42" s="14"/>
      <c r="J42" s="3"/>
    </row>
    <row r="43" spans="1:19" s="1" customFormat="1">
      <c r="C43" s="4"/>
      <c r="D43" s="5"/>
      <c r="E43" s="5"/>
      <c r="F43" s="5"/>
      <c r="G43" s="5"/>
      <c r="H43" s="5"/>
      <c r="I43" s="14"/>
      <c r="J43" s="3"/>
    </row>
    <row r="44" spans="1:19" s="1" customFormat="1">
      <c r="C44" s="4"/>
      <c r="D44" s="5"/>
      <c r="E44" s="5"/>
      <c r="F44" s="5"/>
      <c r="G44" s="5"/>
      <c r="H44" s="5"/>
      <c r="J44" s="3"/>
    </row>
    <row r="45" spans="1:19" s="1" customFormat="1">
      <c r="D45" s="6"/>
      <c r="E45" s="6"/>
      <c r="F45" s="6"/>
      <c r="G45" s="6"/>
      <c r="H45" s="6"/>
      <c r="J45" s="7"/>
    </row>
    <row r="46" spans="1:19">
      <c r="D46" s="9"/>
      <c r="E46" s="9"/>
      <c r="F46" s="9"/>
      <c r="G46" s="9"/>
      <c r="H46" s="9"/>
      <c r="J46" s="10"/>
    </row>
    <row r="47" spans="1:19">
      <c r="D47" s="11"/>
      <c r="E47" s="10"/>
      <c r="F47" s="11"/>
      <c r="G47" s="10"/>
      <c r="H47" s="11"/>
      <c r="J47" s="11"/>
    </row>
    <row r="49" spans="2:14">
      <c r="K49" s="12"/>
      <c r="L49" s="12"/>
    </row>
    <row r="50" spans="2:14">
      <c r="D50" s="13"/>
    </row>
    <row r="51" spans="2:14">
      <c r="B51" s="21"/>
      <c r="C51" s="21"/>
      <c r="D51" s="21"/>
      <c r="E51" s="21"/>
      <c r="F51" s="21"/>
      <c r="G51" s="21"/>
      <c r="H51" s="21"/>
      <c r="I51" s="21"/>
      <c r="J51" s="21"/>
      <c r="K51" s="21"/>
      <c r="L51" s="21"/>
      <c r="M51" s="21"/>
      <c r="N51" s="21"/>
    </row>
    <row r="52" spans="2:14" s="1" customFormat="1">
      <c r="B52" s="14"/>
      <c r="C52" s="14"/>
      <c r="D52" s="15"/>
      <c r="E52" s="22"/>
      <c r="F52" s="22"/>
      <c r="G52" s="22"/>
      <c r="H52" s="22"/>
      <c r="I52" s="14"/>
      <c r="J52" s="14"/>
      <c r="K52" s="14"/>
      <c r="L52" s="14"/>
      <c r="M52" s="14"/>
      <c r="N52" s="14"/>
    </row>
    <row r="53" spans="2:14" s="1" customFormat="1">
      <c r="B53" s="14"/>
      <c r="C53" s="14"/>
      <c r="D53" s="14"/>
      <c r="E53" s="14"/>
      <c r="F53" s="14"/>
      <c r="G53" s="14"/>
      <c r="H53" s="14"/>
      <c r="I53" s="14"/>
      <c r="J53" s="14"/>
      <c r="K53" s="14"/>
      <c r="L53" s="14"/>
      <c r="M53" s="14"/>
      <c r="N53" s="14"/>
    </row>
    <row r="54" spans="2:14" s="1" customFormat="1">
      <c r="B54" s="14"/>
      <c r="C54" s="14"/>
      <c r="D54" s="14"/>
      <c r="E54" s="15"/>
      <c r="F54" s="15"/>
      <c r="G54" s="15"/>
      <c r="H54" s="15"/>
      <c r="I54" s="16"/>
      <c r="J54" s="23"/>
      <c r="K54" s="15"/>
      <c r="L54" s="15"/>
      <c r="M54" s="15"/>
      <c r="N54" s="14"/>
    </row>
    <row r="55" spans="2:14" s="1" customFormat="1">
      <c r="B55" s="14"/>
      <c r="C55" s="14"/>
      <c r="D55" s="14"/>
      <c r="E55" s="15"/>
      <c r="F55" s="17"/>
      <c r="G55" s="15"/>
      <c r="H55" s="15"/>
      <c r="I55" s="16"/>
      <c r="J55" s="23"/>
      <c r="K55" s="15"/>
      <c r="L55" s="15"/>
      <c r="M55" s="15"/>
      <c r="N55" s="14"/>
    </row>
    <row r="56" spans="2:14" s="1" customFormat="1">
      <c r="B56" s="14"/>
      <c r="C56" s="14"/>
      <c r="D56" s="14"/>
      <c r="E56" s="15"/>
      <c r="F56" s="15"/>
      <c r="G56" s="15"/>
      <c r="H56" s="17"/>
      <c r="I56" s="16"/>
      <c r="J56" s="23"/>
      <c r="K56" s="15"/>
      <c r="L56" s="15"/>
      <c r="M56" s="15"/>
      <c r="N56" s="14"/>
    </row>
    <row r="57" spans="2:14" s="1" customFormat="1">
      <c r="B57" s="14"/>
      <c r="C57" s="14"/>
      <c r="D57" s="14"/>
      <c r="E57" s="15"/>
      <c r="F57" s="15"/>
      <c r="G57" s="15"/>
      <c r="H57" s="15"/>
      <c r="I57" s="16"/>
      <c r="J57" s="23"/>
      <c r="K57" s="15"/>
      <c r="L57" s="15"/>
      <c r="M57" s="15"/>
      <c r="N57" s="14"/>
    </row>
    <row r="58" spans="2:14" s="1" customFormat="1">
      <c r="B58" s="14"/>
      <c r="C58" s="14"/>
      <c r="D58" s="22"/>
      <c r="E58" s="22"/>
      <c r="F58" s="22"/>
      <c r="G58" s="22"/>
      <c r="H58" s="22"/>
      <c r="I58" s="16"/>
      <c r="J58" s="23"/>
      <c r="K58" s="15"/>
      <c r="L58" s="15"/>
      <c r="M58" s="15"/>
      <c r="N58" s="14"/>
    </row>
    <row r="59" spans="2:14" s="1" customFormat="1">
      <c r="B59" s="14"/>
      <c r="C59" s="14"/>
      <c r="D59" s="14"/>
      <c r="E59" s="14"/>
      <c r="F59" s="14"/>
      <c r="G59" s="14"/>
      <c r="H59" s="14"/>
      <c r="I59" s="14"/>
      <c r="J59" s="14"/>
      <c r="K59" s="14"/>
      <c r="L59" s="14"/>
      <c r="M59" s="14"/>
      <c r="N59" s="14"/>
    </row>
    <row r="60" spans="2:14" s="1" customFormat="1">
      <c r="B60" s="14"/>
      <c r="C60" s="14"/>
      <c r="D60" s="15"/>
      <c r="E60" s="22"/>
      <c r="F60" s="22"/>
      <c r="G60" s="22"/>
      <c r="H60" s="22"/>
      <c r="I60" s="14"/>
      <c r="J60" s="14"/>
      <c r="K60" s="14"/>
      <c r="L60" s="14"/>
      <c r="M60" s="14"/>
      <c r="N60" s="14"/>
    </row>
    <row r="61" spans="2:14" s="1" customFormat="1">
      <c r="B61" s="14"/>
      <c r="C61" s="14"/>
      <c r="D61" s="14"/>
      <c r="E61" s="14"/>
      <c r="F61" s="14"/>
      <c r="G61" s="14"/>
      <c r="H61" s="14"/>
      <c r="I61" s="14"/>
      <c r="J61" s="14"/>
      <c r="K61" s="14"/>
      <c r="L61" s="14"/>
      <c r="M61" s="14"/>
      <c r="N61" s="14"/>
    </row>
    <row r="62" spans="2:14" s="1" customFormat="1">
      <c r="B62" s="14"/>
      <c r="C62" s="14"/>
      <c r="D62" s="14"/>
      <c r="E62" s="15"/>
      <c r="F62" s="15"/>
      <c r="G62" s="15"/>
      <c r="H62" s="15"/>
      <c r="I62" s="16"/>
      <c r="J62" s="23"/>
      <c r="K62" s="15"/>
      <c r="L62" s="15"/>
      <c r="M62" s="15"/>
      <c r="N62" s="14"/>
    </row>
    <row r="63" spans="2:14" s="1" customFormat="1">
      <c r="B63" s="14"/>
      <c r="C63" s="14"/>
      <c r="D63" s="14"/>
      <c r="E63" s="15"/>
      <c r="F63" s="17"/>
      <c r="G63" s="15"/>
      <c r="H63" s="15"/>
      <c r="I63" s="16"/>
      <c r="J63" s="23"/>
      <c r="K63" s="15"/>
      <c r="L63" s="15"/>
      <c r="M63" s="15"/>
      <c r="N63" s="14"/>
    </row>
    <row r="64" spans="2:14" s="1" customFormat="1">
      <c r="B64" s="14"/>
      <c r="C64" s="14"/>
      <c r="D64" s="14"/>
      <c r="E64" s="15"/>
      <c r="F64" s="15"/>
      <c r="G64" s="15"/>
      <c r="H64" s="17"/>
      <c r="I64" s="16"/>
      <c r="J64" s="23"/>
      <c r="K64" s="15"/>
      <c r="L64" s="15"/>
      <c r="M64" s="15"/>
      <c r="N64" s="14"/>
    </row>
    <row r="65" spans="2:14" s="1" customFormat="1">
      <c r="B65" s="14"/>
      <c r="C65" s="14"/>
      <c r="D65" s="14"/>
      <c r="E65" s="15"/>
      <c r="F65" s="15"/>
      <c r="G65" s="15"/>
      <c r="H65" s="15"/>
      <c r="I65" s="16"/>
      <c r="J65" s="23"/>
      <c r="K65" s="15"/>
      <c r="L65" s="15"/>
      <c r="M65" s="15"/>
      <c r="N65" s="14"/>
    </row>
    <row r="66" spans="2:14" s="1" customFormat="1">
      <c r="B66" s="14"/>
      <c r="C66" s="14"/>
      <c r="D66" s="22"/>
      <c r="E66" s="22"/>
      <c r="F66" s="22"/>
      <c r="G66" s="22"/>
      <c r="H66" s="22"/>
      <c r="I66" s="16"/>
      <c r="J66" s="23"/>
      <c r="K66" s="15"/>
      <c r="L66" s="15"/>
      <c r="M66" s="15"/>
      <c r="N66" s="14"/>
    </row>
    <row r="67" spans="2:14" s="1" customFormat="1">
      <c r="B67" s="14"/>
      <c r="C67" s="14"/>
      <c r="D67" s="14"/>
      <c r="E67" s="14"/>
      <c r="F67" s="14"/>
      <c r="G67" s="14"/>
      <c r="H67" s="14"/>
      <c r="I67" s="14"/>
      <c r="J67" s="14"/>
      <c r="K67" s="14"/>
      <c r="L67" s="14"/>
      <c r="M67" s="14"/>
      <c r="N67" s="14"/>
    </row>
    <row r="68" spans="2:14" s="1" customFormat="1">
      <c r="B68" s="14"/>
      <c r="C68" s="14"/>
      <c r="D68" s="15"/>
      <c r="E68" s="22"/>
      <c r="F68" s="22"/>
      <c r="G68" s="22"/>
      <c r="H68" s="22"/>
      <c r="I68" s="14"/>
      <c r="J68" s="14"/>
      <c r="K68" s="14"/>
      <c r="L68" s="14"/>
      <c r="M68" s="14"/>
      <c r="N68" s="14"/>
    </row>
    <row r="69" spans="2:14" s="1" customFormat="1">
      <c r="B69" s="14"/>
      <c r="C69" s="14"/>
      <c r="D69" s="14"/>
      <c r="E69" s="14"/>
      <c r="F69" s="14"/>
      <c r="G69" s="14"/>
      <c r="H69" s="14"/>
      <c r="I69" s="14"/>
      <c r="J69" s="14"/>
      <c r="K69" s="14"/>
      <c r="L69" s="14"/>
      <c r="M69" s="14"/>
      <c r="N69" s="14"/>
    </row>
    <row r="70" spans="2:14" s="1" customFormat="1">
      <c r="B70" s="14"/>
      <c r="C70" s="14"/>
      <c r="D70" s="14"/>
      <c r="E70" s="15"/>
      <c r="F70" s="15"/>
      <c r="G70" s="15"/>
      <c r="H70" s="15"/>
      <c r="I70" s="16"/>
      <c r="J70" s="23"/>
      <c r="K70" s="15"/>
      <c r="L70" s="15"/>
      <c r="M70" s="15"/>
      <c r="N70" s="14"/>
    </row>
    <row r="71" spans="2:14" s="1" customFormat="1">
      <c r="B71" s="14"/>
      <c r="C71" s="14"/>
      <c r="D71" s="14"/>
      <c r="E71" s="15"/>
      <c r="F71" s="17"/>
      <c r="G71" s="15"/>
      <c r="H71" s="15"/>
      <c r="I71" s="16"/>
      <c r="J71" s="23"/>
      <c r="K71" s="15"/>
      <c r="L71" s="15"/>
      <c r="M71" s="15"/>
      <c r="N71" s="14"/>
    </row>
    <row r="72" spans="2:14" s="1" customFormat="1">
      <c r="B72" s="14"/>
      <c r="C72" s="14"/>
      <c r="D72" s="14"/>
      <c r="E72" s="15"/>
      <c r="F72" s="15"/>
      <c r="G72" s="15"/>
      <c r="H72" s="17"/>
      <c r="I72" s="16"/>
      <c r="J72" s="23"/>
      <c r="K72" s="15"/>
      <c r="L72" s="15"/>
      <c r="M72" s="15"/>
      <c r="N72" s="14"/>
    </row>
    <row r="73" spans="2:14" s="1" customFormat="1">
      <c r="B73" s="14"/>
      <c r="C73" s="14"/>
      <c r="D73" s="14"/>
      <c r="E73" s="15"/>
      <c r="F73" s="15"/>
      <c r="G73" s="15"/>
      <c r="H73" s="15"/>
      <c r="I73" s="16"/>
      <c r="J73" s="23"/>
      <c r="K73" s="15"/>
      <c r="L73" s="15"/>
      <c r="M73" s="15"/>
      <c r="N73" s="14"/>
    </row>
    <row r="74" spans="2:14" s="1" customFormat="1">
      <c r="B74" s="14"/>
      <c r="C74" s="14"/>
      <c r="D74" s="22"/>
      <c r="E74" s="22"/>
      <c r="F74" s="22"/>
      <c r="G74" s="22"/>
      <c r="H74" s="22"/>
      <c r="I74" s="16"/>
      <c r="J74" s="23"/>
      <c r="K74" s="15"/>
      <c r="L74" s="15"/>
      <c r="M74" s="15"/>
      <c r="N74" s="14"/>
    </row>
    <row r="75" spans="2:14">
      <c r="B75" s="21"/>
      <c r="C75" s="21"/>
      <c r="D75" s="21"/>
      <c r="E75" s="21"/>
      <c r="F75" s="21"/>
      <c r="G75" s="21"/>
      <c r="H75" s="21"/>
      <c r="I75" s="21"/>
      <c r="J75" s="21"/>
      <c r="K75" s="21"/>
      <c r="L75" s="21"/>
      <c r="M75" s="21"/>
      <c r="N75" s="21"/>
    </row>
    <row r="76" spans="2:14">
      <c r="B76" s="21"/>
      <c r="C76" s="21"/>
      <c r="D76" s="21"/>
      <c r="E76" s="21"/>
      <c r="F76" s="21"/>
      <c r="G76" s="21"/>
      <c r="H76" s="21"/>
      <c r="I76" s="21"/>
      <c r="J76" s="21"/>
      <c r="K76" s="21"/>
      <c r="L76" s="21"/>
      <c r="M76" s="21"/>
      <c r="N76" s="21"/>
    </row>
    <row r="77" spans="2:14">
      <c r="B77" s="21"/>
      <c r="C77" s="21"/>
      <c r="D77" s="21"/>
      <c r="E77" s="21"/>
      <c r="F77" s="21"/>
      <c r="G77" s="21"/>
      <c r="H77" s="21"/>
      <c r="I77" s="21"/>
      <c r="J77" s="21"/>
      <c r="K77" s="21"/>
      <c r="L77" s="21"/>
      <c r="M77" s="21"/>
      <c r="N77" s="21"/>
    </row>
  </sheetData>
  <customSheetViews>
    <customSheetView guid="{FC62AB03-1E1B-40DD-97B7-FC10FADA3A15}" showPageBreaks="1" printArea="1" hiddenColumns="1">
      <selection activeCell="B5" sqref="B5:C5"/>
      <rowBreaks count="2" manualBreakCount="2">
        <brk id="34" max="9" man="1"/>
        <brk id="37" max="16383" man="1"/>
      </rowBreaks>
      <colBreaks count="1" manualBreakCount="1">
        <brk id="10" max="1048575" man="1"/>
      </colBreaks>
      <pageMargins left="0" right="0" top="0" bottom="0" header="0" footer="0"/>
      <printOptions horizontalCentered="1"/>
      <pageSetup paperSize="9" scale="94" orientation="landscape" horizontalDpi="4294967293" verticalDpi="4294967293" r:id="rId1"/>
      <headerFooter alignWithMargins="0">
        <oddHeader>&amp;L&amp;G&amp;R&amp;8Mit freundlicher Unterstützung von&amp;10
&amp;"Arial,Fett"&amp;11Enigma Gründungszentrum</oddHeader>
        <oddFooter>&amp;L&amp;9SD / 03-2008
MvC / 05-2008&amp;C&amp;9www.enigmagruendungszentrum.de
www.gruendungsatelier.de&amp;R&amp;9Seite 2</oddFooter>
      </headerFooter>
    </customSheetView>
  </customSheetViews>
  <mergeCells count="13">
    <mergeCell ref="D38:I40"/>
    <mergeCell ref="C4:C6"/>
    <mergeCell ref="M4:M6"/>
    <mergeCell ref="D4:E4"/>
    <mergeCell ref="F4:G4"/>
    <mergeCell ref="H4:I4"/>
    <mergeCell ref="J4:K4"/>
    <mergeCell ref="D2:M2"/>
    <mergeCell ref="U4:U6"/>
    <mergeCell ref="V4:W4"/>
    <mergeCell ref="U2:X2"/>
    <mergeCell ref="R17:R28"/>
    <mergeCell ref="O1:Q6"/>
  </mergeCells>
  <phoneticPr fontId="31" type="noConversion"/>
  <printOptions horizontalCentered="1"/>
  <pageMargins left="0.78740157480314965" right="0.78740157480314965" top="0.98425196850393704" bottom="0.78740157480314965" header="0.51181102362204722" footer="0.39370078740157483"/>
  <pageSetup paperSize="9" scale="81" orientation="landscape" horizontalDpi="4294967293" verticalDpi="4294967293" r:id="rId2"/>
  <headerFooter alignWithMargins="0">
    <oddHeader>&amp;C&amp;F</oddHeader>
    <oddFooter>&amp;L&amp;"Verdana,Standard"&amp;9Die Vorlage dieser Datei wurde zur Verfügung gestellt durch die Wirtschafts-Senioren Hannover&amp;R&amp;9&amp;D</oddFooter>
  </headerFooter>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882D-97E6-43C3-9EA1-B1AE63B43CB9}">
  <sheetPr>
    <tabColor indexed="13"/>
    <pageSetUpPr autoPageBreaks="0" fitToPage="1"/>
  </sheetPr>
  <dimension ref="A1:T1147"/>
  <sheetViews>
    <sheetView showGridLines="0" showRuler="0" showOutlineSymbols="0" topLeftCell="A27" zoomScaleNormal="100" zoomScaleSheetLayoutView="70" zoomScalePageLayoutView="50" workbookViewId="0">
      <selection activeCell="D44" sqref="D44"/>
    </sheetView>
  </sheetViews>
  <sheetFormatPr defaultColWidth="11.42578125" defaultRowHeight="15" outlineLevelRow="4" outlineLevelCol="2"/>
  <cols>
    <col min="1" max="1" width="5.85546875" style="961" customWidth="1"/>
    <col min="2" max="2" width="33.7109375" style="961" customWidth="1"/>
    <col min="3" max="3" width="9.5703125" style="961" customWidth="1" outlineLevel="1"/>
    <col min="4" max="4" width="10.28515625" style="961" customWidth="1" outlineLevel="1"/>
    <col min="5" max="5" width="8.28515625" style="961" customWidth="1" outlineLevel="2"/>
    <col min="6" max="6" width="9.28515625" style="961" customWidth="1" outlineLevel="2"/>
    <col min="7" max="7" width="10" style="961" customWidth="1" outlineLevel="2"/>
    <col min="8" max="8" width="8.5703125" style="961" customWidth="1" outlineLevel="2"/>
    <col min="9" max="9" width="9.28515625" style="1029" customWidth="1" outlineLevel="1"/>
    <col min="10" max="10" width="8.7109375" style="961" customWidth="1" outlineLevel="1"/>
    <col min="11" max="11" width="9.7109375" style="961" customWidth="1" outlineLevel="1"/>
    <col min="12" max="12" width="9.28515625" style="961" customWidth="1" outlineLevel="1"/>
    <col min="13" max="14" width="8.5703125" style="961" customWidth="1" outlineLevel="1"/>
    <col min="15" max="15" width="10.28515625" style="1030" customWidth="1"/>
    <col min="16" max="16" width="9.28515625" style="1031" customWidth="1"/>
    <col min="17" max="17" width="10.7109375" style="961" customWidth="1"/>
    <col min="18" max="18" width="49.5703125" style="1033" customWidth="1"/>
    <col min="19" max="19" width="2.7109375" style="961" customWidth="1"/>
    <col min="20" max="20" width="7.85546875" style="961" customWidth="1"/>
    <col min="21" max="16384" width="11.42578125" style="917"/>
  </cols>
  <sheetData>
    <row r="1" spans="1:20" ht="32.25" customHeight="1" thickTop="1" thickBot="1">
      <c r="A1" s="911"/>
      <c r="B1" s="2203" t="s">
        <v>224</v>
      </c>
      <c r="C1" s="2204"/>
      <c r="D1" s="2204"/>
      <c r="E1" s="2045">
        <f>ZusammenführErgebn!C3</f>
        <v>2025</v>
      </c>
      <c r="F1" s="2045"/>
      <c r="G1" s="2045"/>
      <c r="H1" s="2203" t="str">
        <f>Deckblatt!C5</f>
        <v>Max Mustermann</v>
      </c>
      <c r="I1" s="2203"/>
      <c r="J1" s="2203"/>
      <c r="K1" s="2045"/>
      <c r="L1" s="2045"/>
      <c r="M1" s="2045"/>
      <c r="N1" s="2045"/>
      <c r="O1" s="2045"/>
      <c r="P1" s="912"/>
      <c r="Q1" s="913"/>
      <c r="R1" s="914"/>
      <c r="S1" s="915"/>
      <c r="T1" s="916"/>
    </row>
    <row r="2" spans="1:20" s="923" customFormat="1" ht="34.15" customHeight="1" thickTop="1">
      <c r="A2" s="2220" t="s">
        <v>225</v>
      </c>
      <c r="B2" s="918" t="s">
        <v>226</v>
      </c>
      <c r="C2" s="919" t="str">
        <f>VLOOKUP(Deckblatt!$C$8,Deckblatt!$G$99:$R$110,1,FALSE)</f>
        <v>Jan.</v>
      </c>
      <c r="D2" s="920" t="str">
        <f>VLOOKUP(Deckblatt!$C$8,Deckblatt!$G$99:$R$110,2,FALSE)</f>
        <v>Febr.</v>
      </c>
      <c r="E2" s="920" t="str">
        <f>VLOOKUP(Deckblatt!$C$8,Deckblatt!$G$99:$R$110,3,FALSE)</f>
        <v>März</v>
      </c>
      <c r="F2" s="920" t="str">
        <f>VLOOKUP(Deckblatt!$C$8,Deckblatt!$G$99:$R$110,4,FALSE)</f>
        <v>April</v>
      </c>
      <c r="G2" s="920" t="str">
        <f>VLOOKUP(Deckblatt!$C$8,Deckblatt!$G$99:$R$110,5,FALSE)</f>
        <v>Mai</v>
      </c>
      <c r="H2" s="920" t="str">
        <f>VLOOKUP(Deckblatt!$C$8,Deckblatt!$G$99:$R$110,6,FALSE)</f>
        <v>Juni</v>
      </c>
      <c r="I2" s="920" t="str">
        <f>VLOOKUP(Deckblatt!$C$8,Deckblatt!$G$99:$R$110,7,FALSE)</f>
        <v>Juli</v>
      </c>
      <c r="J2" s="920" t="str">
        <f>VLOOKUP(Deckblatt!$C$8,Deckblatt!$G$99:$R$110,8,FALSE)</f>
        <v>Aug.</v>
      </c>
      <c r="K2" s="920" t="str">
        <f>VLOOKUP(Deckblatt!$C$8,Deckblatt!$G$99:$R$110,9,FALSE)</f>
        <v>Sept.</v>
      </c>
      <c r="L2" s="920" t="str">
        <f>VLOOKUP(Deckblatt!$C$8,Deckblatt!$G$99:$R$110,10,FALSE)</f>
        <v>Okt.</v>
      </c>
      <c r="M2" s="920" t="str">
        <f>VLOOKUP(Deckblatt!$C$8,Deckblatt!$G$99:$R$110,11,FALSE)</f>
        <v>Nov.</v>
      </c>
      <c r="N2" s="920" t="str">
        <f>VLOOKUP(Deckblatt!$C$8,Deckblatt!$G$99:$R$110,12,FALSE)</f>
        <v>Dez.</v>
      </c>
      <c r="O2" s="2041" t="s">
        <v>227</v>
      </c>
      <c r="P2" s="921" t="s">
        <v>178</v>
      </c>
      <c r="Q2" s="2207" t="s">
        <v>228</v>
      </c>
      <c r="R2" s="2215" t="s">
        <v>229</v>
      </c>
      <c r="S2" s="922"/>
    </row>
    <row r="3" spans="1:20" ht="45" customHeight="1" outlineLevel="2">
      <c r="A3" s="2221"/>
      <c r="B3" s="924" t="s">
        <v>230</v>
      </c>
      <c r="C3" s="925">
        <f>'UmstzPlan 1.-3.Jahr'!E19</f>
        <v>0</v>
      </c>
      <c r="D3" s="926">
        <f>'UmstzPlan 1.-3.Jahr'!G19</f>
        <v>0</v>
      </c>
      <c r="E3" s="926">
        <f>'UmstzPlan 1.-3.Jahr'!I19</f>
        <v>0</v>
      </c>
      <c r="F3" s="926">
        <f>'UmstzPlan 1.-3.Jahr'!K19</f>
        <v>0</v>
      </c>
      <c r="G3" s="926">
        <f>'UmstzPlan 1.-3.Jahr'!M19</f>
        <v>0</v>
      </c>
      <c r="H3" s="926">
        <f>'UmstzPlan 1.-3.Jahr'!O19</f>
        <v>0</v>
      </c>
      <c r="I3" s="926">
        <f>'UmstzPlan 1.-3.Jahr'!Q19</f>
        <v>0</v>
      </c>
      <c r="J3" s="926">
        <f>'UmstzPlan 1.-3.Jahr'!S19</f>
        <v>0</v>
      </c>
      <c r="K3" s="926">
        <f>'UmstzPlan 1.-3.Jahr'!U19</f>
        <v>0</v>
      </c>
      <c r="L3" s="926">
        <f>'UmstzPlan 1.-3.Jahr'!W19</f>
        <v>0</v>
      </c>
      <c r="M3" s="926">
        <f>'UmstzPlan 1.-3.Jahr'!Y19</f>
        <v>0</v>
      </c>
      <c r="N3" s="926">
        <f>'UmstzPlan 1.-3.Jahr'!AA19</f>
        <v>0</v>
      </c>
      <c r="O3" s="927">
        <f>SUM(C3:N3)</f>
        <v>0</v>
      </c>
      <c r="P3" s="1382">
        <v>100</v>
      </c>
      <c r="Q3" s="2208"/>
      <c r="R3" s="2216"/>
      <c r="S3" s="922"/>
      <c r="T3" s="923"/>
    </row>
    <row r="4" spans="1:20" ht="15" customHeight="1" outlineLevel="4">
      <c r="A4" s="497">
        <v>0.23</v>
      </c>
      <c r="B4" s="928" t="s">
        <v>231</v>
      </c>
      <c r="C4" s="929">
        <f>C3*$A$4</f>
        <v>0</v>
      </c>
      <c r="D4" s="929">
        <f t="shared" ref="D4:N4" si="0">D3*$A$4</f>
        <v>0</v>
      </c>
      <c r="E4" s="929">
        <f t="shared" si="0"/>
        <v>0</v>
      </c>
      <c r="F4" s="929">
        <f t="shared" si="0"/>
        <v>0</v>
      </c>
      <c r="G4" s="929">
        <f t="shared" si="0"/>
        <v>0</v>
      </c>
      <c r="H4" s="929">
        <f t="shared" si="0"/>
        <v>0</v>
      </c>
      <c r="I4" s="929">
        <f t="shared" si="0"/>
        <v>0</v>
      </c>
      <c r="J4" s="929">
        <f t="shared" si="0"/>
        <v>0</v>
      </c>
      <c r="K4" s="929">
        <f t="shared" si="0"/>
        <v>0</v>
      </c>
      <c r="L4" s="929">
        <f t="shared" si="0"/>
        <v>0</v>
      </c>
      <c r="M4" s="929">
        <f t="shared" si="0"/>
        <v>0</v>
      </c>
      <c r="N4" s="929">
        <f t="shared" si="0"/>
        <v>0</v>
      </c>
      <c r="O4" s="930">
        <f>SUM(C4:N4)</f>
        <v>0</v>
      </c>
      <c r="P4" s="1092" t="e">
        <f>O4/$O$3%</f>
        <v>#DIV/0!</v>
      </c>
      <c r="Q4" s="40"/>
      <c r="R4" s="1807" t="s">
        <v>232</v>
      </c>
      <c r="S4" s="931"/>
      <c r="T4" s="923"/>
    </row>
    <row r="5" spans="1:20" ht="15" customHeight="1" outlineLevel="4">
      <c r="A5" s="2205"/>
      <c r="B5" s="924" t="s">
        <v>233</v>
      </c>
      <c r="C5" s="932"/>
      <c r="D5" s="932"/>
      <c r="E5" s="932"/>
      <c r="F5" s="932"/>
      <c r="G5" s="932"/>
      <c r="H5" s="932"/>
      <c r="I5" s="932"/>
      <c r="J5" s="932"/>
      <c r="K5" s="932"/>
      <c r="L5" s="932"/>
      <c r="M5" s="932"/>
      <c r="N5" s="932"/>
      <c r="O5" s="933"/>
      <c r="P5" s="1092"/>
      <c r="Q5" s="40"/>
      <c r="R5" s="1581"/>
      <c r="S5" s="931"/>
      <c r="T5" s="923"/>
    </row>
    <row r="6" spans="1:20" ht="15" customHeight="1" outlineLevel="4">
      <c r="A6" s="2206"/>
      <c r="B6" s="934" t="s">
        <v>234</v>
      </c>
      <c r="C6" s="62"/>
      <c r="D6" s="62"/>
      <c r="E6" s="62"/>
      <c r="F6" s="62"/>
      <c r="G6" s="62"/>
      <c r="H6" s="62"/>
      <c r="I6" s="62"/>
      <c r="J6" s="62"/>
      <c r="K6" s="62"/>
      <c r="L6" s="62"/>
      <c r="M6" s="62"/>
      <c r="N6" s="62"/>
      <c r="O6" s="933">
        <f t="shared" ref="O6:O22" si="1">SUM(C6:N6)</f>
        <v>0</v>
      </c>
      <c r="P6" s="1092" t="e">
        <f t="shared" ref="P6:P29" si="2">O6/$O$3%</f>
        <v>#DIV/0!</v>
      </c>
      <c r="Q6" s="40"/>
      <c r="R6" s="1582" t="s">
        <v>235</v>
      </c>
      <c r="S6" s="931"/>
      <c r="T6" s="935"/>
    </row>
    <row r="7" spans="1:20" ht="15" customHeight="1" outlineLevel="4">
      <c r="A7" s="2206"/>
      <c r="B7" s="934" t="s">
        <v>124</v>
      </c>
      <c r="C7" s="62"/>
      <c r="D7" s="63"/>
      <c r="E7" s="63"/>
      <c r="F7" s="63"/>
      <c r="G7" s="63"/>
      <c r="H7" s="63"/>
      <c r="I7" s="63"/>
      <c r="J7" s="63"/>
      <c r="K7" s="63"/>
      <c r="L7" s="63"/>
      <c r="M7" s="63"/>
      <c r="N7" s="64"/>
      <c r="O7" s="933">
        <f>SUM(C7:N7)</f>
        <v>0</v>
      </c>
      <c r="P7" s="1092" t="e">
        <f t="shared" si="2"/>
        <v>#DIV/0!</v>
      </c>
      <c r="Q7" s="40"/>
      <c r="R7" s="1582" t="s">
        <v>236</v>
      </c>
      <c r="S7" s="931"/>
      <c r="T7" s="935"/>
    </row>
    <row r="8" spans="1:20" ht="15" customHeight="1" outlineLevel="4">
      <c r="A8" s="2206"/>
      <c r="B8" s="934" t="s">
        <v>237</v>
      </c>
      <c r="C8" s="62"/>
      <c r="D8" s="63"/>
      <c r="E8" s="63"/>
      <c r="F8" s="63"/>
      <c r="G8" s="63"/>
      <c r="H8" s="63"/>
      <c r="I8" s="63"/>
      <c r="J8" s="63"/>
      <c r="K8" s="63"/>
      <c r="L8" s="63"/>
      <c r="M8" s="63"/>
      <c r="N8" s="64"/>
      <c r="O8" s="933">
        <f t="shared" si="1"/>
        <v>0</v>
      </c>
      <c r="P8" s="1092" t="e">
        <f t="shared" si="2"/>
        <v>#DIV/0!</v>
      </c>
      <c r="Q8" s="40"/>
      <c r="R8" s="1582" t="s">
        <v>238</v>
      </c>
      <c r="S8" s="931"/>
      <c r="T8" s="935"/>
    </row>
    <row r="9" spans="1:20" ht="16.5" customHeight="1" outlineLevel="4">
      <c r="A9" s="2206"/>
      <c r="B9" s="928" t="s">
        <v>239</v>
      </c>
      <c r="C9" s="936">
        <f>Finanz_AfA_Investitionen!$H28</f>
        <v>0</v>
      </c>
      <c r="D9" s="936">
        <f>Finanz_AfA_Investitionen!$H28</f>
        <v>0</v>
      </c>
      <c r="E9" s="936">
        <f>Finanz_AfA_Investitionen!$H28</f>
        <v>0</v>
      </c>
      <c r="F9" s="936">
        <f>Finanz_AfA_Investitionen!$H28</f>
        <v>0</v>
      </c>
      <c r="G9" s="936">
        <f>Finanz_AfA_Investitionen!$H28</f>
        <v>0</v>
      </c>
      <c r="H9" s="936">
        <f>Finanz_AfA_Investitionen!$H28</f>
        <v>0</v>
      </c>
      <c r="I9" s="936">
        <f>Finanz_AfA_Investitionen!$H28</f>
        <v>0</v>
      </c>
      <c r="J9" s="936">
        <f>Finanz_AfA_Investitionen!$H28</f>
        <v>0</v>
      </c>
      <c r="K9" s="936">
        <f>Finanz_AfA_Investitionen!$H28</f>
        <v>0</v>
      </c>
      <c r="L9" s="936">
        <f>Finanz_AfA_Investitionen!$H28</f>
        <v>0</v>
      </c>
      <c r="M9" s="936">
        <f>Finanz_AfA_Investitionen!$H28</f>
        <v>0</v>
      </c>
      <c r="N9" s="936">
        <f>Finanz_AfA_Investitionen!$H28</f>
        <v>0</v>
      </c>
      <c r="O9" s="933">
        <f t="shared" si="1"/>
        <v>0</v>
      </c>
      <c r="P9" s="1092" t="e">
        <f t="shared" si="2"/>
        <v>#DIV/0!</v>
      </c>
      <c r="Q9" s="40"/>
      <c r="R9" s="1582"/>
      <c r="S9" s="931"/>
      <c r="T9" s="935"/>
    </row>
    <row r="10" spans="1:20" ht="16.5" customHeight="1" outlineLevel="3">
      <c r="A10" s="2206"/>
      <c r="B10" s="934" t="s">
        <v>240</v>
      </c>
      <c r="C10" s="62"/>
      <c r="D10" s="63"/>
      <c r="E10" s="63"/>
      <c r="F10" s="63"/>
      <c r="G10" s="63"/>
      <c r="H10" s="63"/>
      <c r="I10" s="63"/>
      <c r="J10" s="63"/>
      <c r="K10" s="63"/>
      <c r="L10" s="63"/>
      <c r="M10" s="63"/>
      <c r="N10" s="64"/>
      <c r="O10" s="933">
        <f t="shared" si="1"/>
        <v>0</v>
      </c>
      <c r="P10" s="1092" t="e">
        <f t="shared" si="2"/>
        <v>#DIV/0!</v>
      </c>
      <c r="Q10" s="40"/>
      <c r="R10" s="1808" t="s">
        <v>241</v>
      </c>
      <c r="S10" s="931"/>
      <c r="T10" s="935"/>
    </row>
    <row r="11" spans="1:20" ht="16.5" customHeight="1" outlineLevel="3">
      <c r="A11" s="2206"/>
      <c r="B11" s="934" t="s">
        <v>242</v>
      </c>
      <c r="C11" s="62"/>
      <c r="D11" s="63"/>
      <c r="E11" s="63"/>
      <c r="F11" s="63"/>
      <c r="G11" s="63"/>
      <c r="H11" s="63"/>
      <c r="I11" s="63"/>
      <c r="J11" s="63"/>
      <c r="K11" s="63"/>
      <c r="L11" s="63"/>
      <c r="M11" s="63"/>
      <c r="N11" s="64"/>
      <c r="O11" s="933">
        <f t="shared" si="1"/>
        <v>0</v>
      </c>
      <c r="P11" s="1092" t="e">
        <f t="shared" si="2"/>
        <v>#DIV/0!</v>
      </c>
      <c r="Q11" s="40"/>
      <c r="R11" s="1582"/>
      <c r="S11" s="931"/>
      <c r="T11" s="935"/>
    </row>
    <row r="12" spans="1:20" ht="16.5" customHeight="1" outlineLevel="3">
      <c r="A12" s="2206"/>
      <c r="B12" s="934" t="s">
        <v>243</v>
      </c>
      <c r="C12" s="62"/>
      <c r="D12" s="62"/>
      <c r="E12" s="62"/>
      <c r="F12" s="62"/>
      <c r="G12" s="62"/>
      <c r="H12" s="62"/>
      <c r="I12" s="62"/>
      <c r="J12" s="62"/>
      <c r="K12" s="62"/>
      <c r="L12" s="62"/>
      <c r="M12" s="62"/>
      <c r="N12" s="62"/>
      <c r="O12" s="933">
        <f t="shared" si="1"/>
        <v>0</v>
      </c>
      <c r="P12" s="1092" t="e">
        <f t="shared" si="2"/>
        <v>#DIV/0!</v>
      </c>
      <c r="Q12" s="40"/>
      <c r="R12" s="1582"/>
      <c r="S12" s="931"/>
      <c r="T12" s="935"/>
    </row>
    <row r="13" spans="1:20" ht="16.5" customHeight="1" outlineLevel="3">
      <c r="A13" s="2206"/>
      <c r="B13" s="934" t="s">
        <v>244</v>
      </c>
      <c r="C13" s="62"/>
      <c r="D13" s="63"/>
      <c r="E13" s="63"/>
      <c r="F13" s="63"/>
      <c r="G13" s="63"/>
      <c r="H13" s="63"/>
      <c r="I13" s="63"/>
      <c r="J13" s="63"/>
      <c r="K13" s="63"/>
      <c r="L13" s="63"/>
      <c r="M13" s="63"/>
      <c r="N13" s="64"/>
      <c r="O13" s="933">
        <f t="shared" si="1"/>
        <v>0</v>
      </c>
      <c r="P13" s="1092" t="e">
        <f t="shared" si="2"/>
        <v>#DIV/0!</v>
      </c>
      <c r="Q13" s="40"/>
      <c r="R13" s="1582" t="s">
        <v>245</v>
      </c>
      <c r="S13" s="931"/>
      <c r="T13" s="935"/>
    </row>
    <row r="14" spans="1:20" ht="16.5" customHeight="1" outlineLevel="3">
      <c r="A14" s="2206"/>
      <c r="B14" s="934" t="s">
        <v>125</v>
      </c>
      <c r="C14" s="62"/>
      <c r="D14" s="63"/>
      <c r="E14" s="63"/>
      <c r="F14" s="63"/>
      <c r="G14" s="63"/>
      <c r="H14" s="63"/>
      <c r="I14" s="63"/>
      <c r="J14" s="63"/>
      <c r="K14" s="63"/>
      <c r="L14" s="63"/>
      <c r="M14" s="63"/>
      <c r="N14" s="64"/>
      <c r="O14" s="933">
        <f t="shared" si="1"/>
        <v>0</v>
      </c>
      <c r="P14" s="1092" t="e">
        <f t="shared" si="2"/>
        <v>#DIV/0!</v>
      </c>
      <c r="Q14" s="40"/>
      <c r="R14" s="1582" t="s">
        <v>246</v>
      </c>
      <c r="S14" s="931"/>
      <c r="T14" s="935"/>
    </row>
    <row r="15" spans="1:20" ht="16.5" customHeight="1" outlineLevel="3">
      <c r="A15" s="2206"/>
      <c r="B15" s="934" t="s">
        <v>247</v>
      </c>
      <c r="C15" s="62"/>
      <c r="D15" s="63"/>
      <c r="E15" s="63"/>
      <c r="F15" s="63"/>
      <c r="G15" s="63"/>
      <c r="H15" s="63"/>
      <c r="I15" s="63"/>
      <c r="J15" s="63"/>
      <c r="K15" s="63"/>
      <c r="L15" s="63"/>
      <c r="M15" s="63"/>
      <c r="N15" s="64"/>
      <c r="O15" s="933">
        <f t="shared" si="1"/>
        <v>0</v>
      </c>
      <c r="P15" s="1092" t="e">
        <f t="shared" si="2"/>
        <v>#DIV/0!</v>
      </c>
      <c r="Q15" s="40"/>
      <c r="R15" s="1582"/>
      <c r="S15" s="931"/>
      <c r="T15" s="935"/>
    </row>
    <row r="16" spans="1:20" ht="16.5" customHeight="1" outlineLevel="3">
      <c r="A16" s="2206"/>
      <c r="B16" s="934" t="s">
        <v>248</v>
      </c>
      <c r="C16" s="65"/>
      <c r="D16" s="66"/>
      <c r="E16" s="66"/>
      <c r="F16" s="66"/>
      <c r="G16" s="66"/>
      <c r="H16" s="66"/>
      <c r="I16" s="66"/>
      <c r="J16" s="66"/>
      <c r="K16" s="66"/>
      <c r="L16" s="66"/>
      <c r="M16" s="66"/>
      <c r="N16" s="67"/>
      <c r="O16" s="933">
        <f t="shared" si="1"/>
        <v>0</v>
      </c>
      <c r="P16" s="1092" t="e">
        <f t="shared" si="2"/>
        <v>#DIV/0!</v>
      </c>
      <c r="Q16" s="40"/>
      <c r="R16" s="1582"/>
      <c r="S16" s="931"/>
      <c r="T16" s="935"/>
    </row>
    <row r="17" spans="1:20" ht="16.5" customHeight="1" outlineLevel="3">
      <c r="A17" s="2206"/>
      <c r="B17" s="934" t="s">
        <v>249</v>
      </c>
      <c r="C17" s="929">
        <f>Finanz_AfA_Investitionen!$F38-Finanz_AfA_Investitionen!$F37+'Mikrostarter Geschäftsplan'!D16</f>
        <v>0</v>
      </c>
      <c r="D17" s="929">
        <f>Finanz_AfA_Investitionen!$F38-Finanz_AfA_Investitionen!$F37+'Mikrostarter Geschäftsplan'!D17</f>
        <v>0</v>
      </c>
      <c r="E17" s="929">
        <f>Finanz_AfA_Investitionen!$F38-Finanz_AfA_Investitionen!$F37+'Mikrostarter Geschäftsplan'!D18</f>
        <v>0</v>
      </c>
      <c r="F17" s="929">
        <f>Finanz_AfA_Investitionen!$F38-Finanz_AfA_Investitionen!$F37+'Mikrostarter Geschäftsplan'!D20</f>
        <v>0</v>
      </c>
      <c r="G17" s="929">
        <f>Finanz_AfA_Investitionen!$F38-Finanz_AfA_Investitionen!$F37+'Mikrostarter Geschäftsplan'!D21</f>
        <v>0</v>
      </c>
      <c r="H17" s="929">
        <f>Finanz_AfA_Investitionen!$F38-Finanz_AfA_Investitionen!$F37+'Mikrostarter Geschäftsplan'!D22</f>
        <v>0</v>
      </c>
      <c r="I17" s="929">
        <f>Finanz_AfA_Investitionen!$F38-Finanz_AfA_Investitionen!$F37+'Mikrostarter Geschäftsplan'!D24</f>
        <v>0</v>
      </c>
      <c r="J17" s="929">
        <f>Finanz_AfA_Investitionen!$F38-Finanz_AfA_Investitionen!$F37+'Mikrostarter Geschäftsplan'!D25</f>
        <v>0</v>
      </c>
      <c r="K17" s="929">
        <f>Finanz_AfA_Investitionen!$F38-Finanz_AfA_Investitionen!$F37+'Mikrostarter Geschäftsplan'!D26</f>
        <v>0</v>
      </c>
      <c r="L17" s="929">
        <f>Finanz_AfA_Investitionen!$F38-Finanz_AfA_Investitionen!$F37+'Mikrostarter Geschäftsplan'!D28</f>
        <v>0</v>
      </c>
      <c r="M17" s="929">
        <f>Finanz_AfA_Investitionen!$F38-Finanz_AfA_Investitionen!$F37+'Mikrostarter Geschäftsplan'!D29</f>
        <v>0</v>
      </c>
      <c r="N17" s="929">
        <f>Finanz_AfA_Investitionen!$F38-Finanz_AfA_Investitionen!$F37+'Mikrostarter Geschäftsplan'!D30</f>
        <v>0</v>
      </c>
      <c r="O17" s="933">
        <f t="shared" si="1"/>
        <v>0</v>
      </c>
      <c r="P17" s="1092" t="e">
        <f t="shared" si="2"/>
        <v>#DIV/0!</v>
      </c>
      <c r="Q17" s="40"/>
      <c r="R17" s="1808" t="s">
        <v>250</v>
      </c>
      <c r="S17" s="931"/>
      <c r="T17" s="935"/>
    </row>
    <row r="18" spans="1:20" ht="16.5" customHeight="1" outlineLevel="3">
      <c r="A18" s="2206"/>
      <c r="B18" s="928" t="s">
        <v>251</v>
      </c>
      <c r="C18" s="929">
        <f>ArbStd_MA!$I$76+ArbStd_MA!$I$81</f>
        <v>0</v>
      </c>
      <c r="D18" s="929">
        <f>ArbStd_MA!$I$76+ArbStd_MA!$I$81</f>
        <v>0</v>
      </c>
      <c r="E18" s="929">
        <f>ArbStd_MA!$I$76+ArbStd_MA!$I$81</f>
        <v>0</v>
      </c>
      <c r="F18" s="929">
        <f>ArbStd_MA!$I$76+ArbStd_MA!$I$81</f>
        <v>0</v>
      </c>
      <c r="G18" s="929">
        <f>ArbStd_MA!$I$76+ArbStd_MA!$I$81</f>
        <v>0</v>
      </c>
      <c r="H18" s="929">
        <f>ArbStd_MA!$I$76+ArbStd_MA!$I$81</f>
        <v>0</v>
      </c>
      <c r="I18" s="929">
        <f>ArbStd_MA!$I$76+ArbStd_MA!$I$81</f>
        <v>0</v>
      </c>
      <c r="J18" s="929">
        <f>ArbStd_MA!$I$76+ArbStd_MA!$I$81</f>
        <v>0</v>
      </c>
      <c r="K18" s="929">
        <f>ArbStd_MA!$I$76+ArbStd_MA!$I$81</f>
        <v>0</v>
      </c>
      <c r="L18" s="929">
        <f>ArbStd_MA!$I$76+ArbStd_MA!$I$81</f>
        <v>0</v>
      </c>
      <c r="M18" s="929">
        <f>ArbStd_MA!$I$76+ArbStd_MA!$I$81</f>
        <v>0</v>
      </c>
      <c r="N18" s="929">
        <f>ArbStd_MA!$I$76+ArbStd_MA!$I$81</f>
        <v>0</v>
      </c>
      <c r="O18" s="933">
        <f t="shared" si="1"/>
        <v>0</v>
      </c>
      <c r="P18" s="1092" t="e">
        <f t="shared" si="2"/>
        <v>#DIV/0!</v>
      </c>
      <c r="Q18" s="40"/>
      <c r="R18" s="1582"/>
      <c r="S18" s="931"/>
      <c r="T18" s="935"/>
    </row>
    <row r="19" spans="1:20" ht="16.5" customHeight="1" outlineLevel="3">
      <c r="A19" s="937"/>
      <c r="B19" s="928" t="s">
        <v>252</v>
      </c>
      <c r="C19" s="1437"/>
      <c r="D19" s="1437"/>
      <c r="E19" s="1437"/>
      <c r="F19" s="1437"/>
      <c r="G19" s="1437"/>
      <c r="H19" s="1437"/>
      <c r="I19" s="1437"/>
      <c r="J19" s="1437"/>
      <c r="K19" s="1437"/>
      <c r="L19" s="1437"/>
      <c r="M19" s="1437"/>
      <c r="N19" s="1437"/>
      <c r="O19" s="933">
        <f t="shared" si="1"/>
        <v>0</v>
      </c>
      <c r="P19" s="1092" t="e">
        <f t="shared" si="2"/>
        <v>#DIV/0!</v>
      </c>
      <c r="Q19" s="40"/>
      <c r="R19" s="1582"/>
      <c r="S19" s="931"/>
      <c r="T19" s="935"/>
    </row>
    <row r="20" spans="1:20" ht="22.5" customHeight="1" outlineLevel="3">
      <c r="A20" s="937"/>
      <c r="B20" s="924" t="s">
        <v>130</v>
      </c>
      <c r="C20" s="938">
        <f>SUM(C4:C19)</f>
        <v>0</v>
      </c>
      <c r="D20" s="938">
        <f>SUM(D4:D19)</f>
        <v>0</v>
      </c>
      <c r="E20" s="938">
        <f>SUM(E4:E19)</f>
        <v>0</v>
      </c>
      <c r="F20" s="938">
        <f t="shared" ref="F20:N20" si="3">SUM(F4:F19)</f>
        <v>0</v>
      </c>
      <c r="G20" s="938">
        <f t="shared" si="3"/>
        <v>0</v>
      </c>
      <c r="H20" s="938">
        <f t="shared" si="3"/>
        <v>0</v>
      </c>
      <c r="I20" s="938">
        <f t="shared" si="3"/>
        <v>0</v>
      </c>
      <c r="J20" s="938">
        <f t="shared" si="3"/>
        <v>0</v>
      </c>
      <c r="K20" s="938">
        <f t="shared" si="3"/>
        <v>0</v>
      </c>
      <c r="L20" s="938">
        <f t="shared" si="3"/>
        <v>0</v>
      </c>
      <c r="M20" s="938">
        <f t="shared" si="3"/>
        <v>0</v>
      </c>
      <c r="N20" s="938">
        <f t="shared" si="3"/>
        <v>0</v>
      </c>
      <c r="O20" s="927">
        <f t="shared" si="1"/>
        <v>0</v>
      </c>
      <c r="P20" s="1092" t="e">
        <f t="shared" si="2"/>
        <v>#DIV/0!</v>
      </c>
      <c r="Q20" s="41"/>
      <c r="R20" s="1583"/>
      <c r="S20" s="931"/>
      <c r="T20" s="939"/>
    </row>
    <row r="21" spans="1:20" ht="22.5" customHeight="1" outlineLevel="2">
      <c r="A21" s="937"/>
      <c r="B21" s="940" t="s">
        <v>253</v>
      </c>
      <c r="C21" s="941">
        <f t="shared" ref="C21:N21" si="4">C3-C20</f>
        <v>0</v>
      </c>
      <c r="D21" s="941">
        <f t="shared" si="4"/>
        <v>0</v>
      </c>
      <c r="E21" s="941">
        <f t="shared" si="4"/>
        <v>0</v>
      </c>
      <c r="F21" s="941">
        <f t="shared" si="4"/>
        <v>0</v>
      </c>
      <c r="G21" s="941">
        <f t="shared" si="4"/>
        <v>0</v>
      </c>
      <c r="H21" s="941">
        <f t="shared" si="4"/>
        <v>0</v>
      </c>
      <c r="I21" s="941">
        <f t="shared" si="4"/>
        <v>0</v>
      </c>
      <c r="J21" s="941">
        <f t="shared" si="4"/>
        <v>0</v>
      </c>
      <c r="K21" s="941">
        <f t="shared" si="4"/>
        <v>0</v>
      </c>
      <c r="L21" s="941">
        <f t="shared" si="4"/>
        <v>0</v>
      </c>
      <c r="M21" s="941">
        <f t="shared" si="4"/>
        <v>0</v>
      </c>
      <c r="N21" s="941">
        <f t="shared" si="4"/>
        <v>0</v>
      </c>
      <c r="O21" s="942">
        <f t="shared" si="1"/>
        <v>0</v>
      </c>
      <c r="P21" s="1092" t="e">
        <f t="shared" si="2"/>
        <v>#DIV/0!</v>
      </c>
      <c r="Q21" s="42"/>
      <c r="R21" s="501"/>
      <c r="S21" s="931"/>
      <c r="T21" s="943"/>
    </row>
    <row r="22" spans="1:20" ht="22.5" customHeight="1" outlineLevel="1">
      <c r="A22" s="937"/>
      <c r="B22" s="928" t="s">
        <v>254</v>
      </c>
      <c r="C22" s="929">
        <f>Finanz_AfA_Investitionen!$F28</f>
        <v>0</v>
      </c>
      <c r="D22" s="929">
        <f>Finanz_AfA_Investitionen!$F28</f>
        <v>0</v>
      </c>
      <c r="E22" s="929">
        <f>Finanz_AfA_Investitionen!$F28</f>
        <v>0</v>
      </c>
      <c r="F22" s="929">
        <f>Finanz_AfA_Investitionen!$F28</f>
        <v>0</v>
      </c>
      <c r="G22" s="929">
        <f>Finanz_AfA_Investitionen!$F28</f>
        <v>0</v>
      </c>
      <c r="H22" s="929">
        <f>Finanz_AfA_Investitionen!$F28</f>
        <v>0</v>
      </c>
      <c r="I22" s="929">
        <f>Finanz_AfA_Investitionen!F28</f>
        <v>0</v>
      </c>
      <c r="J22" s="929">
        <f>Finanz_AfA_Investitionen!F28</f>
        <v>0</v>
      </c>
      <c r="K22" s="929">
        <f>Finanz_AfA_Investitionen!F28</f>
        <v>0</v>
      </c>
      <c r="L22" s="929">
        <f>Finanz_AfA_Investitionen!F28</f>
        <v>0</v>
      </c>
      <c r="M22" s="929">
        <f>Finanz_AfA_Investitionen!F28</f>
        <v>0</v>
      </c>
      <c r="N22" s="929">
        <f>Finanz_AfA_Investitionen!F28</f>
        <v>0</v>
      </c>
      <c r="O22" s="933">
        <f t="shared" si="1"/>
        <v>0</v>
      </c>
      <c r="P22" s="1092" t="e">
        <f t="shared" si="2"/>
        <v>#DIV/0!</v>
      </c>
      <c r="Q22" s="40"/>
      <c r="R22" s="501"/>
      <c r="S22" s="931"/>
      <c r="T22" s="943"/>
    </row>
    <row r="23" spans="1:20" ht="22.5" customHeight="1" outlineLevel="1" thickBot="1">
      <c r="A23" s="937"/>
      <c r="B23" s="944" t="s">
        <v>133</v>
      </c>
      <c r="C23" s="945">
        <f>C21-C22</f>
        <v>0</v>
      </c>
      <c r="D23" s="945">
        <f t="shared" ref="D23:N23" si="5">D21-D22</f>
        <v>0</v>
      </c>
      <c r="E23" s="945">
        <f t="shared" si="5"/>
        <v>0</v>
      </c>
      <c r="F23" s="945">
        <f t="shared" si="5"/>
        <v>0</v>
      </c>
      <c r="G23" s="945">
        <f t="shared" si="5"/>
        <v>0</v>
      </c>
      <c r="H23" s="945">
        <f t="shared" si="5"/>
        <v>0</v>
      </c>
      <c r="I23" s="945">
        <f t="shared" si="5"/>
        <v>0</v>
      </c>
      <c r="J23" s="945">
        <f t="shared" si="5"/>
        <v>0</v>
      </c>
      <c r="K23" s="945">
        <f t="shared" si="5"/>
        <v>0</v>
      </c>
      <c r="L23" s="945">
        <f t="shared" si="5"/>
        <v>0</v>
      </c>
      <c r="M23" s="945">
        <f t="shared" si="5"/>
        <v>0</v>
      </c>
      <c r="N23" s="945">
        <f t="shared" si="5"/>
        <v>0</v>
      </c>
      <c r="O23" s="946">
        <f>O21-O22</f>
        <v>0</v>
      </c>
      <c r="P23" s="1092" t="e">
        <f t="shared" si="2"/>
        <v>#DIV/0!</v>
      </c>
      <c r="Q23" s="41"/>
      <c r="R23" s="501"/>
      <c r="S23" s="931"/>
      <c r="T23" s="943"/>
    </row>
    <row r="24" spans="1:20" ht="22.5" customHeight="1" outlineLevel="1" thickTop="1" thickBot="1">
      <c r="A24" s="937"/>
      <c r="B24" s="947" t="s">
        <v>255</v>
      </c>
      <c r="C24" s="948">
        <f>C23</f>
        <v>0</v>
      </c>
      <c r="D24" s="948">
        <f>C23+D23</f>
        <v>0</v>
      </c>
      <c r="E24" s="948">
        <f>C23+D23+E23</f>
        <v>0</v>
      </c>
      <c r="F24" s="948">
        <f>C23+D23+E23+F23</f>
        <v>0</v>
      </c>
      <c r="G24" s="948">
        <f>C23+D23+E23+F23+G23</f>
        <v>0</v>
      </c>
      <c r="H24" s="948">
        <f>C23+D23+E23+F23+G23+H23</f>
        <v>0</v>
      </c>
      <c r="I24" s="948">
        <f>C23+D23+E23+F23+G23+H23+I23</f>
        <v>0</v>
      </c>
      <c r="J24" s="948">
        <f>C23+D23+E23+F23+G23+H23+I23+J23</f>
        <v>0</v>
      </c>
      <c r="K24" s="948">
        <f>C23+D23+E23+F23+G23+H23+I23+J23+K23</f>
        <v>0</v>
      </c>
      <c r="L24" s="948">
        <f>C23+D23+E23+F23+G23+H23+I23+J23+K23+L23</f>
        <v>0</v>
      </c>
      <c r="M24" s="948">
        <f>C23+D23+E23+F23+G23+H23+I23+J23+K23+L23+M23</f>
        <v>0</v>
      </c>
      <c r="N24" s="948">
        <f>C23+D23+E23+F23+G23+H23+I23+J23+K23+L23+M23+N23</f>
        <v>0</v>
      </c>
      <c r="O24" s="949"/>
      <c r="P24" s="1092" t="e">
        <f t="shared" si="2"/>
        <v>#DIV/0!</v>
      </c>
      <c r="Q24" s="41"/>
      <c r="R24" s="501"/>
      <c r="S24" s="931"/>
      <c r="T24" s="943"/>
    </row>
    <row r="25" spans="1:20" ht="22.5" customHeight="1" outlineLevel="1" thickTop="1">
      <c r="A25" s="937"/>
      <c r="B25" s="950" t="s">
        <v>256</v>
      </c>
      <c r="C25" s="951">
        <f>IF($K$32=1,C23*$I$32,IF($K$32=2,C23*$I$33))</f>
        <v>0</v>
      </c>
      <c r="D25" s="951">
        <f t="shared" ref="D25:N25" si="6">IF($K$32=1,D23*$I$32,IF($K$32=2,D23*$I$33))</f>
        <v>0</v>
      </c>
      <c r="E25" s="951">
        <f t="shared" si="6"/>
        <v>0</v>
      </c>
      <c r="F25" s="951">
        <f t="shared" si="6"/>
        <v>0</v>
      </c>
      <c r="G25" s="951">
        <f t="shared" si="6"/>
        <v>0</v>
      </c>
      <c r="H25" s="951">
        <f t="shared" si="6"/>
        <v>0</v>
      </c>
      <c r="I25" s="951">
        <f t="shared" si="6"/>
        <v>0</v>
      </c>
      <c r="J25" s="951">
        <f t="shared" si="6"/>
        <v>0</v>
      </c>
      <c r="K25" s="951">
        <f t="shared" si="6"/>
        <v>0</v>
      </c>
      <c r="L25" s="951">
        <f t="shared" si="6"/>
        <v>0</v>
      </c>
      <c r="M25" s="951">
        <f t="shared" si="6"/>
        <v>0</v>
      </c>
      <c r="N25" s="951">
        <f t="shared" si="6"/>
        <v>0</v>
      </c>
      <c r="O25" s="930">
        <f>SUM(C25:N25)</f>
        <v>0</v>
      </c>
      <c r="P25" s="1092" t="e">
        <f t="shared" si="2"/>
        <v>#DIV/0!</v>
      </c>
      <c r="Q25" s="41"/>
      <c r="R25" s="501"/>
      <c r="S25" s="931"/>
      <c r="T25" s="943"/>
    </row>
    <row r="26" spans="1:20" ht="22.5" customHeight="1" outlineLevel="1" thickBot="1">
      <c r="A26" s="937"/>
      <c r="B26" s="944" t="s">
        <v>257</v>
      </c>
      <c r="C26" s="945">
        <f>C23-C25</f>
        <v>0</v>
      </c>
      <c r="D26" s="945">
        <f>D23-D25</f>
        <v>0</v>
      </c>
      <c r="E26" s="945">
        <f t="shared" ref="E26:N26" si="7">E23-E25</f>
        <v>0</v>
      </c>
      <c r="F26" s="945">
        <f t="shared" si="7"/>
        <v>0</v>
      </c>
      <c r="G26" s="945">
        <f t="shared" si="7"/>
        <v>0</v>
      </c>
      <c r="H26" s="945">
        <f t="shared" si="7"/>
        <v>0</v>
      </c>
      <c r="I26" s="945">
        <f t="shared" si="7"/>
        <v>0</v>
      </c>
      <c r="J26" s="945">
        <f t="shared" si="7"/>
        <v>0</v>
      </c>
      <c r="K26" s="945">
        <f t="shared" si="7"/>
        <v>0</v>
      </c>
      <c r="L26" s="945">
        <f t="shared" si="7"/>
        <v>0</v>
      </c>
      <c r="M26" s="945">
        <f t="shared" si="7"/>
        <v>0</v>
      </c>
      <c r="N26" s="945">
        <f t="shared" si="7"/>
        <v>0</v>
      </c>
      <c r="O26" s="946">
        <f>SUM(C26:N26)</f>
        <v>0</v>
      </c>
      <c r="P26" s="1092" t="e">
        <f t="shared" si="2"/>
        <v>#DIV/0!</v>
      </c>
      <c r="Q26" s="41"/>
      <c r="R26" s="502"/>
      <c r="S26" s="931"/>
      <c r="T26" s="943"/>
    </row>
    <row r="27" spans="1:20" ht="22.5" customHeight="1" outlineLevel="1" thickTop="1">
      <c r="A27" s="937"/>
      <c r="B27" s="950" t="s">
        <v>258</v>
      </c>
      <c r="C27" s="952">
        <f t="shared" ref="C27:N27" si="8">$M44</f>
        <v>0</v>
      </c>
      <c r="D27" s="951">
        <f t="shared" si="8"/>
        <v>0</v>
      </c>
      <c r="E27" s="951">
        <f t="shared" si="8"/>
        <v>0</v>
      </c>
      <c r="F27" s="951">
        <f t="shared" si="8"/>
        <v>0</v>
      </c>
      <c r="G27" s="951">
        <f t="shared" si="8"/>
        <v>0</v>
      </c>
      <c r="H27" s="951">
        <f t="shared" si="8"/>
        <v>0</v>
      </c>
      <c r="I27" s="951">
        <f t="shared" si="8"/>
        <v>0</v>
      </c>
      <c r="J27" s="951">
        <f t="shared" si="8"/>
        <v>0</v>
      </c>
      <c r="K27" s="951">
        <f t="shared" si="8"/>
        <v>0</v>
      </c>
      <c r="L27" s="951">
        <f t="shared" si="8"/>
        <v>0</v>
      </c>
      <c r="M27" s="951">
        <f t="shared" si="8"/>
        <v>0</v>
      </c>
      <c r="N27" s="951">
        <f t="shared" si="8"/>
        <v>0</v>
      </c>
      <c r="O27" s="953">
        <f>SUM(C27:N27)</f>
        <v>0</v>
      </c>
      <c r="P27" s="1092" t="e">
        <f t="shared" si="2"/>
        <v>#DIV/0!</v>
      </c>
      <c r="Q27" s="43"/>
      <c r="R27" s="501"/>
      <c r="S27" s="931"/>
      <c r="T27" s="943"/>
    </row>
    <row r="28" spans="1:20" ht="22.5" customHeight="1" outlineLevel="1">
      <c r="A28" s="937"/>
      <c r="B28" s="2229" t="s">
        <v>259</v>
      </c>
      <c r="C28" s="2230"/>
      <c r="D28" s="954"/>
      <c r="E28" s="955"/>
      <c r="F28" s="955"/>
      <c r="G28" s="955"/>
      <c r="H28" s="956"/>
      <c r="I28" s="955"/>
      <c r="J28" s="955"/>
      <c r="K28" s="955"/>
      <c r="L28" s="2212" t="s">
        <v>260</v>
      </c>
      <c r="M28" s="2213"/>
      <c r="N28" s="2214"/>
      <c r="O28" s="957">
        <f>(O20-O4+O22)*Q43</f>
        <v>0</v>
      </c>
      <c r="P28" s="1092" t="e">
        <f t="shared" si="2"/>
        <v>#DIV/0!</v>
      </c>
      <c r="Q28" s="43"/>
      <c r="R28" s="501"/>
      <c r="S28" s="931"/>
      <c r="T28" s="943"/>
    </row>
    <row r="29" spans="1:20" ht="22.5" customHeight="1" thickBot="1">
      <c r="A29" s="937"/>
      <c r="B29" s="2231" t="s">
        <v>261</v>
      </c>
      <c r="C29" s="2232"/>
      <c r="D29" s="958"/>
      <c r="E29" s="959"/>
      <c r="F29" s="959"/>
      <c r="G29" s="959"/>
      <c r="H29" s="959"/>
      <c r="I29" s="959"/>
      <c r="J29" s="959"/>
      <c r="K29" s="959"/>
      <c r="L29" s="2209" t="s">
        <v>262</v>
      </c>
      <c r="M29" s="2210"/>
      <c r="N29" s="2211"/>
      <c r="O29" s="960">
        <f>O4*Q42</f>
        <v>0</v>
      </c>
      <c r="P29" s="1092" t="e">
        <f t="shared" si="2"/>
        <v>#DIV/0!</v>
      </c>
      <c r="Q29" s="503"/>
      <c r="R29" s="504"/>
      <c r="S29" s="931"/>
    </row>
    <row r="30" spans="1:20" ht="22.5" customHeight="1" thickBot="1">
      <c r="A30" s="937"/>
      <c r="B30" s="962"/>
      <c r="C30" s="963"/>
      <c r="D30" s="964"/>
      <c r="E30" s="964"/>
      <c r="F30" s="964"/>
      <c r="G30" s="964"/>
      <c r="H30" s="964"/>
      <c r="I30" s="964"/>
      <c r="J30" s="964"/>
      <c r="K30" s="964"/>
      <c r="L30" s="964"/>
      <c r="M30" s="964"/>
      <c r="N30" s="964"/>
      <c r="O30" s="965"/>
      <c r="P30" s="966"/>
      <c r="Q30" s="966"/>
      <c r="R30" s="967"/>
      <c r="S30" s="931"/>
    </row>
    <row r="31" spans="1:20" ht="22.5" customHeight="1">
      <c r="A31" s="937"/>
      <c r="B31" s="968" t="s">
        <v>263</v>
      </c>
      <c r="C31" s="2224" t="s">
        <v>264</v>
      </c>
      <c r="D31" s="2225"/>
      <c r="E31" s="2224"/>
      <c r="F31" s="2225"/>
      <c r="G31" s="2224"/>
      <c r="H31" s="2225"/>
      <c r="I31" s="969">
        <f>C32+E32</f>
        <v>8.4400000000000003E-2</v>
      </c>
      <c r="J31" s="2069"/>
      <c r="K31" s="967"/>
      <c r="L31" s="2069"/>
      <c r="M31" s="2069"/>
      <c r="N31" s="2069"/>
      <c r="O31" s="2069"/>
      <c r="P31" s="2069"/>
      <c r="Q31" s="2069"/>
      <c r="R31" s="967"/>
      <c r="S31" s="931"/>
    </row>
    <row r="32" spans="1:20" ht="22.5" customHeight="1">
      <c r="A32" s="937"/>
      <c r="B32" s="970" t="s">
        <v>265</v>
      </c>
      <c r="C32" s="24">
        <v>0.08</v>
      </c>
      <c r="D32" s="1803" t="s">
        <v>266</v>
      </c>
      <c r="E32" s="972">
        <f>C32*5.5%</f>
        <v>4.4000000000000003E-3</v>
      </c>
      <c r="F32" s="971" t="s">
        <v>267</v>
      </c>
      <c r="G32" s="24">
        <v>0</v>
      </c>
      <c r="H32" s="1804" t="s">
        <v>268</v>
      </c>
      <c r="I32" s="974">
        <f>C32+E32+G32</f>
        <v>8.4400000000000003E-2</v>
      </c>
      <c r="J32" s="2069"/>
      <c r="K32" s="917">
        <v>1</v>
      </c>
      <c r="L32" s="2069"/>
      <c r="M32" s="2069"/>
      <c r="N32" s="975"/>
      <c r="O32" s="2069"/>
      <c r="P32" s="2069"/>
      <c r="Q32" s="2069"/>
      <c r="R32" s="967"/>
      <c r="S32" s="931"/>
    </row>
    <row r="33" spans="1:20" s="987" customFormat="1" ht="22.5" customHeight="1" thickBot="1">
      <c r="A33" s="976"/>
      <c r="B33" s="977" t="s">
        <v>269</v>
      </c>
      <c r="C33" s="604">
        <v>0.15</v>
      </c>
      <c r="D33" s="978" t="s">
        <v>270</v>
      </c>
      <c r="E33" s="979">
        <f>C33*5.5%</f>
        <v>8.2500000000000004E-3</v>
      </c>
      <c r="F33" s="978" t="s">
        <v>267</v>
      </c>
      <c r="G33" s="604">
        <v>0.14000000000000001</v>
      </c>
      <c r="H33" s="980" t="s">
        <v>268</v>
      </c>
      <c r="I33" s="981">
        <f>C33+E33+G33</f>
        <v>0.29825000000000002</v>
      </c>
      <c r="J33" s="2069"/>
      <c r="K33" s="982"/>
      <c r="L33" s="2069"/>
      <c r="M33" s="2069"/>
      <c r="N33" s="2069"/>
      <c r="O33" s="983"/>
      <c r="P33" s="984"/>
      <c r="Q33" s="2069"/>
      <c r="R33" s="985"/>
      <c r="S33" s="986"/>
      <c r="T33" s="943"/>
    </row>
    <row r="34" spans="1:20" s="987" customFormat="1" ht="22.5" customHeight="1">
      <c r="A34" s="976"/>
      <c r="B34" s="2069"/>
      <c r="C34" s="963"/>
      <c r="D34" s="988"/>
      <c r="E34" s="989"/>
      <c r="F34" s="988"/>
      <c r="G34" s="963"/>
      <c r="H34" s="990"/>
      <c r="I34" s="991"/>
      <c r="J34" s="2069"/>
      <c r="K34" s="982"/>
      <c r="L34" s="2069"/>
      <c r="M34" s="2069"/>
      <c r="N34" s="2069"/>
      <c r="O34" s="983"/>
      <c r="P34" s="984"/>
      <c r="Q34" s="2069"/>
      <c r="R34" s="985"/>
      <c r="S34" s="986"/>
      <c r="T34" s="943"/>
    </row>
    <row r="35" spans="1:20" s="987" customFormat="1" ht="22.5" customHeight="1" thickBot="1">
      <c r="A35" s="976"/>
      <c r="B35" s="2069"/>
      <c r="C35" s="991"/>
      <c r="D35" s="2069"/>
      <c r="E35" s="2069"/>
      <c r="F35" s="992"/>
      <c r="G35" s="2069"/>
      <c r="H35" s="991"/>
      <c r="I35" s="993"/>
      <c r="J35" s="2069"/>
      <c r="K35" s="2069"/>
      <c r="L35" s="2069"/>
      <c r="M35" s="2069"/>
      <c r="N35" s="2069"/>
      <c r="O35" s="983"/>
      <c r="P35" s="984"/>
      <c r="Q35" s="2069"/>
      <c r="R35" s="985"/>
      <c r="S35" s="986"/>
      <c r="T35" s="943"/>
    </row>
    <row r="36" spans="1:20" s="987" customFormat="1" ht="53.25" customHeight="1">
      <c r="A36" s="976"/>
      <c r="B36" s="994" t="s">
        <v>271</v>
      </c>
      <c r="C36" s="2222" t="s">
        <v>272</v>
      </c>
      <c r="D36" s="2222"/>
      <c r="E36" s="2222"/>
      <c r="F36" s="2222"/>
      <c r="G36" s="2222"/>
      <c r="H36" s="2222"/>
      <c r="I36" s="2222"/>
      <c r="J36" s="2222"/>
      <c r="K36" s="2222"/>
      <c r="L36" s="2222"/>
      <c r="M36" s="2222"/>
      <c r="N36" s="2222"/>
      <c r="O36" s="2222"/>
      <c r="P36" s="2222"/>
      <c r="Q36" s="2223"/>
      <c r="R36" s="2226"/>
      <c r="S36" s="2227"/>
      <c r="T36" s="995"/>
    </row>
    <row r="37" spans="1:20" s="987" customFormat="1" ht="35.25" customHeight="1">
      <c r="A37" s="976"/>
      <c r="B37" s="996"/>
      <c r="C37" s="997" t="s">
        <v>273</v>
      </c>
      <c r="D37" s="997" t="s">
        <v>274</v>
      </c>
      <c r="E37" s="997" t="s">
        <v>275</v>
      </c>
      <c r="F37" s="997" t="s">
        <v>276</v>
      </c>
      <c r="G37" s="997" t="s">
        <v>277</v>
      </c>
      <c r="H37" s="997" t="s">
        <v>278</v>
      </c>
      <c r="I37" s="997" t="s">
        <v>279</v>
      </c>
      <c r="J37" s="997" t="s">
        <v>280</v>
      </c>
      <c r="K37" s="997" t="s">
        <v>281</v>
      </c>
      <c r="L37" s="998" t="s">
        <v>282</v>
      </c>
      <c r="M37" s="2233" t="s">
        <v>283</v>
      </c>
      <c r="N37" s="2233"/>
      <c r="O37" s="2233"/>
      <c r="P37" s="999"/>
      <c r="Q37" s="1000"/>
      <c r="R37" s="985"/>
      <c r="S37" s="1001"/>
      <c r="T37" s="1002"/>
    </row>
    <row r="38" spans="1:20" s="987" customFormat="1" ht="22.5" customHeight="1">
      <c r="A38" s="976"/>
      <c r="B38" s="1003" t="s">
        <v>283</v>
      </c>
      <c r="C38" s="619">
        <f>Privatentnahmen!D35</f>
        <v>0</v>
      </c>
      <c r="D38" s="619">
        <f>(O20+O22)/12</f>
        <v>0</v>
      </c>
      <c r="E38" s="619">
        <f>(O3/12)*Q38</f>
        <v>0</v>
      </c>
      <c r="F38" s="619">
        <f>(Finanz_AfA_Investitionen!C31*'Ertragsv. 2025'!Q39)/12</f>
        <v>0</v>
      </c>
      <c r="G38" s="619">
        <f>O25/12</f>
        <v>0</v>
      </c>
      <c r="H38" s="619">
        <f>O3/12*Q40</f>
        <v>0</v>
      </c>
      <c r="I38" s="619">
        <f>O3/12*Q41</f>
        <v>0</v>
      </c>
      <c r="J38" s="619">
        <f>O29/12</f>
        <v>0</v>
      </c>
      <c r="K38" s="619">
        <f>IF(O4&gt;1,(O28/12),IF(O4&lt;1,0))</f>
        <v>0</v>
      </c>
      <c r="L38" s="619"/>
      <c r="M38" s="2234">
        <f>SUM(C38:K38)</f>
        <v>0</v>
      </c>
      <c r="N38" s="2234"/>
      <c r="O38" s="2234"/>
      <c r="P38" s="1004" t="s">
        <v>284</v>
      </c>
      <c r="Q38" s="603">
        <v>0.03</v>
      </c>
      <c r="R38" s="982"/>
      <c r="S38" s="2044"/>
      <c r="T38" s="1005"/>
    </row>
    <row r="39" spans="1:20" s="987" customFormat="1" ht="22.5" customHeight="1">
      <c r="A39" s="976"/>
      <c r="B39" s="1006"/>
      <c r="C39" s="1007" t="s">
        <v>273</v>
      </c>
      <c r="D39" s="1007" t="s">
        <v>285</v>
      </c>
      <c r="E39" s="1007" t="s">
        <v>275</v>
      </c>
      <c r="F39" s="1007" t="s">
        <v>276</v>
      </c>
      <c r="G39" s="1007" t="s">
        <v>277</v>
      </c>
      <c r="H39" s="1007" t="s">
        <v>278</v>
      </c>
      <c r="I39" s="1007" t="s">
        <v>286</v>
      </c>
      <c r="J39" s="1007" t="s">
        <v>280</v>
      </c>
      <c r="K39" s="1007" t="s">
        <v>281</v>
      </c>
      <c r="L39" s="619">
        <f>IF(ArbStd_MA!$E$33&gt;=1,ArbStd_MA!$E$33,IF(ArbStd_MA!$E$33&lt;=1,ArbStd_MA!$D$23))</f>
        <v>144</v>
      </c>
      <c r="M39" s="2218" t="s">
        <v>287</v>
      </c>
      <c r="N39" s="2219"/>
      <c r="O39" s="1008"/>
      <c r="P39" s="1004" t="s">
        <v>288</v>
      </c>
      <c r="Q39" s="603">
        <v>0.05</v>
      </c>
      <c r="R39" s="982"/>
      <c r="S39" s="2044"/>
      <c r="T39" s="1009"/>
    </row>
    <row r="40" spans="1:20" s="987" customFormat="1" ht="22.5" customHeight="1">
      <c r="A40" s="976"/>
      <c r="B40" s="1003" t="s">
        <v>289</v>
      </c>
      <c r="C40" s="619">
        <f>Privatentnahmen!D35</f>
        <v>0</v>
      </c>
      <c r="D40" s="619">
        <f>(O20-O4+O22)/12</f>
        <v>0</v>
      </c>
      <c r="E40" s="619"/>
      <c r="F40" s="619"/>
      <c r="G40" s="619">
        <f>C40*I31</f>
        <v>0</v>
      </c>
      <c r="H40" s="619"/>
      <c r="I40" s="619"/>
      <c r="J40" s="1010"/>
      <c r="K40" s="1010"/>
      <c r="L40" s="619">
        <f>IF(ArbStd_MA!$E$33&gt;=1,ArbStd_MA!$E$33,IF(ArbStd_MA!$E$33&lt;=1,ArbStd_MA!$D$23))</f>
        <v>144</v>
      </c>
      <c r="M40" s="1011">
        <f>(C40+D40+G40+K40)/L40/ArbStd_MA!F49</f>
        <v>0</v>
      </c>
      <c r="N40" s="1012"/>
      <c r="O40" s="1013"/>
      <c r="P40" s="1004" t="s">
        <v>290</v>
      </c>
      <c r="Q40" s="603">
        <v>0.05</v>
      </c>
      <c r="R40" s="982"/>
      <c r="S40" s="2044"/>
      <c r="T40" s="1009"/>
    </row>
    <row r="41" spans="1:20" s="987" customFormat="1" ht="24" customHeight="1">
      <c r="A41" s="976"/>
      <c r="B41" s="1003" t="s">
        <v>93</v>
      </c>
      <c r="C41" s="619">
        <f>Privatentnahmen!D35</f>
        <v>0</v>
      </c>
      <c r="D41" s="619">
        <f>D40</f>
        <v>0</v>
      </c>
      <c r="E41" s="619">
        <f>(O3/12)*Q38</f>
        <v>0</v>
      </c>
      <c r="F41" s="619">
        <f>(Finanz_AfA_Investitionen!C31*'Ertragsv. 2025'!Q39)/12</f>
        <v>0</v>
      </c>
      <c r="G41" s="619">
        <f>O25/12</f>
        <v>0</v>
      </c>
      <c r="H41" s="619">
        <f>O3/12*Q40</f>
        <v>0</v>
      </c>
      <c r="I41" s="619">
        <f>O3/12*Q41</f>
        <v>0</v>
      </c>
      <c r="J41" s="1010"/>
      <c r="K41" s="1010"/>
      <c r="L41" s="619">
        <f>IF(ArbStd_MA!$E$33&gt;=1,ArbStd_MA!$E$33,IF(ArbStd_MA!$E$33&lt;=1,ArbStd_MA!$D$23))</f>
        <v>144</v>
      </c>
      <c r="M41" s="1011">
        <f>(C41+D41+E41+F41+G41+H41+I41+J41+K41)/L41/ArbStd_MA!F49</f>
        <v>0</v>
      </c>
      <c r="N41" s="1012"/>
      <c r="O41" s="1013"/>
      <c r="P41" s="1004" t="s">
        <v>291</v>
      </c>
      <c r="Q41" s="603">
        <v>0.02</v>
      </c>
      <c r="R41" s="982"/>
      <c r="S41" s="2044"/>
      <c r="T41" s="1009"/>
    </row>
    <row r="42" spans="1:20" s="987" customFormat="1" ht="25.15" customHeight="1">
      <c r="A42" s="976"/>
      <c r="B42" s="1003" t="s">
        <v>292</v>
      </c>
      <c r="C42" s="1015"/>
      <c r="D42" s="1015"/>
      <c r="E42" s="1015"/>
      <c r="F42" s="1015"/>
      <c r="G42" s="1015"/>
      <c r="H42" s="1016"/>
      <c r="I42" s="1016"/>
      <c r="J42" s="1016"/>
      <c r="K42" s="1015"/>
      <c r="L42" s="1017"/>
      <c r="M42" s="2228" t="e">
        <f>ROUND((M41-M40)/M40*100,1)&amp; " %"</f>
        <v>#DIV/0!</v>
      </c>
      <c r="N42" s="2228"/>
      <c r="O42" s="2228"/>
      <c r="P42" s="1858" t="s">
        <v>293</v>
      </c>
      <c r="Q42" s="1860">
        <v>0.1</v>
      </c>
      <c r="R42" s="982"/>
      <c r="S42" s="1001"/>
      <c r="T42" s="1018"/>
    </row>
    <row r="43" spans="1:20" s="987" customFormat="1" ht="25.15" customHeight="1">
      <c r="A43" s="976"/>
      <c r="B43" s="1510" t="s">
        <v>294</v>
      </c>
      <c r="C43" s="1513">
        <f t="shared" ref="C43:I43" si="9">C41</f>
        <v>0</v>
      </c>
      <c r="D43" s="1513">
        <f t="shared" si="9"/>
        <v>0</v>
      </c>
      <c r="E43" s="1513">
        <f t="shared" si="9"/>
        <v>0</v>
      </c>
      <c r="F43" s="1513">
        <f t="shared" si="9"/>
        <v>0</v>
      </c>
      <c r="G43" s="1513">
        <f t="shared" si="9"/>
        <v>0</v>
      </c>
      <c r="H43" s="1513">
        <f t="shared" si="9"/>
        <v>0</v>
      </c>
      <c r="I43" s="1862">
        <f t="shared" si="9"/>
        <v>0</v>
      </c>
      <c r="J43" s="1862">
        <f>J38</f>
        <v>0</v>
      </c>
      <c r="K43" s="1862">
        <f>K38</f>
        <v>0</v>
      </c>
      <c r="L43" s="1511"/>
      <c r="M43" s="1014">
        <f>IF(O4&lt;1,0,(C43+D43+E43+F43+G43+H43+I43+J43+K43)*100*12/O4)</f>
        <v>0</v>
      </c>
      <c r="N43" s="1512"/>
      <c r="O43" s="1512"/>
      <c r="P43" s="1859" t="s">
        <v>295</v>
      </c>
      <c r="Q43" s="1861">
        <v>0.15</v>
      </c>
      <c r="R43" s="982"/>
      <c r="S43" s="1001"/>
      <c r="T43" s="1018"/>
    </row>
    <row r="44" spans="1:20" s="987" customFormat="1" ht="22.5" customHeight="1" thickBot="1">
      <c r="A44" s="976"/>
      <c r="B44" s="1019" t="s">
        <v>296</v>
      </c>
      <c r="C44" s="1020">
        <f>Privatentnahmen!D35</f>
        <v>0</v>
      </c>
      <c r="D44" s="1021"/>
      <c r="E44" s="1020">
        <f>(O3/12)*Q38</f>
        <v>0</v>
      </c>
      <c r="F44" s="1020">
        <f>F38</f>
        <v>0</v>
      </c>
      <c r="G44" s="1021"/>
      <c r="H44" s="1020"/>
      <c r="I44" s="1021"/>
      <c r="J44" s="1021"/>
      <c r="K44" s="1021"/>
      <c r="L44" s="1021"/>
      <c r="M44" s="2217">
        <f>C44+E44+F44+H44</f>
        <v>0</v>
      </c>
      <c r="N44" s="2217"/>
      <c r="O44" s="2217"/>
      <c r="P44" s="1010"/>
      <c r="Q44" s="1022"/>
      <c r="R44" s="1023"/>
      <c r="S44" s="1024"/>
      <c r="T44" s="1025"/>
    </row>
    <row r="45" spans="1:20">
      <c r="A45" s="937"/>
      <c r="B45" s="2069"/>
      <c r="C45" s="2069"/>
      <c r="D45" s="2069"/>
      <c r="E45" s="2069"/>
      <c r="F45" s="2069"/>
      <c r="G45" s="2069"/>
      <c r="H45" s="2069"/>
      <c r="I45" s="993"/>
      <c r="J45" s="2069"/>
      <c r="K45" s="2069"/>
      <c r="L45" s="2069"/>
      <c r="M45" s="2069"/>
      <c r="N45" s="2069"/>
      <c r="O45" s="983"/>
      <c r="P45" s="984"/>
      <c r="Q45" s="2069"/>
      <c r="R45" s="2069"/>
      <c r="S45" s="676"/>
      <c r="T45" s="1026"/>
    </row>
    <row r="46" spans="1:20" ht="15.75" thickBot="1">
      <c r="A46" s="1027"/>
      <c r="B46" s="678"/>
      <c r="C46" s="678"/>
      <c r="D46" s="678"/>
      <c r="E46" s="678"/>
      <c r="F46" s="678"/>
      <c r="G46" s="678"/>
      <c r="H46" s="678"/>
      <c r="I46" s="679"/>
      <c r="J46" s="678"/>
      <c r="K46" s="678"/>
      <c r="L46" s="678"/>
      <c r="M46" s="678"/>
      <c r="N46" s="678"/>
      <c r="O46" s="678"/>
      <c r="P46" s="678"/>
      <c r="Q46" s="1028"/>
      <c r="R46" s="678"/>
      <c r="S46" s="680"/>
      <c r="T46" s="1026"/>
    </row>
    <row r="47" spans="1:20" ht="15.75" thickTop="1">
      <c r="A47" s="917"/>
      <c r="L47" s="1026"/>
      <c r="M47" s="1026"/>
      <c r="N47" s="1026"/>
      <c r="O47" s="1026"/>
      <c r="P47" s="1026"/>
      <c r="Q47" s="923"/>
      <c r="R47" s="923"/>
      <c r="S47" s="923"/>
      <c r="T47" s="1026"/>
    </row>
    <row r="48" spans="1:20">
      <c r="L48" s="917"/>
      <c r="Q48" s="1032"/>
      <c r="R48" s="1032"/>
    </row>
    <row r="49" spans="17:18">
      <c r="Q49" s="1032"/>
      <c r="R49" s="1032"/>
    </row>
    <row r="50" spans="17:18">
      <c r="Q50" s="1032"/>
      <c r="R50" s="1032"/>
    </row>
    <row r="51" spans="17:18">
      <c r="Q51" s="1032"/>
      <c r="R51" s="1032"/>
    </row>
    <row r="52" spans="17:18">
      <c r="Q52" s="1032"/>
      <c r="R52" s="1032"/>
    </row>
    <row r="53" spans="17:18">
      <c r="Q53" s="1032"/>
      <c r="R53" s="1032"/>
    </row>
    <row r="54" spans="17:18">
      <c r="Q54" s="1032"/>
      <c r="R54" s="1032"/>
    </row>
    <row r="55" spans="17:18">
      <c r="Q55" s="1032"/>
      <c r="R55" s="1032"/>
    </row>
    <row r="56" spans="17:18">
      <c r="Q56" s="1032"/>
      <c r="R56" s="1032"/>
    </row>
    <row r="57" spans="17:18">
      <c r="Q57" s="1032"/>
      <c r="R57" s="1032"/>
    </row>
    <row r="58" spans="17:18">
      <c r="Q58" s="1032"/>
      <c r="R58" s="1032"/>
    </row>
    <row r="59" spans="17:18">
      <c r="Q59" s="1032"/>
      <c r="R59" s="1032"/>
    </row>
    <row r="60" spans="17:18">
      <c r="Q60" s="1032"/>
      <c r="R60" s="1032"/>
    </row>
    <row r="61" spans="17:18">
      <c r="Q61" s="1032"/>
      <c r="R61" s="1032"/>
    </row>
    <row r="62" spans="17:18">
      <c r="Q62" s="1032"/>
      <c r="R62" s="1032"/>
    </row>
    <row r="63" spans="17:18">
      <c r="Q63" s="1032"/>
      <c r="R63" s="1032"/>
    </row>
    <row r="64" spans="17:18">
      <c r="Q64" s="1032"/>
      <c r="R64" s="1032"/>
    </row>
    <row r="65" spans="17:18">
      <c r="Q65" s="1032"/>
      <c r="R65" s="1032"/>
    </row>
    <row r="66" spans="17:18">
      <c r="Q66" s="1032"/>
      <c r="R66" s="1032"/>
    </row>
    <row r="67" spans="17:18">
      <c r="Q67" s="1032"/>
      <c r="R67" s="1032"/>
    </row>
    <row r="68" spans="17:18">
      <c r="Q68" s="1032"/>
      <c r="R68" s="1032"/>
    </row>
    <row r="69" spans="17:18">
      <c r="Q69" s="1032"/>
      <c r="R69" s="1032"/>
    </row>
    <row r="70" spans="17:18">
      <c r="Q70" s="1032"/>
      <c r="R70" s="1032"/>
    </row>
    <row r="71" spans="17:18">
      <c r="Q71" s="1032"/>
      <c r="R71" s="1032"/>
    </row>
    <row r="72" spans="17:18">
      <c r="Q72" s="1032"/>
      <c r="R72" s="1032"/>
    </row>
    <row r="73" spans="17:18">
      <c r="Q73" s="1032"/>
      <c r="R73" s="1032"/>
    </row>
    <row r="74" spans="17:18">
      <c r="Q74" s="1032"/>
      <c r="R74" s="1032"/>
    </row>
    <row r="75" spans="17:18">
      <c r="Q75" s="1032"/>
      <c r="R75" s="1032"/>
    </row>
    <row r="76" spans="17:18">
      <c r="Q76" s="1032"/>
      <c r="R76" s="1032"/>
    </row>
    <row r="77" spans="17:18">
      <c r="Q77" s="1032"/>
      <c r="R77" s="1032"/>
    </row>
    <row r="78" spans="17:18">
      <c r="Q78" s="1032"/>
      <c r="R78" s="1032"/>
    </row>
    <row r="79" spans="17:18">
      <c r="Q79" s="1032"/>
      <c r="R79" s="1032"/>
    </row>
    <row r="80" spans="17:18">
      <c r="Q80" s="1032"/>
      <c r="R80" s="1032"/>
    </row>
    <row r="81" spans="17:18">
      <c r="Q81" s="1032"/>
      <c r="R81" s="1032"/>
    </row>
    <row r="82" spans="17:18">
      <c r="Q82" s="1032"/>
      <c r="R82" s="1032"/>
    </row>
    <row r="83" spans="17:18">
      <c r="Q83" s="1032"/>
      <c r="R83" s="1032"/>
    </row>
    <row r="84" spans="17:18">
      <c r="Q84" s="1032"/>
      <c r="R84" s="1032"/>
    </row>
    <row r="85" spans="17:18">
      <c r="Q85" s="1032"/>
      <c r="R85" s="1032"/>
    </row>
    <row r="86" spans="17:18">
      <c r="Q86" s="1032"/>
      <c r="R86" s="1032"/>
    </row>
    <row r="87" spans="17:18">
      <c r="Q87" s="1032"/>
      <c r="R87" s="1032"/>
    </row>
    <row r="88" spans="17:18">
      <c r="Q88" s="1032"/>
      <c r="R88" s="1032"/>
    </row>
    <row r="89" spans="17:18">
      <c r="Q89" s="1032"/>
      <c r="R89" s="1032"/>
    </row>
    <row r="90" spans="17:18">
      <c r="Q90" s="1032"/>
      <c r="R90" s="1032"/>
    </row>
    <row r="91" spans="17:18">
      <c r="Q91" s="1032"/>
      <c r="R91" s="1032"/>
    </row>
    <row r="92" spans="17:18">
      <c r="Q92" s="1032"/>
      <c r="R92" s="1032"/>
    </row>
    <row r="93" spans="17:18">
      <c r="Q93" s="1032"/>
      <c r="R93" s="1032"/>
    </row>
    <row r="94" spans="17:18">
      <c r="Q94" s="1032"/>
      <c r="R94" s="1032"/>
    </row>
    <row r="95" spans="17:18">
      <c r="Q95" s="1032"/>
      <c r="R95" s="1032"/>
    </row>
    <row r="96" spans="17:18">
      <c r="Q96" s="1032"/>
      <c r="R96" s="1032"/>
    </row>
    <row r="97" spans="17:18">
      <c r="Q97" s="1032"/>
      <c r="R97" s="1032"/>
    </row>
    <row r="98" spans="17:18">
      <c r="Q98" s="1032"/>
      <c r="R98" s="1032"/>
    </row>
    <row r="99" spans="17:18">
      <c r="Q99" s="1032"/>
      <c r="R99" s="1032"/>
    </row>
    <row r="100" spans="17:18">
      <c r="Q100" s="1032"/>
      <c r="R100" s="1032"/>
    </row>
    <row r="101" spans="17:18">
      <c r="Q101" s="1032"/>
      <c r="R101" s="1032"/>
    </row>
    <row r="102" spans="17:18">
      <c r="Q102" s="1032"/>
      <c r="R102" s="1032"/>
    </row>
    <row r="103" spans="17:18">
      <c r="Q103" s="1032"/>
      <c r="R103" s="1032"/>
    </row>
    <row r="104" spans="17:18">
      <c r="Q104" s="1032"/>
      <c r="R104" s="1032"/>
    </row>
    <row r="105" spans="17:18">
      <c r="Q105" s="1032"/>
      <c r="R105" s="1032"/>
    </row>
    <row r="106" spans="17:18">
      <c r="Q106" s="1032"/>
      <c r="R106" s="1032"/>
    </row>
    <row r="107" spans="17:18">
      <c r="Q107" s="1032"/>
      <c r="R107" s="1032"/>
    </row>
    <row r="108" spans="17:18">
      <c r="Q108" s="1032"/>
      <c r="R108" s="1032"/>
    </row>
    <row r="109" spans="17:18">
      <c r="Q109" s="1032"/>
      <c r="R109" s="1032"/>
    </row>
    <row r="110" spans="17:18">
      <c r="Q110" s="1032"/>
      <c r="R110" s="1032"/>
    </row>
    <row r="111" spans="17:18">
      <c r="Q111" s="1032"/>
      <c r="R111" s="1032"/>
    </row>
    <row r="112" spans="17:18">
      <c r="Q112" s="1032"/>
      <c r="R112" s="1032"/>
    </row>
    <row r="113" spans="17:18">
      <c r="Q113" s="1032"/>
      <c r="R113" s="1032"/>
    </row>
    <row r="114" spans="17:18">
      <c r="Q114" s="1032"/>
      <c r="R114" s="1032"/>
    </row>
    <row r="115" spans="17:18">
      <c r="Q115" s="1032"/>
      <c r="R115" s="1032"/>
    </row>
    <row r="116" spans="17:18">
      <c r="Q116" s="1032"/>
      <c r="R116" s="1032"/>
    </row>
    <row r="117" spans="17:18">
      <c r="Q117" s="1032"/>
      <c r="R117" s="1032"/>
    </row>
    <row r="118" spans="17:18">
      <c r="Q118" s="1032"/>
      <c r="R118" s="1032"/>
    </row>
    <row r="119" spans="17:18">
      <c r="Q119" s="1032"/>
      <c r="R119" s="1032"/>
    </row>
    <row r="120" spans="17:18">
      <c r="Q120" s="1032"/>
      <c r="R120" s="1032"/>
    </row>
    <row r="121" spans="17:18">
      <c r="Q121" s="1032"/>
      <c r="R121" s="1032"/>
    </row>
    <row r="122" spans="17:18">
      <c r="Q122" s="1032"/>
      <c r="R122" s="1032"/>
    </row>
    <row r="123" spans="17:18">
      <c r="Q123" s="1032"/>
      <c r="R123" s="1032"/>
    </row>
    <row r="124" spans="17:18">
      <c r="Q124" s="1032"/>
      <c r="R124" s="1032"/>
    </row>
    <row r="125" spans="17:18">
      <c r="Q125" s="1032"/>
      <c r="R125" s="1032"/>
    </row>
    <row r="126" spans="17:18">
      <c r="Q126" s="1032"/>
      <c r="R126" s="1032"/>
    </row>
    <row r="127" spans="17:18">
      <c r="Q127" s="1032"/>
      <c r="R127" s="1032"/>
    </row>
    <row r="128" spans="17:18">
      <c r="Q128" s="1032"/>
      <c r="R128" s="1032"/>
    </row>
    <row r="129" spans="17:18">
      <c r="Q129" s="1032"/>
      <c r="R129" s="1032"/>
    </row>
    <row r="130" spans="17:18">
      <c r="Q130" s="1032"/>
      <c r="R130" s="1032"/>
    </row>
    <row r="131" spans="17:18">
      <c r="Q131" s="1032"/>
      <c r="R131" s="1032"/>
    </row>
    <row r="132" spans="17:18">
      <c r="Q132" s="1032"/>
      <c r="R132" s="1032"/>
    </row>
    <row r="133" spans="17:18">
      <c r="Q133" s="1032"/>
      <c r="R133" s="1032"/>
    </row>
    <row r="134" spans="17:18">
      <c r="Q134" s="1032"/>
      <c r="R134" s="1032"/>
    </row>
    <row r="135" spans="17:18">
      <c r="Q135" s="1032"/>
      <c r="R135" s="1032"/>
    </row>
    <row r="136" spans="17:18">
      <c r="Q136" s="1032"/>
      <c r="R136" s="1032"/>
    </row>
    <row r="137" spans="17:18">
      <c r="Q137" s="1032"/>
      <c r="R137" s="1032"/>
    </row>
    <row r="138" spans="17:18">
      <c r="Q138" s="1032"/>
      <c r="R138" s="1032"/>
    </row>
    <row r="139" spans="17:18">
      <c r="Q139" s="1032"/>
      <c r="R139" s="1032"/>
    </row>
    <row r="140" spans="17:18">
      <c r="Q140" s="1032"/>
      <c r="R140" s="1032"/>
    </row>
    <row r="141" spans="17:18">
      <c r="Q141" s="1032"/>
      <c r="R141" s="1032"/>
    </row>
    <row r="142" spans="17:18">
      <c r="Q142" s="1032"/>
      <c r="R142" s="1032"/>
    </row>
    <row r="143" spans="17:18">
      <c r="Q143" s="1032"/>
      <c r="R143" s="1032"/>
    </row>
    <row r="144" spans="17:18">
      <c r="Q144" s="1032"/>
      <c r="R144" s="1032"/>
    </row>
    <row r="145" spans="17:18">
      <c r="Q145" s="1032"/>
      <c r="R145" s="1032"/>
    </row>
    <row r="146" spans="17:18">
      <c r="Q146" s="1032"/>
      <c r="R146" s="1032"/>
    </row>
    <row r="147" spans="17:18">
      <c r="Q147" s="1032"/>
      <c r="R147" s="1032"/>
    </row>
    <row r="148" spans="17:18">
      <c r="Q148" s="1032"/>
      <c r="R148" s="1032"/>
    </row>
    <row r="149" spans="17:18">
      <c r="Q149" s="1032"/>
      <c r="R149" s="1032"/>
    </row>
    <row r="150" spans="17:18">
      <c r="Q150" s="1032"/>
      <c r="R150" s="1032"/>
    </row>
    <row r="151" spans="17:18">
      <c r="Q151" s="1032"/>
      <c r="R151" s="1032"/>
    </row>
    <row r="152" spans="17:18">
      <c r="Q152" s="1032"/>
      <c r="R152" s="1032"/>
    </row>
    <row r="153" spans="17:18">
      <c r="Q153" s="1032"/>
      <c r="R153" s="1032"/>
    </row>
    <row r="154" spans="17:18">
      <c r="Q154" s="1032"/>
      <c r="R154" s="1032"/>
    </row>
    <row r="155" spans="17:18">
      <c r="Q155" s="1032"/>
      <c r="R155" s="1032"/>
    </row>
    <row r="156" spans="17:18">
      <c r="Q156" s="1032"/>
      <c r="R156" s="1032"/>
    </row>
    <row r="157" spans="17:18">
      <c r="Q157" s="1032"/>
      <c r="R157" s="1032"/>
    </row>
    <row r="158" spans="17:18">
      <c r="Q158" s="1032"/>
      <c r="R158" s="1032"/>
    </row>
    <row r="159" spans="17:18">
      <c r="Q159" s="1032"/>
      <c r="R159" s="1032"/>
    </row>
    <row r="160" spans="17:18">
      <c r="Q160" s="1032"/>
      <c r="R160" s="1032"/>
    </row>
    <row r="161" spans="17:18">
      <c r="Q161" s="1032"/>
      <c r="R161" s="1032"/>
    </row>
    <row r="162" spans="17:18">
      <c r="Q162" s="1032"/>
      <c r="R162" s="1032"/>
    </row>
    <row r="163" spans="17:18">
      <c r="Q163" s="1032"/>
      <c r="R163" s="1032"/>
    </row>
    <row r="164" spans="17:18">
      <c r="Q164" s="1032"/>
      <c r="R164" s="1032"/>
    </row>
    <row r="165" spans="17:18">
      <c r="Q165" s="1032"/>
      <c r="R165" s="1032"/>
    </row>
    <row r="166" spans="17:18">
      <c r="Q166" s="1032"/>
      <c r="R166" s="1032"/>
    </row>
    <row r="167" spans="17:18">
      <c r="Q167" s="1032"/>
      <c r="R167" s="1032"/>
    </row>
    <row r="168" spans="17:18">
      <c r="Q168" s="1032"/>
      <c r="R168" s="1032"/>
    </row>
    <row r="169" spans="17:18">
      <c r="Q169" s="1032"/>
      <c r="R169" s="1032"/>
    </row>
    <row r="170" spans="17:18">
      <c r="Q170" s="1032"/>
      <c r="R170" s="1032"/>
    </row>
    <row r="171" spans="17:18">
      <c r="Q171" s="1032"/>
      <c r="R171" s="1032"/>
    </row>
    <row r="172" spans="17:18">
      <c r="Q172" s="1032"/>
      <c r="R172" s="1032"/>
    </row>
    <row r="173" spans="17:18">
      <c r="Q173" s="1032"/>
      <c r="R173" s="1032"/>
    </row>
    <row r="174" spans="17:18">
      <c r="Q174" s="1032"/>
      <c r="R174" s="1032"/>
    </row>
    <row r="175" spans="17:18">
      <c r="Q175" s="1032"/>
      <c r="R175" s="1032"/>
    </row>
    <row r="176" spans="17:18">
      <c r="Q176" s="1032"/>
      <c r="R176" s="1032"/>
    </row>
    <row r="177" spans="17:18">
      <c r="Q177" s="1032"/>
      <c r="R177" s="1032"/>
    </row>
    <row r="178" spans="17:18">
      <c r="Q178" s="1032"/>
      <c r="R178" s="1032"/>
    </row>
    <row r="179" spans="17:18">
      <c r="Q179" s="1032"/>
      <c r="R179" s="1032"/>
    </row>
    <row r="180" spans="17:18">
      <c r="Q180" s="1032"/>
      <c r="R180" s="1032"/>
    </row>
    <row r="181" spans="17:18">
      <c r="Q181" s="1032"/>
      <c r="R181" s="1032"/>
    </row>
    <row r="182" spans="17:18">
      <c r="Q182" s="1032"/>
      <c r="R182" s="1032"/>
    </row>
    <row r="183" spans="17:18">
      <c r="Q183" s="1032"/>
      <c r="R183" s="1032"/>
    </row>
    <row r="184" spans="17:18">
      <c r="Q184" s="1032"/>
      <c r="R184" s="1032"/>
    </row>
    <row r="185" spans="17:18">
      <c r="Q185" s="1032"/>
      <c r="R185" s="1032"/>
    </row>
    <row r="186" spans="17:18">
      <c r="Q186" s="1032"/>
      <c r="R186" s="1032"/>
    </row>
    <row r="187" spans="17:18">
      <c r="Q187" s="1032"/>
      <c r="R187" s="1032"/>
    </row>
    <row r="188" spans="17:18">
      <c r="Q188" s="1032"/>
      <c r="R188" s="1032"/>
    </row>
    <row r="189" spans="17:18">
      <c r="Q189" s="1032"/>
      <c r="R189" s="1032"/>
    </row>
    <row r="190" spans="17:18">
      <c r="Q190" s="1032"/>
      <c r="R190" s="1032"/>
    </row>
    <row r="191" spans="17:18">
      <c r="Q191" s="1032"/>
      <c r="R191" s="1032"/>
    </row>
    <row r="192" spans="17:18">
      <c r="Q192" s="1032"/>
      <c r="R192" s="1032"/>
    </row>
    <row r="193" spans="17:18">
      <c r="Q193" s="1032"/>
      <c r="R193" s="1032"/>
    </row>
    <row r="194" spans="17:18">
      <c r="Q194" s="1032"/>
      <c r="R194" s="1032"/>
    </row>
    <row r="195" spans="17:18">
      <c r="Q195" s="1032"/>
      <c r="R195" s="1032"/>
    </row>
    <row r="196" spans="17:18">
      <c r="Q196" s="1032"/>
      <c r="R196" s="1032"/>
    </row>
    <row r="197" spans="17:18">
      <c r="Q197" s="1032"/>
      <c r="R197" s="1032"/>
    </row>
    <row r="198" spans="17:18">
      <c r="Q198" s="1032"/>
      <c r="R198" s="1032"/>
    </row>
    <row r="199" spans="17:18">
      <c r="Q199" s="1032"/>
      <c r="R199" s="1032"/>
    </row>
    <row r="200" spans="17:18">
      <c r="Q200" s="1032"/>
      <c r="R200" s="1032"/>
    </row>
    <row r="201" spans="17:18">
      <c r="Q201" s="1032"/>
      <c r="R201" s="1032"/>
    </row>
    <row r="202" spans="17:18">
      <c r="Q202" s="1032"/>
      <c r="R202" s="1032"/>
    </row>
    <row r="203" spans="17:18">
      <c r="Q203" s="1032"/>
      <c r="R203" s="1032"/>
    </row>
    <row r="204" spans="17:18">
      <c r="Q204" s="1032"/>
      <c r="R204" s="1032"/>
    </row>
    <row r="205" spans="17:18">
      <c r="Q205" s="1032"/>
      <c r="R205" s="1032"/>
    </row>
    <row r="206" spans="17:18">
      <c r="Q206" s="1032"/>
      <c r="R206" s="1032"/>
    </row>
    <row r="207" spans="17:18">
      <c r="Q207" s="1032"/>
      <c r="R207" s="1032"/>
    </row>
    <row r="208" spans="17:18">
      <c r="Q208" s="1032"/>
      <c r="R208" s="1032"/>
    </row>
    <row r="209" spans="17:18">
      <c r="Q209" s="1032"/>
      <c r="R209" s="1032"/>
    </row>
    <row r="210" spans="17:18">
      <c r="Q210" s="1032"/>
      <c r="R210" s="1032"/>
    </row>
    <row r="211" spans="17:18">
      <c r="Q211" s="1032"/>
      <c r="R211" s="1032"/>
    </row>
    <row r="212" spans="17:18">
      <c r="Q212" s="1032"/>
      <c r="R212" s="1032"/>
    </row>
    <row r="213" spans="17:18">
      <c r="Q213" s="1032"/>
      <c r="R213" s="1032"/>
    </row>
    <row r="214" spans="17:18">
      <c r="Q214" s="1032"/>
      <c r="R214" s="1032"/>
    </row>
    <row r="215" spans="17:18">
      <c r="Q215" s="1032"/>
      <c r="R215" s="1032"/>
    </row>
    <row r="216" spans="17:18">
      <c r="Q216" s="1032"/>
      <c r="R216" s="1032"/>
    </row>
    <row r="217" spans="17:18">
      <c r="Q217" s="1032"/>
      <c r="R217" s="1032"/>
    </row>
    <row r="218" spans="17:18">
      <c r="Q218" s="1032"/>
      <c r="R218" s="1032"/>
    </row>
    <row r="219" spans="17:18">
      <c r="Q219" s="1032"/>
      <c r="R219" s="1032"/>
    </row>
    <row r="220" spans="17:18">
      <c r="Q220" s="1032"/>
      <c r="R220" s="1032"/>
    </row>
    <row r="221" spans="17:18">
      <c r="Q221" s="1032"/>
      <c r="R221" s="1032"/>
    </row>
    <row r="222" spans="17:18">
      <c r="Q222" s="1032"/>
      <c r="R222" s="1032"/>
    </row>
    <row r="223" spans="17:18">
      <c r="Q223" s="1032"/>
      <c r="R223" s="1032"/>
    </row>
    <row r="224" spans="17:18">
      <c r="Q224" s="1032"/>
      <c r="R224" s="1032"/>
    </row>
    <row r="225" spans="17:18">
      <c r="Q225" s="1032"/>
      <c r="R225" s="1032"/>
    </row>
    <row r="226" spans="17:18">
      <c r="Q226" s="1032"/>
      <c r="R226" s="1032"/>
    </row>
    <row r="227" spans="17:18">
      <c r="Q227" s="1032"/>
      <c r="R227" s="1032"/>
    </row>
    <row r="228" spans="17:18">
      <c r="Q228" s="1032"/>
      <c r="R228" s="1032"/>
    </row>
    <row r="229" spans="17:18">
      <c r="Q229" s="1032"/>
      <c r="R229" s="1032"/>
    </row>
    <row r="230" spans="17:18">
      <c r="Q230" s="1032"/>
      <c r="R230" s="1032"/>
    </row>
    <row r="231" spans="17:18">
      <c r="Q231" s="1032"/>
      <c r="R231" s="1032"/>
    </row>
    <row r="232" spans="17:18">
      <c r="Q232" s="1032"/>
      <c r="R232" s="1032"/>
    </row>
    <row r="233" spans="17:18">
      <c r="Q233" s="1032"/>
      <c r="R233" s="1032"/>
    </row>
    <row r="234" spans="17:18">
      <c r="Q234" s="1032"/>
      <c r="R234" s="1032"/>
    </row>
    <row r="235" spans="17:18">
      <c r="Q235" s="1032"/>
      <c r="R235" s="1032"/>
    </row>
    <row r="236" spans="17:18">
      <c r="Q236" s="1032"/>
      <c r="R236" s="1032"/>
    </row>
    <row r="237" spans="17:18">
      <c r="Q237" s="1032"/>
      <c r="R237" s="1032"/>
    </row>
    <row r="238" spans="17:18">
      <c r="Q238" s="1032"/>
      <c r="R238" s="1032"/>
    </row>
    <row r="239" spans="17:18">
      <c r="Q239" s="1032"/>
      <c r="R239" s="1032"/>
    </row>
    <row r="240" spans="17:18">
      <c r="Q240" s="1032"/>
      <c r="R240" s="1032"/>
    </row>
    <row r="241" spans="17:18">
      <c r="Q241" s="1032"/>
      <c r="R241" s="1032"/>
    </row>
    <row r="242" spans="17:18">
      <c r="Q242" s="1032"/>
      <c r="R242" s="1032"/>
    </row>
    <row r="243" spans="17:18">
      <c r="Q243" s="1032"/>
      <c r="R243" s="1032"/>
    </row>
    <row r="244" spans="17:18">
      <c r="Q244" s="1032"/>
      <c r="R244" s="1032"/>
    </row>
    <row r="245" spans="17:18">
      <c r="Q245" s="1032"/>
      <c r="R245" s="1032"/>
    </row>
    <row r="246" spans="17:18">
      <c r="Q246" s="1032"/>
      <c r="R246" s="1032"/>
    </row>
    <row r="247" spans="17:18">
      <c r="Q247" s="1032"/>
      <c r="R247" s="1032"/>
    </row>
    <row r="248" spans="17:18">
      <c r="Q248" s="1032"/>
      <c r="R248" s="1032"/>
    </row>
    <row r="249" spans="17:18">
      <c r="Q249" s="1032"/>
      <c r="R249" s="1032"/>
    </row>
    <row r="250" spans="17:18">
      <c r="Q250" s="1032"/>
      <c r="R250" s="1032"/>
    </row>
    <row r="251" spans="17:18">
      <c r="Q251" s="1032"/>
      <c r="R251" s="1032"/>
    </row>
    <row r="252" spans="17:18">
      <c r="Q252" s="1032"/>
      <c r="R252" s="1032"/>
    </row>
    <row r="253" spans="17:18">
      <c r="Q253" s="1032"/>
      <c r="R253" s="1032"/>
    </row>
    <row r="254" spans="17:18">
      <c r="Q254" s="1032"/>
      <c r="R254" s="1032"/>
    </row>
    <row r="255" spans="17:18">
      <c r="Q255" s="1032"/>
      <c r="R255" s="1032"/>
    </row>
    <row r="256" spans="17:18">
      <c r="Q256" s="1032"/>
      <c r="R256" s="1032"/>
    </row>
    <row r="257" spans="17:18">
      <c r="Q257" s="1032"/>
      <c r="R257" s="1032"/>
    </row>
    <row r="258" spans="17:18">
      <c r="Q258" s="1032"/>
      <c r="R258" s="1032"/>
    </row>
    <row r="259" spans="17:18">
      <c r="Q259" s="1032"/>
      <c r="R259" s="1032"/>
    </row>
    <row r="260" spans="17:18">
      <c r="Q260" s="1032"/>
      <c r="R260" s="1032"/>
    </row>
    <row r="261" spans="17:18">
      <c r="Q261" s="1032"/>
      <c r="R261" s="1032"/>
    </row>
    <row r="262" spans="17:18">
      <c r="Q262" s="1032"/>
      <c r="R262" s="1032"/>
    </row>
    <row r="263" spans="17:18">
      <c r="Q263" s="1032"/>
      <c r="R263" s="1032"/>
    </row>
    <row r="264" spans="17:18">
      <c r="Q264" s="1032"/>
      <c r="R264" s="1032"/>
    </row>
    <row r="265" spans="17:18">
      <c r="Q265" s="1032"/>
      <c r="R265" s="1032"/>
    </row>
    <row r="266" spans="17:18">
      <c r="Q266" s="1032"/>
      <c r="R266" s="1032"/>
    </row>
    <row r="267" spans="17:18">
      <c r="Q267" s="1032"/>
      <c r="R267" s="1032"/>
    </row>
    <row r="268" spans="17:18">
      <c r="Q268" s="1032"/>
      <c r="R268" s="1032"/>
    </row>
    <row r="269" spans="17:18">
      <c r="Q269" s="1032"/>
      <c r="R269" s="1032"/>
    </row>
    <row r="270" spans="17:18">
      <c r="Q270" s="1032"/>
      <c r="R270" s="1032"/>
    </row>
    <row r="271" spans="17:18">
      <c r="Q271" s="1032"/>
      <c r="R271" s="1032"/>
    </row>
    <row r="272" spans="17:18">
      <c r="Q272" s="1032"/>
      <c r="R272" s="1032"/>
    </row>
    <row r="273" spans="17:18">
      <c r="Q273" s="1032"/>
      <c r="R273" s="1032"/>
    </row>
    <row r="274" spans="17:18">
      <c r="Q274" s="1032"/>
      <c r="R274" s="1032"/>
    </row>
    <row r="275" spans="17:18">
      <c r="Q275" s="1032"/>
      <c r="R275" s="1032"/>
    </row>
    <row r="276" spans="17:18">
      <c r="Q276" s="1032"/>
      <c r="R276" s="1032"/>
    </row>
    <row r="277" spans="17:18">
      <c r="Q277" s="1032"/>
      <c r="R277" s="1032"/>
    </row>
    <row r="278" spans="17:18">
      <c r="Q278" s="1032"/>
      <c r="R278" s="1032"/>
    </row>
    <row r="279" spans="17:18">
      <c r="Q279" s="1032"/>
      <c r="R279" s="1032"/>
    </row>
    <row r="280" spans="17:18">
      <c r="Q280" s="1032"/>
      <c r="R280" s="1032"/>
    </row>
    <row r="281" spans="17:18">
      <c r="Q281" s="1032"/>
      <c r="R281" s="1032"/>
    </row>
    <row r="282" spans="17:18">
      <c r="Q282" s="1032"/>
      <c r="R282" s="1032"/>
    </row>
    <row r="283" spans="17:18">
      <c r="Q283" s="1032"/>
      <c r="R283" s="1032"/>
    </row>
    <row r="284" spans="17:18">
      <c r="Q284" s="1032"/>
      <c r="R284" s="1032"/>
    </row>
    <row r="285" spans="17:18">
      <c r="Q285" s="1032"/>
      <c r="R285" s="1032"/>
    </row>
    <row r="286" spans="17:18">
      <c r="Q286" s="1032"/>
      <c r="R286" s="1032"/>
    </row>
    <row r="287" spans="17:18">
      <c r="Q287" s="1032"/>
      <c r="R287" s="1032"/>
    </row>
    <row r="288" spans="17:18">
      <c r="Q288" s="1032"/>
      <c r="R288" s="1032"/>
    </row>
    <row r="289" spans="17:18">
      <c r="Q289" s="1032"/>
      <c r="R289" s="1032"/>
    </row>
    <row r="290" spans="17:18">
      <c r="Q290" s="1032"/>
      <c r="R290" s="1032"/>
    </row>
    <row r="291" spans="17:18">
      <c r="Q291" s="1032"/>
      <c r="R291" s="1032"/>
    </row>
    <row r="292" spans="17:18">
      <c r="Q292" s="1032"/>
      <c r="R292" s="1032"/>
    </row>
    <row r="293" spans="17:18">
      <c r="Q293" s="1032"/>
      <c r="R293" s="1032"/>
    </row>
    <row r="294" spans="17:18">
      <c r="Q294" s="1032"/>
      <c r="R294" s="1032"/>
    </row>
    <row r="295" spans="17:18">
      <c r="Q295" s="1032"/>
      <c r="R295" s="1032"/>
    </row>
    <row r="296" spans="17:18">
      <c r="Q296" s="1032"/>
      <c r="R296" s="1032"/>
    </row>
    <row r="297" spans="17:18">
      <c r="Q297" s="1032"/>
      <c r="R297" s="1032"/>
    </row>
    <row r="298" spans="17:18">
      <c r="Q298" s="1032"/>
      <c r="R298" s="1032"/>
    </row>
    <row r="299" spans="17:18">
      <c r="Q299" s="1032"/>
      <c r="R299" s="1032"/>
    </row>
    <row r="300" spans="17:18">
      <c r="Q300" s="1032"/>
      <c r="R300" s="1032"/>
    </row>
    <row r="301" spans="17:18">
      <c r="Q301" s="1032"/>
      <c r="R301" s="1032"/>
    </row>
    <row r="302" spans="17:18">
      <c r="Q302" s="1032"/>
      <c r="R302" s="1032"/>
    </row>
    <row r="303" spans="17:18">
      <c r="Q303" s="1032"/>
      <c r="R303" s="1032"/>
    </row>
    <row r="304" spans="17:18">
      <c r="Q304" s="1032"/>
      <c r="R304" s="1032"/>
    </row>
    <row r="305" spans="17:18">
      <c r="Q305" s="1032"/>
      <c r="R305" s="1032"/>
    </row>
    <row r="306" spans="17:18">
      <c r="Q306" s="1032"/>
      <c r="R306" s="1032"/>
    </row>
    <row r="307" spans="17:18">
      <c r="Q307" s="1032"/>
      <c r="R307" s="1032"/>
    </row>
    <row r="308" spans="17:18">
      <c r="Q308" s="1032"/>
      <c r="R308" s="1032"/>
    </row>
    <row r="309" spans="17:18">
      <c r="Q309" s="1032"/>
      <c r="R309" s="1032"/>
    </row>
    <row r="310" spans="17:18">
      <c r="Q310" s="1032"/>
      <c r="R310" s="1032"/>
    </row>
    <row r="311" spans="17:18">
      <c r="Q311" s="1032"/>
      <c r="R311" s="1032"/>
    </row>
    <row r="312" spans="17:18">
      <c r="Q312" s="1032"/>
      <c r="R312" s="1032"/>
    </row>
    <row r="313" spans="17:18">
      <c r="Q313" s="1032"/>
      <c r="R313" s="1032"/>
    </row>
    <row r="314" spans="17:18">
      <c r="Q314" s="1032"/>
      <c r="R314" s="1032"/>
    </row>
    <row r="315" spans="17:18">
      <c r="Q315" s="1032"/>
      <c r="R315" s="1032"/>
    </row>
    <row r="316" spans="17:18">
      <c r="Q316" s="1032"/>
      <c r="R316" s="1032"/>
    </row>
    <row r="317" spans="17:18">
      <c r="Q317" s="1032"/>
      <c r="R317" s="1032"/>
    </row>
    <row r="318" spans="17:18">
      <c r="Q318" s="1032"/>
      <c r="R318" s="1032"/>
    </row>
    <row r="319" spans="17:18">
      <c r="Q319" s="1032"/>
      <c r="R319" s="1032"/>
    </row>
    <row r="320" spans="17:18">
      <c r="Q320" s="1032"/>
      <c r="R320" s="1032"/>
    </row>
    <row r="321" spans="17:18">
      <c r="Q321" s="1032"/>
      <c r="R321" s="1032"/>
    </row>
    <row r="322" spans="17:18">
      <c r="Q322" s="1032"/>
      <c r="R322" s="1032"/>
    </row>
    <row r="323" spans="17:18">
      <c r="Q323" s="1032"/>
      <c r="R323" s="1032"/>
    </row>
    <row r="324" spans="17:18">
      <c r="Q324" s="1032"/>
      <c r="R324" s="1032"/>
    </row>
    <row r="325" spans="17:18">
      <c r="Q325" s="1032"/>
      <c r="R325" s="1032"/>
    </row>
    <row r="326" spans="17:18">
      <c r="Q326" s="1032"/>
      <c r="R326" s="1032"/>
    </row>
    <row r="327" spans="17:18">
      <c r="Q327" s="1032"/>
      <c r="R327" s="1032"/>
    </row>
    <row r="328" spans="17:18">
      <c r="Q328" s="1032"/>
      <c r="R328" s="1032"/>
    </row>
    <row r="329" spans="17:18">
      <c r="Q329" s="1032"/>
      <c r="R329" s="1032"/>
    </row>
    <row r="330" spans="17:18">
      <c r="Q330" s="1032"/>
      <c r="R330" s="1032"/>
    </row>
    <row r="331" spans="17:18">
      <c r="Q331" s="1032"/>
      <c r="R331" s="1032"/>
    </row>
    <row r="332" spans="17:18">
      <c r="Q332" s="1032"/>
      <c r="R332" s="1032"/>
    </row>
    <row r="333" spans="17:18">
      <c r="Q333" s="1032"/>
      <c r="R333" s="1032"/>
    </row>
    <row r="334" spans="17:18">
      <c r="Q334" s="1032"/>
      <c r="R334" s="1032"/>
    </row>
    <row r="335" spans="17:18">
      <c r="Q335" s="1032"/>
      <c r="R335" s="1032"/>
    </row>
    <row r="336" spans="17:18">
      <c r="Q336" s="1032"/>
      <c r="R336" s="1032"/>
    </row>
    <row r="337" spans="17:18">
      <c r="Q337" s="1032"/>
      <c r="R337" s="1032"/>
    </row>
    <row r="338" spans="17:18">
      <c r="Q338" s="1032"/>
      <c r="R338" s="1032"/>
    </row>
    <row r="339" spans="17:18">
      <c r="Q339" s="1032"/>
      <c r="R339" s="1032"/>
    </row>
    <row r="340" spans="17:18">
      <c r="Q340" s="1032"/>
      <c r="R340" s="1032"/>
    </row>
    <row r="341" spans="17:18">
      <c r="Q341" s="1032"/>
      <c r="R341" s="1032"/>
    </row>
    <row r="342" spans="17:18">
      <c r="Q342" s="1032"/>
      <c r="R342" s="1032"/>
    </row>
    <row r="343" spans="17:18">
      <c r="Q343" s="1032"/>
      <c r="R343" s="1032"/>
    </row>
    <row r="344" spans="17:18">
      <c r="Q344" s="1032"/>
      <c r="R344" s="1032"/>
    </row>
    <row r="345" spans="17:18">
      <c r="Q345" s="1032"/>
      <c r="R345" s="1032"/>
    </row>
    <row r="346" spans="17:18">
      <c r="Q346" s="1032"/>
      <c r="R346" s="1032"/>
    </row>
    <row r="347" spans="17:18">
      <c r="Q347" s="1032"/>
      <c r="R347" s="1032"/>
    </row>
    <row r="348" spans="17:18">
      <c r="Q348" s="1032"/>
      <c r="R348" s="1032"/>
    </row>
    <row r="349" spans="17:18">
      <c r="Q349" s="1032"/>
      <c r="R349" s="1032"/>
    </row>
    <row r="350" spans="17:18">
      <c r="Q350" s="1032"/>
      <c r="R350" s="1032"/>
    </row>
    <row r="351" spans="17:18">
      <c r="Q351" s="1032"/>
      <c r="R351" s="1032"/>
    </row>
    <row r="352" spans="17:18">
      <c r="Q352" s="1032"/>
      <c r="R352" s="1032"/>
    </row>
    <row r="353" spans="17:18">
      <c r="Q353" s="1032"/>
      <c r="R353" s="1032"/>
    </row>
    <row r="354" spans="17:18">
      <c r="Q354" s="1032"/>
      <c r="R354" s="1032"/>
    </row>
    <row r="355" spans="17:18">
      <c r="Q355" s="1032"/>
      <c r="R355" s="1032"/>
    </row>
    <row r="356" spans="17:18">
      <c r="Q356" s="1032"/>
      <c r="R356" s="1032"/>
    </row>
    <row r="357" spans="17:18">
      <c r="Q357" s="1032"/>
      <c r="R357" s="1032"/>
    </row>
    <row r="358" spans="17:18">
      <c r="Q358" s="1032"/>
      <c r="R358" s="1032"/>
    </row>
    <row r="359" spans="17:18">
      <c r="Q359" s="1032"/>
      <c r="R359" s="1032"/>
    </row>
    <row r="360" spans="17:18">
      <c r="Q360" s="1032"/>
      <c r="R360" s="1032"/>
    </row>
    <row r="361" spans="17:18">
      <c r="Q361" s="1032"/>
      <c r="R361" s="1032"/>
    </row>
    <row r="362" spans="17:18">
      <c r="Q362" s="1032"/>
      <c r="R362" s="1032"/>
    </row>
    <row r="363" spans="17:18">
      <c r="Q363" s="1032"/>
      <c r="R363" s="1032"/>
    </row>
    <row r="364" spans="17:18">
      <c r="Q364" s="1032"/>
      <c r="R364" s="1032"/>
    </row>
    <row r="365" spans="17:18">
      <c r="Q365" s="1032"/>
      <c r="R365" s="1032"/>
    </row>
    <row r="366" spans="17:18">
      <c r="Q366" s="1032"/>
      <c r="R366" s="1032"/>
    </row>
    <row r="367" spans="17:18">
      <c r="Q367" s="1032"/>
      <c r="R367" s="1032"/>
    </row>
    <row r="368" spans="17:18">
      <c r="Q368" s="1032"/>
      <c r="R368" s="1032"/>
    </row>
    <row r="369" spans="17:18">
      <c r="Q369" s="1032"/>
      <c r="R369" s="1032"/>
    </row>
    <row r="370" spans="17:18">
      <c r="Q370" s="1032"/>
      <c r="R370" s="1032"/>
    </row>
    <row r="371" spans="17:18">
      <c r="Q371" s="1032"/>
      <c r="R371" s="1032"/>
    </row>
    <row r="372" spans="17:18">
      <c r="Q372" s="1032"/>
      <c r="R372" s="1032"/>
    </row>
    <row r="373" spans="17:18">
      <c r="Q373" s="1032"/>
      <c r="R373" s="1032"/>
    </row>
    <row r="374" spans="17:18">
      <c r="Q374" s="1032"/>
      <c r="R374" s="1032"/>
    </row>
    <row r="375" spans="17:18">
      <c r="Q375" s="1032"/>
      <c r="R375" s="1032"/>
    </row>
    <row r="376" spans="17:18">
      <c r="Q376" s="1032"/>
      <c r="R376" s="1032"/>
    </row>
    <row r="377" spans="17:18">
      <c r="Q377" s="1032"/>
      <c r="R377" s="1032"/>
    </row>
    <row r="378" spans="17:18">
      <c r="Q378" s="1032"/>
      <c r="R378" s="1032"/>
    </row>
    <row r="379" spans="17:18">
      <c r="Q379" s="1032"/>
      <c r="R379" s="1032"/>
    </row>
    <row r="380" spans="17:18">
      <c r="Q380" s="1032"/>
      <c r="R380" s="1032"/>
    </row>
    <row r="381" spans="17:18">
      <c r="Q381" s="1032"/>
      <c r="R381" s="1032"/>
    </row>
    <row r="382" spans="17:18">
      <c r="Q382" s="1032"/>
      <c r="R382" s="1032"/>
    </row>
    <row r="383" spans="17:18">
      <c r="Q383" s="1032"/>
      <c r="R383" s="1032"/>
    </row>
    <row r="384" spans="17:18">
      <c r="Q384" s="1032"/>
      <c r="R384" s="1032"/>
    </row>
    <row r="385" spans="17:18">
      <c r="Q385" s="1032"/>
      <c r="R385" s="1032"/>
    </row>
    <row r="386" spans="17:18">
      <c r="Q386" s="1032"/>
      <c r="R386" s="1032"/>
    </row>
    <row r="387" spans="17:18">
      <c r="Q387" s="1032"/>
      <c r="R387" s="1032"/>
    </row>
    <row r="388" spans="17:18">
      <c r="Q388" s="1032"/>
      <c r="R388" s="1032"/>
    </row>
    <row r="389" spans="17:18">
      <c r="Q389" s="1032"/>
      <c r="R389" s="1032"/>
    </row>
    <row r="390" spans="17:18">
      <c r="Q390" s="1032"/>
      <c r="R390" s="1032"/>
    </row>
    <row r="391" spans="17:18">
      <c r="Q391" s="1032"/>
      <c r="R391" s="1032"/>
    </row>
    <row r="392" spans="17:18">
      <c r="Q392" s="1032"/>
      <c r="R392" s="1032"/>
    </row>
    <row r="393" spans="17:18">
      <c r="Q393" s="1032"/>
      <c r="R393" s="1032"/>
    </row>
    <row r="394" spans="17:18">
      <c r="Q394" s="1032"/>
      <c r="R394" s="1032"/>
    </row>
    <row r="395" spans="17:18">
      <c r="Q395" s="1032"/>
      <c r="R395" s="1032"/>
    </row>
    <row r="396" spans="17:18">
      <c r="Q396" s="1032"/>
      <c r="R396" s="1032"/>
    </row>
    <row r="397" spans="17:18">
      <c r="Q397" s="1032"/>
      <c r="R397" s="1032"/>
    </row>
    <row r="398" spans="17:18">
      <c r="Q398" s="1032"/>
      <c r="R398" s="1032"/>
    </row>
    <row r="399" spans="17:18">
      <c r="Q399" s="1032"/>
      <c r="R399" s="1032"/>
    </row>
    <row r="400" spans="17:18">
      <c r="Q400" s="1032"/>
      <c r="R400" s="1032"/>
    </row>
    <row r="401" spans="17:18">
      <c r="Q401" s="1032"/>
      <c r="R401" s="1032"/>
    </row>
    <row r="402" spans="17:18">
      <c r="Q402" s="1032"/>
      <c r="R402" s="1032"/>
    </row>
    <row r="403" spans="17:18">
      <c r="Q403" s="1032"/>
      <c r="R403" s="1032"/>
    </row>
    <row r="404" spans="17:18">
      <c r="Q404" s="1032"/>
      <c r="R404" s="1032"/>
    </row>
    <row r="405" spans="17:18">
      <c r="Q405" s="1032"/>
      <c r="R405" s="1032"/>
    </row>
    <row r="406" spans="17:18">
      <c r="Q406" s="1032"/>
      <c r="R406" s="1032"/>
    </row>
    <row r="407" spans="17:18">
      <c r="Q407" s="1032"/>
      <c r="R407" s="1032"/>
    </row>
    <row r="408" spans="17:18">
      <c r="Q408" s="1032"/>
      <c r="R408" s="1032"/>
    </row>
    <row r="409" spans="17:18">
      <c r="Q409" s="1032"/>
      <c r="R409" s="1032"/>
    </row>
    <row r="410" spans="17:18">
      <c r="Q410" s="1032"/>
      <c r="R410" s="1032"/>
    </row>
    <row r="411" spans="17:18">
      <c r="Q411" s="1032"/>
      <c r="R411" s="1032"/>
    </row>
    <row r="412" spans="17:18">
      <c r="Q412" s="1032"/>
      <c r="R412" s="1032"/>
    </row>
    <row r="413" spans="17:18">
      <c r="Q413" s="1032"/>
      <c r="R413" s="1032"/>
    </row>
    <row r="414" spans="17:18">
      <c r="Q414" s="1032"/>
      <c r="R414" s="1032"/>
    </row>
    <row r="415" spans="17:18">
      <c r="Q415" s="1032"/>
      <c r="R415" s="1032"/>
    </row>
    <row r="416" spans="17:18">
      <c r="Q416" s="1032"/>
      <c r="R416" s="1032"/>
    </row>
    <row r="417" spans="17:18">
      <c r="Q417" s="1032"/>
      <c r="R417" s="1032"/>
    </row>
    <row r="418" spans="17:18">
      <c r="Q418" s="1032"/>
      <c r="R418" s="1032"/>
    </row>
    <row r="419" spans="17:18">
      <c r="Q419" s="1032"/>
      <c r="R419" s="1032"/>
    </row>
    <row r="420" spans="17:18">
      <c r="Q420" s="1032"/>
      <c r="R420" s="1032"/>
    </row>
    <row r="421" spans="17:18">
      <c r="Q421" s="1032"/>
      <c r="R421" s="1032"/>
    </row>
    <row r="422" spans="17:18">
      <c r="Q422" s="1032"/>
      <c r="R422" s="1032"/>
    </row>
    <row r="423" spans="17:18">
      <c r="Q423" s="1032"/>
      <c r="R423" s="1032"/>
    </row>
    <row r="424" spans="17:18">
      <c r="Q424" s="1032"/>
      <c r="R424" s="1032"/>
    </row>
    <row r="425" spans="17:18">
      <c r="Q425" s="1032"/>
      <c r="R425" s="1032"/>
    </row>
    <row r="426" spans="17:18">
      <c r="Q426" s="1032"/>
      <c r="R426" s="1032"/>
    </row>
    <row r="427" spans="17:18">
      <c r="Q427" s="1032"/>
      <c r="R427" s="1032"/>
    </row>
    <row r="428" spans="17:18">
      <c r="Q428" s="1032"/>
      <c r="R428" s="1032"/>
    </row>
    <row r="429" spans="17:18">
      <c r="Q429" s="1032"/>
      <c r="R429" s="1032"/>
    </row>
    <row r="430" spans="17:18">
      <c r="Q430" s="1032"/>
      <c r="R430" s="1032"/>
    </row>
    <row r="431" spans="17:18">
      <c r="Q431" s="1032"/>
      <c r="R431" s="1032"/>
    </row>
    <row r="432" spans="17:18">
      <c r="Q432" s="1032"/>
      <c r="R432" s="1032"/>
    </row>
    <row r="433" spans="17:18">
      <c r="Q433" s="1032"/>
      <c r="R433" s="1032"/>
    </row>
    <row r="434" spans="17:18">
      <c r="Q434" s="1032"/>
      <c r="R434" s="1032"/>
    </row>
    <row r="435" spans="17:18">
      <c r="Q435" s="1032"/>
      <c r="R435" s="1032"/>
    </row>
    <row r="436" spans="17:18">
      <c r="Q436" s="1032"/>
      <c r="R436" s="1032"/>
    </row>
    <row r="437" spans="17:18">
      <c r="Q437" s="1032"/>
      <c r="R437" s="1032"/>
    </row>
    <row r="438" spans="17:18">
      <c r="Q438" s="1032"/>
      <c r="R438" s="1032"/>
    </row>
    <row r="439" spans="17:18">
      <c r="Q439" s="1032"/>
      <c r="R439" s="1032"/>
    </row>
    <row r="440" spans="17:18">
      <c r="Q440" s="1032"/>
      <c r="R440" s="1032"/>
    </row>
    <row r="441" spans="17:18">
      <c r="Q441" s="1032"/>
      <c r="R441" s="1032"/>
    </row>
    <row r="442" spans="17:18">
      <c r="Q442" s="1032"/>
      <c r="R442" s="1032"/>
    </row>
    <row r="443" spans="17:18">
      <c r="Q443" s="1032"/>
      <c r="R443" s="1032"/>
    </row>
    <row r="444" spans="17:18">
      <c r="Q444" s="1032"/>
      <c r="R444" s="1032"/>
    </row>
    <row r="445" spans="17:18">
      <c r="Q445" s="1032"/>
      <c r="R445" s="1032"/>
    </row>
    <row r="446" spans="17:18">
      <c r="Q446" s="1032"/>
      <c r="R446" s="1032"/>
    </row>
    <row r="447" spans="17:18">
      <c r="Q447" s="1032"/>
      <c r="R447" s="1032"/>
    </row>
    <row r="448" spans="17:18">
      <c r="Q448" s="1032"/>
      <c r="R448" s="1032"/>
    </row>
    <row r="449" spans="17:18">
      <c r="Q449" s="1032"/>
      <c r="R449" s="1032"/>
    </row>
    <row r="450" spans="17:18">
      <c r="Q450" s="1032"/>
      <c r="R450" s="1032"/>
    </row>
    <row r="451" spans="17:18">
      <c r="Q451" s="1032"/>
      <c r="R451" s="1032"/>
    </row>
    <row r="452" spans="17:18">
      <c r="Q452" s="1032"/>
      <c r="R452" s="1032"/>
    </row>
    <row r="453" spans="17:18">
      <c r="Q453" s="1032"/>
      <c r="R453" s="1032"/>
    </row>
    <row r="454" spans="17:18">
      <c r="Q454" s="1032"/>
      <c r="R454" s="1032"/>
    </row>
    <row r="455" spans="17:18">
      <c r="Q455" s="1032"/>
      <c r="R455" s="1032"/>
    </row>
    <row r="456" spans="17:18">
      <c r="Q456" s="1032"/>
      <c r="R456" s="1032"/>
    </row>
    <row r="457" spans="17:18">
      <c r="Q457" s="1032"/>
      <c r="R457" s="1032"/>
    </row>
    <row r="458" spans="17:18">
      <c r="Q458" s="1032"/>
      <c r="R458" s="1032"/>
    </row>
    <row r="459" spans="17:18">
      <c r="Q459" s="1032"/>
      <c r="R459" s="1032"/>
    </row>
    <row r="460" spans="17:18">
      <c r="Q460" s="1032"/>
      <c r="R460" s="1032"/>
    </row>
    <row r="461" spans="17:18">
      <c r="Q461" s="1032"/>
      <c r="R461" s="1032"/>
    </row>
    <row r="462" spans="17:18">
      <c r="Q462" s="1032"/>
      <c r="R462" s="1032"/>
    </row>
    <row r="463" spans="17:18">
      <c r="Q463" s="1032"/>
      <c r="R463" s="1032"/>
    </row>
    <row r="464" spans="17:18">
      <c r="Q464" s="1032"/>
      <c r="R464" s="1032"/>
    </row>
    <row r="465" spans="17:18">
      <c r="Q465" s="1032"/>
      <c r="R465" s="1032"/>
    </row>
    <row r="466" spans="17:18">
      <c r="Q466" s="1032"/>
      <c r="R466" s="1032"/>
    </row>
    <row r="467" spans="17:18">
      <c r="Q467" s="1032"/>
      <c r="R467" s="1032"/>
    </row>
    <row r="468" spans="17:18">
      <c r="Q468" s="1032"/>
      <c r="R468" s="1032"/>
    </row>
    <row r="469" spans="17:18">
      <c r="Q469" s="1032"/>
      <c r="R469" s="1032"/>
    </row>
    <row r="470" spans="17:18">
      <c r="Q470" s="1032"/>
      <c r="R470" s="1032"/>
    </row>
    <row r="471" spans="17:18">
      <c r="Q471" s="1032"/>
      <c r="R471" s="1032"/>
    </row>
    <row r="472" spans="17:18">
      <c r="Q472" s="1032"/>
      <c r="R472" s="1032"/>
    </row>
    <row r="473" spans="17:18">
      <c r="Q473" s="1032"/>
      <c r="R473" s="1032"/>
    </row>
    <row r="474" spans="17:18">
      <c r="Q474" s="1032"/>
      <c r="R474" s="1032"/>
    </row>
    <row r="475" spans="17:18">
      <c r="Q475" s="1032"/>
      <c r="R475" s="1032"/>
    </row>
    <row r="476" spans="17:18">
      <c r="Q476" s="1032"/>
      <c r="R476" s="1032"/>
    </row>
    <row r="477" spans="17:18">
      <c r="Q477" s="1032"/>
      <c r="R477" s="1032"/>
    </row>
    <row r="478" spans="17:18">
      <c r="Q478" s="1032"/>
      <c r="R478" s="1032"/>
    </row>
    <row r="479" spans="17:18">
      <c r="Q479" s="1032"/>
      <c r="R479" s="1032"/>
    </row>
    <row r="480" spans="17:18">
      <c r="Q480" s="1032"/>
      <c r="R480" s="1032"/>
    </row>
    <row r="481" spans="17:18">
      <c r="Q481" s="1032"/>
      <c r="R481" s="1032"/>
    </row>
    <row r="482" spans="17:18">
      <c r="Q482" s="1032"/>
      <c r="R482" s="1032"/>
    </row>
    <row r="483" spans="17:18">
      <c r="Q483" s="1032"/>
      <c r="R483" s="1032"/>
    </row>
    <row r="484" spans="17:18">
      <c r="Q484" s="1032"/>
      <c r="R484" s="1032"/>
    </row>
    <row r="485" spans="17:18">
      <c r="Q485" s="1032"/>
      <c r="R485" s="1032"/>
    </row>
    <row r="486" spans="17:18">
      <c r="Q486" s="1032"/>
      <c r="R486" s="1032"/>
    </row>
    <row r="487" spans="17:18">
      <c r="Q487" s="1032"/>
      <c r="R487" s="1032"/>
    </row>
    <row r="488" spans="17:18">
      <c r="Q488" s="1032"/>
      <c r="R488" s="1032"/>
    </row>
    <row r="489" spans="17:18">
      <c r="Q489" s="1032"/>
      <c r="R489" s="1032"/>
    </row>
    <row r="490" spans="17:18">
      <c r="Q490" s="1032"/>
      <c r="R490" s="1032"/>
    </row>
    <row r="491" spans="17:18">
      <c r="Q491" s="1032"/>
      <c r="R491" s="1032"/>
    </row>
    <row r="492" spans="17:18">
      <c r="Q492" s="1032"/>
      <c r="R492" s="1032"/>
    </row>
    <row r="493" spans="17:18">
      <c r="Q493" s="1032"/>
      <c r="R493" s="1032"/>
    </row>
    <row r="494" spans="17:18">
      <c r="Q494" s="1032"/>
      <c r="R494" s="1032"/>
    </row>
    <row r="495" spans="17:18">
      <c r="Q495" s="1032"/>
      <c r="R495" s="1032"/>
    </row>
    <row r="496" spans="17:18">
      <c r="Q496" s="1032"/>
      <c r="R496" s="1032"/>
    </row>
    <row r="497" spans="17:18">
      <c r="Q497" s="1032"/>
      <c r="R497" s="1032"/>
    </row>
    <row r="498" spans="17:18">
      <c r="Q498" s="1032"/>
      <c r="R498" s="1032"/>
    </row>
    <row r="499" spans="17:18">
      <c r="Q499" s="1032"/>
      <c r="R499" s="1032"/>
    </row>
    <row r="500" spans="17:18">
      <c r="Q500" s="1032"/>
      <c r="R500" s="1032"/>
    </row>
    <row r="501" spans="17:18">
      <c r="Q501" s="1032"/>
      <c r="R501" s="1032"/>
    </row>
    <row r="502" spans="17:18">
      <c r="Q502" s="1032"/>
      <c r="R502" s="1032"/>
    </row>
    <row r="503" spans="17:18">
      <c r="Q503" s="1032"/>
      <c r="R503" s="1032"/>
    </row>
    <row r="504" spans="17:18">
      <c r="Q504" s="1032"/>
      <c r="R504" s="1032"/>
    </row>
    <row r="505" spans="17:18">
      <c r="Q505" s="1032"/>
      <c r="R505" s="1032"/>
    </row>
    <row r="506" spans="17:18">
      <c r="Q506" s="1032"/>
      <c r="R506" s="1032"/>
    </row>
    <row r="507" spans="17:18">
      <c r="Q507" s="1032"/>
      <c r="R507" s="1032"/>
    </row>
    <row r="508" spans="17:18">
      <c r="Q508" s="1032"/>
      <c r="R508" s="1032"/>
    </row>
    <row r="509" spans="17:18">
      <c r="Q509" s="1032"/>
      <c r="R509" s="1032"/>
    </row>
    <row r="510" spans="17:18">
      <c r="Q510" s="1032"/>
      <c r="R510" s="1032"/>
    </row>
    <row r="511" spans="17:18">
      <c r="Q511" s="1032"/>
      <c r="R511" s="1032"/>
    </row>
    <row r="512" spans="17:18">
      <c r="Q512" s="1032"/>
      <c r="R512" s="1032"/>
    </row>
    <row r="513" spans="17:18">
      <c r="Q513" s="1032"/>
      <c r="R513" s="1032"/>
    </row>
    <row r="514" spans="17:18">
      <c r="Q514" s="1032"/>
      <c r="R514" s="1032"/>
    </row>
    <row r="515" spans="17:18">
      <c r="Q515" s="1032"/>
      <c r="R515" s="1032"/>
    </row>
    <row r="516" spans="17:18">
      <c r="Q516" s="1032"/>
      <c r="R516" s="1032"/>
    </row>
    <row r="517" spans="17:18">
      <c r="Q517" s="1032"/>
      <c r="R517" s="1032"/>
    </row>
    <row r="518" spans="17:18">
      <c r="Q518" s="1032"/>
      <c r="R518" s="1032"/>
    </row>
    <row r="519" spans="17:18">
      <c r="Q519" s="1032"/>
      <c r="R519" s="1032"/>
    </row>
    <row r="520" spans="17:18">
      <c r="Q520" s="1032"/>
      <c r="R520" s="1032"/>
    </row>
    <row r="521" spans="17:18">
      <c r="Q521" s="1032"/>
      <c r="R521" s="1032"/>
    </row>
    <row r="522" spans="17:18">
      <c r="Q522" s="1032"/>
      <c r="R522" s="1032"/>
    </row>
    <row r="523" spans="17:18">
      <c r="Q523" s="1032"/>
      <c r="R523" s="1032"/>
    </row>
    <row r="524" spans="17:18">
      <c r="Q524" s="1032"/>
      <c r="R524" s="1032"/>
    </row>
    <row r="525" spans="17:18">
      <c r="Q525" s="1032"/>
      <c r="R525" s="1032"/>
    </row>
    <row r="526" spans="17:18">
      <c r="Q526" s="1032"/>
      <c r="R526" s="1032"/>
    </row>
    <row r="527" spans="17:18">
      <c r="Q527" s="1032"/>
      <c r="R527" s="1032"/>
    </row>
    <row r="528" spans="17:18">
      <c r="Q528" s="1032"/>
      <c r="R528" s="1032"/>
    </row>
    <row r="529" spans="17:18">
      <c r="Q529" s="1032"/>
      <c r="R529" s="1032"/>
    </row>
    <row r="530" spans="17:18">
      <c r="Q530" s="1032"/>
      <c r="R530" s="1032"/>
    </row>
    <row r="531" spans="17:18">
      <c r="Q531" s="1032"/>
      <c r="R531" s="1032"/>
    </row>
    <row r="532" spans="17:18">
      <c r="Q532" s="1032"/>
      <c r="R532" s="1032"/>
    </row>
    <row r="533" spans="17:18">
      <c r="Q533" s="1032"/>
      <c r="R533" s="1032"/>
    </row>
    <row r="534" spans="17:18">
      <c r="Q534" s="1032"/>
      <c r="R534" s="1032"/>
    </row>
    <row r="535" spans="17:18">
      <c r="Q535" s="1032"/>
      <c r="R535" s="1032"/>
    </row>
    <row r="536" spans="17:18">
      <c r="Q536" s="1032"/>
      <c r="R536" s="1032"/>
    </row>
    <row r="537" spans="17:18">
      <c r="Q537" s="1032"/>
      <c r="R537" s="1032"/>
    </row>
    <row r="538" spans="17:18">
      <c r="Q538" s="1032"/>
      <c r="R538" s="1032"/>
    </row>
    <row r="539" spans="17:18">
      <c r="Q539" s="1032"/>
      <c r="R539" s="1032"/>
    </row>
    <row r="540" spans="17:18">
      <c r="Q540" s="1032"/>
      <c r="R540" s="1032"/>
    </row>
    <row r="541" spans="17:18">
      <c r="Q541" s="1032"/>
      <c r="R541" s="1032"/>
    </row>
    <row r="542" spans="17:18">
      <c r="Q542" s="1032"/>
      <c r="R542" s="1032"/>
    </row>
    <row r="543" spans="17:18">
      <c r="Q543" s="1032"/>
      <c r="R543" s="1032"/>
    </row>
    <row r="544" spans="17:18">
      <c r="Q544" s="1032"/>
      <c r="R544" s="1032"/>
    </row>
    <row r="545" spans="17:18">
      <c r="Q545" s="1032"/>
      <c r="R545" s="1032"/>
    </row>
    <row r="546" spans="17:18">
      <c r="Q546" s="1032"/>
      <c r="R546" s="1032"/>
    </row>
    <row r="547" spans="17:18">
      <c r="Q547" s="1032"/>
      <c r="R547" s="1032"/>
    </row>
    <row r="548" spans="17:18">
      <c r="Q548" s="1032"/>
      <c r="R548" s="1032"/>
    </row>
    <row r="549" spans="17:18">
      <c r="Q549" s="1032"/>
      <c r="R549" s="1032"/>
    </row>
    <row r="550" spans="17:18">
      <c r="Q550" s="1032"/>
      <c r="R550" s="1032"/>
    </row>
    <row r="551" spans="17:18">
      <c r="Q551" s="1032"/>
      <c r="R551" s="1032"/>
    </row>
    <row r="552" spans="17:18">
      <c r="Q552" s="1032"/>
      <c r="R552" s="1032"/>
    </row>
    <row r="553" spans="17:18">
      <c r="Q553" s="1032"/>
      <c r="R553" s="1032"/>
    </row>
    <row r="554" spans="17:18">
      <c r="Q554" s="1032"/>
      <c r="R554" s="1032"/>
    </row>
    <row r="555" spans="17:18">
      <c r="Q555" s="1032"/>
      <c r="R555" s="1032"/>
    </row>
    <row r="556" spans="17:18">
      <c r="Q556" s="1032"/>
      <c r="R556" s="1032"/>
    </row>
    <row r="557" spans="17:18">
      <c r="Q557" s="1032"/>
      <c r="R557" s="1032"/>
    </row>
    <row r="558" spans="17:18">
      <c r="Q558" s="1032"/>
      <c r="R558" s="1032"/>
    </row>
    <row r="559" spans="17:18">
      <c r="Q559" s="1032"/>
      <c r="R559" s="1032"/>
    </row>
    <row r="560" spans="17:18">
      <c r="Q560" s="1032"/>
      <c r="R560" s="1032"/>
    </row>
    <row r="561" spans="17:18">
      <c r="Q561" s="1032"/>
      <c r="R561" s="1032"/>
    </row>
    <row r="562" spans="17:18">
      <c r="Q562" s="1032"/>
      <c r="R562" s="1032"/>
    </row>
    <row r="563" spans="17:18">
      <c r="Q563" s="1032"/>
      <c r="R563" s="1032"/>
    </row>
    <row r="564" spans="17:18">
      <c r="Q564" s="1032"/>
      <c r="R564" s="1032"/>
    </row>
    <row r="565" spans="17:18">
      <c r="Q565" s="1032"/>
      <c r="R565" s="1032"/>
    </row>
    <row r="566" spans="17:18">
      <c r="Q566" s="1032"/>
      <c r="R566" s="1032"/>
    </row>
    <row r="567" spans="17:18">
      <c r="Q567" s="1032"/>
      <c r="R567" s="1032"/>
    </row>
    <row r="568" spans="17:18">
      <c r="Q568" s="1032"/>
      <c r="R568" s="1032"/>
    </row>
    <row r="569" spans="17:18">
      <c r="Q569" s="1032"/>
      <c r="R569" s="1032"/>
    </row>
    <row r="570" spans="17:18">
      <c r="Q570" s="1032"/>
      <c r="R570" s="1032"/>
    </row>
    <row r="571" spans="17:18">
      <c r="Q571" s="1032"/>
      <c r="R571" s="1032"/>
    </row>
    <row r="572" spans="17:18">
      <c r="Q572" s="1032"/>
      <c r="R572" s="1032"/>
    </row>
    <row r="573" spans="17:18">
      <c r="Q573" s="1032"/>
      <c r="R573" s="1032"/>
    </row>
    <row r="574" spans="17:18">
      <c r="Q574" s="1032"/>
      <c r="R574" s="1032"/>
    </row>
    <row r="575" spans="17:18">
      <c r="Q575" s="1032"/>
      <c r="R575" s="1032"/>
    </row>
    <row r="576" spans="17:18">
      <c r="Q576" s="1032"/>
      <c r="R576" s="1032"/>
    </row>
    <row r="577" spans="17:18">
      <c r="Q577" s="1032"/>
      <c r="R577" s="1032"/>
    </row>
    <row r="578" spans="17:18">
      <c r="Q578" s="1032"/>
      <c r="R578" s="1032"/>
    </row>
    <row r="579" spans="17:18">
      <c r="Q579" s="1032"/>
      <c r="R579" s="1032"/>
    </row>
    <row r="580" spans="17:18">
      <c r="Q580" s="1032"/>
      <c r="R580" s="1032"/>
    </row>
    <row r="581" spans="17:18">
      <c r="Q581" s="1032"/>
      <c r="R581" s="1032"/>
    </row>
    <row r="582" spans="17:18">
      <c r="Q582" s="1032"/>
      <c r="R582" s="1032"/>
    </row>
    <row r="583" spans="17:18">
      <c r="Q583" s="1032"/>
      <c r="R583" s="1032"/>
    </row>
    <row r="584" spans="17:18">
      <c r="Q584" s="1032"/>
      <c r="R584" s="1032"/>
    </row>
    <row r="585" spans="17:18">
      <c r="Q585" s="1032"/>
      <c r="R585" s="1032"/>
    </row>
    <row r="586" spans="17:18">
      <c r="Q586" s="1032"/>
      <c r="R586" s="1032"/>
    </row>
    <row r="587" spans="17:18">
      <c r="Q587" s="1032"/>
      <c r="R587" s="1032"/>
    </row>
    <row r="588" spans="17:18">
      <c r="Q588" s="1032"/>
      <c r="R588" s="1032"/>
    </row>
    <row r="589" spans="17:18">
      <c r="Q589" s="1032"/>
      <c r="R589" s="1032"/>
    </row>
    <row r="590" spans="17:18">
      <c r="Q590" s="1032"/>
      <c r="R590" s="1032"/>
    </row>
    <row r="591" spans="17:18">
      <c r="Q591" s="1032"/>
      <c r="R591" s="1032"/>
    </row>
    <row r="592" spans="17:18">
      <c r="Q592" s="1032"/>
      <c r="R592" s="1032"/>
    </row>
    <row r="593" spans="17:18">
      <c r="Q593" s="1032"/>
      <c r="R593" s="1032"/>
    </row>
    <row r="594" spans="17:18">
      <c r="Q594" s="1032"/>
      <c r="R594" s="1032"/>
    </row>
    <row r="595" spans="17:18">
      <c r="Q595" s="1032"/>
      <c r="R595" s="1032"/>
    </row>
    <row r="596" spans="17:18">
      <c r="Q596" s="1032"/>
      <c r="R596" s="1032"/>
    </row>
    <row r="597" spans="17:18">
      <c r="Q597" s="1032"/>
      <c r="R597" s="1032"/>
    </row>
    <row r="598" spans="17:18">
      <c r="Q598" s="1032"/>
      <c r="R598" s="1032"/>
    </row>
    <row r="599" spans="17:18">
      <c r="Q599" s="1032"/>
      <c r="R599" s="1032"/>
    </row>
    <row r="600" spans="17:18">
      <c r="Q600" s="1032"/>
      <c r="R600" s="1032"/>
    </row>
    <row r="601" spans="17:18">
      <c r="Q601" s="1032"/>
      <c r="R601" s="1032"/>
    </row>
    <row r="602" spans="17:18">
      <c r="Q602" s="1032"/>
      <c r="R602" s="1032"/>
    </row>
    <row r="603" spans="17:18">
      <c r="Q603" s="1032"/>
      <c r="R603" s="1032"/>
    </row>
    <row r="604" spans="17:18">
      <c r="Q604" s="1032"/>
      <c r="R604" s="1032"/>
    </row>
    <row r="605" spans="17:18">
      <c r="Q605" s="1032"/>
      <c r="R605" s="1032"/>
    </row>
    <row r="606" spans="17:18">
      <c r="Q606" s="1032"/>
      <c r="R606" s="1032"/>
    </row>
    <row r="607" spans="17:18">
      <c r="Q607" s="1032"/>
      <c r="R607" s="1032"/>
    </row>
    <row r="608" spans="17:18">
      <c r="Q608" s="1032"/>
      <c r="R608" s="1032"/>
    </row>
    <row r="609" spans="17:18">
      <c r="Q609" s="1032"/>
      <c r="R609" s="1032"/>
    </row>
    <row r="610" spans="17:18">
      <c r="Q610" s="1032"/>
      <c r="R610" s="1032"/>
    </row>
    <row r="611" spans="17:18">
      <c r="Q611" s="1032"/>
      <c r="R611" s="1032"/>
    </row>
    <row r="612" spans="17:18">
      <c r="Q612" s="1032"/>
      <c r="R612" s="1032"/>
    </row>
    <row r="613" spans="17:18">
      <c r="Q613" s="1032"/>
      <c r="R613" s="1032"/>
    </row>
    <row r="614" spans="17:18">
      <c r="Q614" s="1032"/>
      <c r="R614" s="1032"/>
    </row>
    <row r="615" spans="17:18">
      <c r="Q615" s="1032"/>
      <c r="R615" s="1032"/>
    </row>
    <row r="616" spans="17:18">
      <c r="Q616" s="1032"/>
      <c r="R616" s="1032"/>
    </row>
    <row r="617" spans="17:18">
      <c r="Q617" s="1032"/>
      <c r="R617" s="1032"/>
    </row>
    <row r="618" spans="17:18">
      <c r="Q618" s="1032"/>
      <c r="R618" s="1032"/>
    </row>
    <row r="619" spans="17:18">
      <c r="Q619" s="1032"/>
      <c r="R619" s="1032"/>
    </row>
    <row r="620" spans="17:18">
      <c r="Q620" s="1032"/>
      <c r="R620" s="1032"/>
    </row>
    <row r="621" spans="17:18">
      <c r="Q621" s="1032"/>
      <c r="R621" s="1032"/>
    </row>
    <row r="622" spans="17:18">
      <c r="Q622" s="1032"/>
      <c r="R622" s="1032"/>
    </row>
    <row r="623" spans="17:18">
      <c r="Q623" s="1032"/>
      <c r="R623" s="1032"/>
    </row>
    <row r="624" spans="17:18">
      <c r="Q624" s="1032"/>
      <c r="R624" s="1032"/>
    </row>
    <row r="625" spans="17:18">
      <c r="Q625" s="1032"/>
      <c r="R625" s="1032"/>
    </row>
    <row r="626" spans="17:18">
      <c r="Q626" s="1032"/>
      <c r="R626" s="1032"/>
    </row>
    <row r="627" spans="17:18">
      <c r="Q627" s="1032"/>
      <c r="R627" s="1032"/>
    </row>
    <row r="628" spans="17:18">
      <c r="Q628" s="1032"/>
      <c r="R628" s="1032"/>
    </row>
    <row r="629" spans="17:18">
      <c r="Q629" s="1032"/>
      <c r="R629" s="1032"/>
    </row>
    <row r="630" spans="17:18">
      <c r="Q630" s="1032"/>
      <c r="R630" s="1032"/>
    </row>
    <row r="631" spans="17:18">
      <c r="Q631" s="1032"/>
      <c r="R631" s="1032"/>
    </row>
    <row r="632" spans="17:18">
      <c r="Q632" s="1032"/>
      <c r="R632" s="1032"/>
    </row>
    <row r="633" spans="17:18">
      <c r="Q633" s="1032"/>
      <c r="R633" s="1032"/>
    </row>
    <row r="634" spans="17:18">
      <c r="Q634" s="1032"/>
      <c r="R634" s="1032"/>
    </row>
    <row r="635" spans="17:18">
      <c r="Q635" s="1032"/>
      <c r="R635" s="1032"/>
    </row>
    <row r="636" spans="17:18">
      <c r="Q636" s="1032"/>
      <c r="R636" s="1032"/>
    </row>
    <row r="637" spans="17:18">
      <c r="Q637" s="1032"/>
      <c r="R637" s="1032"/>
    </row>
    <row r="638" spans="17:18">
      <c r="Q638" s="1032"/>
      <c r="R638" s="1032"/>
    </row>
    <row r="639" spans="17:18">
      <c r="Q639" s="1032"/>
      <c r="R639" s="1032"/>
    </row>
    <row r="640" spans="17:18">
      <c r="Q640" s="1032"/>
      <c r="R640" s="1032"/>
    </row>
    <row r="641" spans="17:18">
      <c r="Q641" s="1032"/>
      <c r="R641" s="1032"/>
    </row>
    <row r="642" spans="17:18">
      <c r="Q642" s="1032"/>
      <c r="R642" s="1032"/>
    </row>
    <row r="643" spans="17:18">
      <c r="Q643" s="1032"/>
      <c r="R643" s="1032"/>
    </row>
    <row r="644" spans="17:18">
      <c r="Q644" s="1032"/>
      <c r="R644" s="1032"/>
    </row>
    <row r="645" spans="17:18">
      <c r="Q645" s="1032"/>
      <c r="R645" s="1032"/>
    </row>
    <row r="646" spans="17:18">
      <c r="Q646" s="1032"/>
      <c r="R646" s="1032"/>
    </row>
    <row r="647" spans="17:18">
      <c r="Q647" s="1032"/>
      <c r="R647" s="1032"/>
    </row>
    <row r="648" spans="17:18">
      <c r="Q648" s="1032"/>
      <c r="R648" s="1032"/>
    </row>
    <row r="649" spans="17:18">
      <c r="Q649" s="1032"/>
      <c r="R649" s="1032"/>
    </row>
    <row r="650" spans="17:18">
      <c r="Q650" s="1032"/>
      <c r="R650" s="1032"/>
    </row>
    <row r="651" spans="17:18">
      <c r="Q651" s="1032"/>
      <c r="R651" s="1032"/>
    </row>
    <row r="652" spans="17:18">
      <c r="Q652" s="1032"/>
      <c r="R652" s="1032"/>
    </row>
    <row r="653" spans="17:18">
      <c r="Q653" s="1032"/>
      <c r="R653" s="1032"/>
    </row>
    <row r="654" spans="17:18">
      <c r="Q654" s="1032"/>
      <c r="R654" s="1032"/>
    </row>
    <row r="655" spans="17:18">
      <c r="Q655" s="1032"/>
      <c r="R655" s="1032"/>
    </row>
    <row r="656" spans="17:18">
      <c r="Q656" s="1032"/>
      <c r="R656" s="1032"/>
    </row>
    <row r="657" spans="17:18">
      <c r="Q657" s="1032"/>
      <c r="R657" s="1032"/>
    </row>
    <row r="658" spans="17:18">
      <c r="Q658" s="1032"/>
      <c r="R658" s="1032"/>
    </row>
    <row r="659" spans="17:18">
      <c r="Q659" s="1032"/>
      <c r="R659" s="1032"/>
    </row>
    <row r="660" spans="17:18">
      <c r="Q660" s="1032"/>
      <c r="R660" s="1032"/>
    </row>
    <row r="661" spans="17:18">
      <c r="Q661" s="1032"/>
      <c r="R661" s="1032"/>
    </row>
    <row r="662" spans="17:18">
      <c r="Q662" s="1032"/>
      <c r="R662" s="1032"/>
    </row>
    <row r="663" spans="17:18">
      <c r="Q663" s="1032"/>
      <c r="R663" s="1032"/>
    </row>
    <row r="664" spans="17:18">
      <c r="Q664" s="1032"/>
      <c r="R664" s="1032"/>
    </row>
    <row r="665" spans="17:18">
      <c r="Q665" s="1032"/>
      <c r="R665" s="1032"/>
    </row>
    <row r="666" spans="17:18">
      <c r="Q666" s="1032"/>
      <c r="R666" s="1032"/>
    </row>
    <row r="667" spans="17:18">
      <c r="Q667" s="1032"/>
      <c r="R667" s="1032"/>
    </row>
    <row r="668" spans="17:18">
      <c r="Q668" s="1032"/>
      <c r="R668" s="1032"/>
    </row>
    <row r="669" spans="17:18">
      <c r="Q669" s="1032"/>
      <c r="R669" s="1032"/>
    </row>
    <row r="670" spans="17:18">
      <c r="Q670" s="1032"/>
      <c r="R670" s="1032"/>
    </row>
    <row r="671" spans="17:18">
      <c r="Q671" s="1032"/>
      <c r="R671" s="1032"/>
    </row>
    <row r="672" spans="17:18">
      <c r="Q672" s="1032"/>
      <c r="R672" s="1032"/>
    </row>
    <row r="673" spans="17:18">
      <c r="Q673" s="1032"/>
      <c r="R673" s="1032"/>
    </row>
    <row r="674" spans="17:18">
      <c r="Q674" s="1032"/>
      <c r="R674" s="1032"/>
    </row>
    <row r="675" spans="17:18">
      <c r="Q675" s="1032"/>
      <c r="R675" s="1032"/>
    </row>
    <row r="676" spans="17:18">
      <c r="Q676" s="1032"/>
      <c r="R676" s="1032"/>
    </row>
    <row r="677" spans="17:18">
      <c r="Q677" s="1032"/>
      <c r="R677" s="1032"/>
    </row>
    <row r="678" spans="17:18">
      <c r="Q678" s="1032"/>
      <c r="R678" s="1032"/>
    </row>
    <row r="679" spans="17:18">
      <c r="Q679" s="1032"/>
      <c r="R679" s="1032"/>
    </row>
    <row r="680" spans="17:18">
      <c r="Q680" s="1032"/>
      <c r="R680" s="1032"/>
    </row>
    <row r="681" spans="17:18">
      <c r="Q681" s="1032"/>
      <c r="R681" s="1032"/>
    </row>
    <row r="682" spans="17:18">
      <c r="Q682" s="1032"/>
      <c r="R682" s="1032"/>
    </row>
    <row r="683" spans="17:18">
      <c r="Q683" s="1032"/>
      <c r="R683" s="1032"/>
    </row>
    <row r="684" spans="17:18">
      <c r="Q684" s="1032"/>
      <c r="R684" s="1032"/>
    </row>
    <row r="685" spans="17:18">
      <c r="Q685" s="1032"/>
      <c r="R685" s="1032"/>
    </row>
    <row r="686" spans="17:18">
      <c r="Q686" s="1032"/>
      <c r="R686" s="1032"/>
    </row>
    <row r="687" spans="17:18">
      <c r="Q687" s="1032"/>
      <c r="R687" s="1032"/>
    </row>
    <row r="688" spans="17:18">
      <c r="Q688" s="1032"/>
      <c r="R688" s="1032"/>
    </row>
    <row r="689" spans="17:18">
      <c r="Q689" s="1032"/>
      <c r="R689" s="1032"/>
    </row>
    <row r="690" spans="17:18">
      <c r="Q690" s="1032"/>
      <c r="R690" s="1032"/>
    </row>
    <row r="691" spans="17:18">
      <c r="Q691" s="1032"/>
      <c r="R691" s="1032"/>
    </row>
    <row r="692" spans="17:18">
      <c r="Q692" s="1032"/>
      <c r="R692" s="1032"/>
    </row>
    <row r="693" spans="17:18">
      <c r="Q693" s="1032"/>
      <c r="R693" s="1032"/>
    </row>
    <row r="694" spans="17:18">
      <c r="Q694" s="1032"/>
      <c r="R694" s="1032"/>
    </row>
    <row r="695" spans="17:18">
      <c r="Q695" s="1032"/>
      <c r="R695" s="1032"/>
    </row>
    <row r="696" spans="17:18">
      <c r="Q696" s="1032"/>
      <c r="R696" s="1032"/>
    </row>
    <row r="697" spans="17:18">
      <c r="Q697" s="1032"/>
      <c r="R697" s="1032"/>
    </row>
    <row r="698" spans="17:18">
      <c r="Q698" s="1032"/>
      <c r="R698" s="1032"/>
    </row>
    <row r="699" spans="17:18">
      <c r="Q699" s="1032"/>
      <c r="R699" s="1032"/>
    </row>
    <row r="700" spans="17:18">
      <c r="Q700" s="1032"/>
      <c r="R700" s="1032"/>
    </row>
    <row r="701" spans="17:18">
      <c r="Q701" s="1032"/>
      <c r="R701" s="1032"/>
    </row>
    <row r="702" spans="17:18">
      <c r="Q702" s="1032"/>
      <c r="R702" s="1032"/>
    </row>
    <row r="703" spans="17:18">
      <c r="Q703" s="1032"/>
      <c r="R703" s="1032"/>
    </row>
    <row r="704" spans="17:18">
      <c r="Q704" s="1032"/>
      <c r="R704" s="1032"/>
    </row>
    <row r="705" spans="17:18">
      <c r="Q705" s="1032"/>
      <c r="R705" s="1032"/>
    </row>
    <row r="706" spans="17:18">
      <c r="Q706" s="1032"/>
      <c r="R706" s="1032"/>
    </row>
    <row r="707" spans="17:18">
      <c r="Q707" s="1032"/>
      <c r="R707" s="1032"/>
    </row>
    <row r="708" spans="17:18">
      <c r="Q708" s="1032"/>
      <c r="R708" s="1032"/>
    </row>
    <row r="709" spans="17:18">
      <c r="Q709" s="1032"/>
      <c r="R709" s="1032"/>
    </row>
    <row r="710" spans="17:18">
      <c r="Q710" s="1032"/>
      <c r="R710" s="1032"/>
    </row>
    <row r="711" spans="17:18">
      <c r="Q711" s="1032"/>
      <c r="R711" s="1032"/>
    </row>
    <row r="712" spans="17:18">
      <c r="Q712" s="1032"/>
      <c r="R712" s="1032"/>
    </row>
    <row r="713" spans="17:18">
      <c r="Q713" s="1032"/>
      <c r="R713" s="1032"/>
    </row>
    <row r="714" spans="17:18">
      <c r="Q714" s="1032"/>
      <c r="R714" s="1032"/>
    </row>
    <row r="715" spans="17:18">
      <c r="Q715" s="1032"/>
      <c r="R715" s="1032"/>
    </row>
    <row r="716" spans="17:18">
      <c r="Q716" s="1032"/>
      <c r="R716" s="1032"/>
    </row>
    <row r="717" spans="17:18">
      <c r="Q717" s="1032"/>
      <c r="R717" s="1032"/>
    </row>
    <row r="718" spans="17:18">
      <c r="Q718" s="1032"/>
      <c r="R718" s="1032"/>
    </row>
    <row r="719" spans="17:18">
      <c r="Q719" s="1032"/>
      <c r="R719" s="1032"/>
    </row>
    <row r="720" spans="17:18">
      <c r="Q720" s="1032"/>
      <c r="R720" s="1032"/>
    </row>
    <row r="721" spans="17:18">
      <c r="Q721" s="1032"/>
      <c r="R721" s="1032"/>
    </row>
    <row r="722" spans="17:18">
      <c r="Q722" s="1032"/>
      <c r="R722" s="1032"/>
    </row>
    <row r="723" spans="17:18">
      <c r="Q723" s="1032"/>
      <c r="R723" s="1032"/>
    </row>
    <row r="724" spans="17:18">
      <c r="Q724" s="1032"/>
      <c r="R724" s="1032"/>
    </row>
    <row r="725" spans="17:18">
      <c r="Q725" s="1032"/>
      <c r="R725" s="1032"/>
    </row>
    <row r="726" spans="17:18">
      <c r="Q726" s="1032"/>
      <c r="R726" s="1032"/>
    </row>
    <row r="727" spans="17:18">
      <c r="Q727" s="1032"/>
      <c r="R727" s="1032"/>
    </row>
    <row r="728" spans="17:18">
      <c r="Q728" s="1032"/>
      <c r="R728" s="1032"/>
    </row>
    <row r="729" spans="17:18">
      <c r="Q729" s="1032"/>
      <c r="R729" s="1032"/>
    </row>
    <row r="730" spans="17:18">
      <c r="Q730" s="1032"/>
      <c r="R730" s="1032"/>
    </row>
    <row r="731" spans="17:18">
      <c r="Q731" s="1032"/>
      <c r="R731" s="1032"/>
    </row>
    <row r="732" spans="17:18">
      <c r="Q732" s="1032"/>
      <c r="R732" s="1032"/>
    </row>
    <row r="733" spans="17:18">
      <c r="Q733" s="1032"/>
      <c r="R733" s="1032"/>
    </row>
    <row r="734" spans="17:18">
      <c r="Q734" s="1032"/>
      <c r="R734" s="1032"/>
    </row>
    <row r="735" spans="17:18">
      <c r="Q735" s="1032"/>
      <c r="R735" s="1032"/>
    </row>
    <row r="736" spans="17:18">
      <c r="Q736" s="1032"/>
      <c r="R736" s="1032"/>
    </row>
    <row r="737" spans="17:18">
      <c r="Q737" s="1032"/>
      <c r="R737" s="1032"/>
    </row>
    <row r="738" spans="17:18">
      <c r="Q738" s="1032"/>
      <c r="R738" s="1032"/>
    </row>
    <row r="739" spans="17:18">
      <c r="Q739" s="1032"/>
      <c r="R739" s="1032"/>
    </row>
    <row r="740" spans="17:18">
      <c r="Q740" s="1032"/>
      <c r="R740" s="1032"/>
    </row>
    <row r="741" spans="17:18">
      <c r="Q741" s="1032"/>
      <c r="R741" s="1032"/>
    </row>
    <row r="742" spans="17:18">
      <c r="Q742" s="1032"/>
      <c r="R742" s="1032"/>
    </row>
    <row r="743" spans="17:18">
      <c r="Q743" s="1032"/>
      <c r="R743" s="1032"/>
    </row>
    <row r="744" spans="17:18">
      <c r="Q744" s="1032"/>
      <c r="R744" s="1032"/>
    </row>
    <row r="745" spans="17:18">
      <c r="Q745" s="1032"/>
      <c r="R745" s="1032"/>
    </row>
    <row r="746" spans="17:18">
      <c r="Q746" s="1032"/>
      <c r="R746" s="1032"/>
    </row>
    <row r="747" spans="17:18">
      <c r="Q747" s="1032"/>
      <c r="R747" s="1032"/>
    </row>
    <row r="748" spans="17:18">
      <c r="Q748" s="1032"/>
      <c r="R748" s="1032"/>
    </row>
    <row r="749" spans="17:18">
      <c r="Q749" s="1032"/>
      <c r="R749" s="1032"/>
    </row>
    <row r="750" spans="17:18">
      <c r="Q750" s="1032"/>
      <c r="R750" s="1032"/>
    </row>
    <row r="751" spans="17:18">
      <c r="Q751" s="1032"/>
      <c r="R751" s="1032"/>
    </row>
    <row r="752" spans="17:18">
      <c r="Q752" s="1032"/>
      <c r="R752" s="1032"/>
    </row>
    <row r="753" spans="17:18">
      <c r="Q753" s="1032"/>
      <c r="R753" s="1032"/>
    </row>
    <row r="754" spans="17:18">
      <c r="Q754" s="1032"/>
      <c r="R754" s="1032"/>
    </row>
    <row r="755" spans="17:18">
      <c r="Q755" s="1032"/>
      <c r="R755" s="1032"/>
    </row>
    <row r="756" spans="17:18">
      <c r="Q756" s="1032"/>
      <c r="R756" s="1032"/>
    </row>
    <row r="757" spans="17:18">
      <c r="Q757" s="1032"/>
      <c r="R757" s="1032"/>
    </row>
    <row r="758" spans="17:18">
      <c r="Q758" s="1032"/>
      <c r="R758" s="1032"/>
    </row>
    <row r="759" spans="17:18">
      <c r="Q759" s="1032"/>
      <c r="R759" s="1032"/>
    </row>
    <row r="760" spans="17:18">
      <c r="Q760" s="1032"/>
      <c r="R760" s="1032"/>
    </row>
    <row r="761" spans="17:18">
      <c r="Q761" s="1032"/>
      <c r="R761" s="1032"/>
    </row>
    <row r="762" spans="17:18">
      <c r="Q762" s="1032"/>
      <c r="R762" s="1032"/>
    </row>
    <row r="763" spans="17:18">
      <c r="Q763" s="1032"/>
      <c r="R763" s="1032"/>
    </row>
    <row r="764" spans="17:18">
      <c r="Q764" s="1032"/>
      <c r="R764" s="1032"/>
    </row>
    <row r="765" spans="17:18">
      <c r="Q765" s="1032"/>
      <c r="R765" s="1032"/>
    </row>
    <row r="766" spans="17:18">
      <c r="Q766" s="1032"/>
      <c r="R766" s="1032"/>
    </row>
    <row r="767" spans="17:18">
      <c r="Q767" s="1032"/>
      <c r="R767" s="1032"/>
    </row>
    <row r="768" spans="17:18">
      <c r="Q768" s="1032"/>
      <c r="R768" s="1032"/>
    </row>
    <row r="769" spans="17:18">
      <c r="Q769" s="1032"/>
      <c r="R769" s="1032"/>
    </row>
    <row r="770" spans="17:18">
      <c r="Q770" s="1032"/>
      <c r="R770" s="1032"/>
    </row>
    <row r="771" spans="17:18">
      <c r="Q771" s="1032"/>
      <c r="R771" s="1032"/>
    </row>
    <row r="772" spans="17:18">
      <c r="Q772" s="1032"/>
      <c r="R772" s="1032"/>
    </row>
    <row r="773" spans="17:18">
      <c r="Q773" s="1032"/>
      <c r="R773" s="1032"/>
    </row>
    <row r="774" spans="17:18">
      <c r="Q774" s="1032"/>
      <c r="R774" s="1032"/>
    </row>
    <row r="775" spans="17:18">
      <c r="Q775" s="1032"/>
      <c r="R775" s="1032"/>
    </row>
    <row r="776" spans="17:18">
      <c r="Q776" s="1032"/>
      <c r="R776" s="1032"/>
    </row>
    <row r="777" spans="17:18">
      <c r="Q777" s="1032"/>
      <c r="R777" s="1032"/>
    </row>
    <row r="778" spans="17:18">
      <c r="Q778" s="1032"/>
      <c r="R778" s="1032"/>
    </row>
    <row r="779" spans="17:18">
      <c r="Q779" s="1032"/>
      <c r="R779" s="1032"/>
    </row>
    <row r="780" spans="17:18">
      <c r="Q780" s="1032"/>
      <c r="R780" s="1032"/>
    </row>
    <row r="781" spans="17:18">
      <c r="Q781" s="1032"/>
      <c r="R781" s="1032"/>
    </row>
    <row r="782" spans="17:18">
      <c r="Q782" s="1032"/>
      <c r="R782" s="1032"/>
    </row>
    <row r="783" spans="17:18">
      <c r="Q783" s="1032"/>
      <c r="R783" s="1032"/>
    </row>
    <row r="784" spans="17:18">
      <c r="Q784" s="1032"/>
      <c r="R784" s="1032"/>
    </row>
    <row r="785" spans="17:18">
      <c r="Q785" s="1032"/>
      <c r="R785" s="1032"/>
    </row>
    <row r="786" spans="17:18">
      <c r="Q786" s="1032"/>
      <c r="R786" s="1032"/>
    </row>
    <row r="787" spans="17:18">
      <c r="Q787" s="1032"/>
      <c r="R787" s="1032"/>
    </row>
    <row r="788" spans="17:18">
      <c r="Q788" s="1032"/>
      <c r="R788" s="1032"/>
    </row>
    <row r="789" spans="17:18">
      <c r="Q789" s="1032"/>
      <c r="R789" s="1032"/>
    </row>
    <row r="790" spans="17:18">
      <c r="Q790" s="1032"/>
      <c r="R790" s="1032"/>
    </row>
    <row r="791" spans="17:18">
      <c r="Q791" s="1032"/>
      <c r="R791" s="1032"/>
    </row>
    <row r="792" spans="17:18">
      <c r="Q792" s="1032"/>
      <c r="R792" s="1032"/>
    </row>
    <row r="793" spans="17:18">
      <c r="Q793" s="1032"/>
      <c r="R793" s="1032"/>
    </row>
    <row r="794" spans="17:18">
      <c r="Q794" s="1032"/>
      <c r="R794" s="1032"/>
    </row>
    <row r="795" spans="17:18">
      <c r="Q795" s="1032"/>
      <c r="R795" s="1032"/>
    </row>
    <row r="796" spans="17:18">
      <c r="Q796" s="1032"/>
      <c r="R796" s="1032"/>
    </row>
    <row r="797" spans="17:18">
      <c r="Q797" s="1032"/>
      <c r="R797" s="1032"/>
    </row>
    <row r="798" spans="17:18">
      <c r="Q798" s="1032"/>
      <c r="R798" s="1032"/>
    </row>
    <row r="799" spans="17:18">
      <c r="Q799" s="1032"/>
      <c r="R799" s="1032"/>
    </row>
    <row r="800" spans="17:18">
      <c r="Q800" s="1032"/>
      <c r="R800" s="1032"/>
    </row>
    <row r="801" spans="17:18">
      <c r="Q801" s="1032"/>
      <c r="R801" s="1032"/>
    </row>
    <row r="802" spans="17:18">
      <c r="Q802" s="1032"/>
      <c r="R802" s="1032"/>
    </row>
    <row r="803" spans="17:18">
      <c r="Q803" s="1032"/>
      <c r="R803" s="1032"/>
    </row>
    <row r="804" spans="17:18">
      <c r="Q804" s="1032"/>
      <c r="R804" s="1032"/>
    </row>
    <row r="805" spans="17:18">
      <c r="Q805" s="1032"/>
      <c r="R805" s="1032"/>
    </row>
    <row r="806" spans="17:18">
      <c r="Q806" s="1032"/>
      <c r="R806" s="1032"/>
    </row>
    <row r="807" spans="17:18">
      <c r="Q807" s="1032"/>
      <c r="R807" s="1032"/>
    </row>
    <row r="808" spans="17:18">
      <c r="Q808" s="1032"/>
      <c r="R808" s="1032"/>
    </row>
    <row r="809" spans="17:18">
      <c r="Q809" s="1032"/>
      <c r="R809" s="1032"/>
    </row>
    <row r="810" spans="17:18">
      <c r="Q810" s="1032"/>
      <c r="R810" s="1032"/>
    </row>
    <row r="811" spans="17:18">
      <c r="Q811" s="1032"/>
      <c r="R811" s="1032"/>
    </row>
    <row r="812" spans="17:18">
      <c r="Q812" s="1032"/>
      <c r="R812" s="1032"/>
    </row>
    <row r="813" spans="17:18">
      <c r="Q813" s="1032"/>
      <c r="R813" s="1032"/>
    </row>
    <row r="814" spans="17:18">
      <c r="Q814" s="1032"/>
      <c r="R814" s="1032"/>
    </row>
    <row r="815" spans="17:18">
      <c r="Q815" s="1032"/>
      <c r="R815" s="1032"/>
    </row>
    <row r="816" spans="17:18">
      <c r="Q816" s="1032"/>
      <c r="R816" s="1032"/>
    </row>
    <row r="817" spans="17:18">
      <c r="Q817" s="1032"/>
      <c r="R817" s="1032"/>
    </row>
    <row r="818" spans="17:18">
      <c r="Q818" s="1032"/>
      <c r="R818" s="1032"/>
    </row>
    <row r="819" spans="17:18">
      <c r="Q819" s="1032"/>
      <c r="R819" s="1032"/>
    </row>
    <row r="820" spans="17:18">
      <c r="Q820" s="1032"/>
      <c r="R820" s="1032"/>
    </row>
    <row r="821" spans="17:18">
      <c r="Q821" s="1032"/>
      <c r="R821" s="1032"/>
    </row>
    <row r="822" spans="17:18">
      <c r="Q822" s="1032"/>
      <c r="R822" s="1032"/>
    </row>
    <row r="823" spans="17:18">
      <c r="Q823" s="1032"/>
      <c r="R823" s="1032"/>
    </row>
    <row r="824" spans="17:18">
      <c r="Q824" s="1032"/>
      <c r="R824" s="1032"/>
    </row>
    <row r="825" spans="17:18">
      <c r="Q825" s="1032"/>
      <c r="R825" s="1032"/>
    </row>
    <row r="826" spans="17:18">
      <c r="Q826" s="1032"/>
      <c r="R826" s="1032"/>
    </row>
    <row r="827" spans="17:18">
      <c r="Q827" s="1032"/>
      <c r="R827" s="1032"/>
    </row>
    <row r="828" spans="17:18">
      <c r="Q828" s="1032"/>
      <c r="R828" s="1032"/>
    </row>
    <row r="829" spans="17:18">
      <c r="Q829" s="1032"/>
      <c r="R829" s="1032"/>
    </row>
    <row r="830" spans="17:18">
      <c r="Q830" s="1032"/>
      <c r="R830" s="1032"/>
    </row>
    <row r="831" spans="17:18">
      <c r="Q831" s="1032"/>
      <c r="R831" s="1032"/>
    </row>
    <row r="832" spans="17:18">
      <c r="Q832" s="1032"/>
      <c r="R832" s="1032"/>
    </row>
    <row r="833" spans="17:18">
      <c r="Q833" s="1032"/>
      <c r="R833" s="1032"/>
    </row>
    <row r="834" spans="17:18">
      <c r="Q834" s="1032"/>
      <c r="R834" s="1032"/>
    </row>
    <row r="835" spans="17:18">
      <c r="Q835" s="1032"/>
      <c r="R835" s="1032"/>
    </row>
    <row r="836" spans="17:18">
      <c r="Q836" s="1032"/>
      <c r="R836" s="1032"/>
    </row>
    <row r="837" spans="17:18">
      <c r="Q837" s="1032"/>
      <c r="R837" s="1032"/>
    </row>
    <row r="838" spans="17:18">
      <c r="Q838" s="1032"/>
      <c r="R838" s="1032"/>
    </row>
    <row r="839" spans="17:18">
      <c r="Q839" s="1032"/>
      <c r="R839" s="1032"/>
    </row>
    <row r="840" spans="17:18">
      <c r="Q840" s="1032"/>
      <c r="R840" s="1032"/>
    </row>
    <row r="841" spans="17:18">
      <c r="Q841" s="1032"/>
      <c r="R841" s="1032"/>
    </row>
    <row r="842" spans="17:18">
      <c r="Q842" s="1032"/>
      <c r="R842" s="1032"/>
    </row>
    <row r="843" spans="17:18">
      <c r="Q843" s="1032"/>
      <c r="R843" s="1032"/>
    </row>
    <row r="844" spans="17:18">
      <c r="Q844" s="1032"/>
      <c r="R844" s="1032"/>
    </row>
    <row r="845" spans="17:18">
      <c r="Q845" s="1032"/>
      <c r="R845" s="1032"/>
    </row>
    <row r="846" spans="17:18">
      <c r="Q846" s="1032"/>
      <c r="R846" s="1032"/>
    </row>
    <row r="847" spans="17:18">
      <c r="Q847" s="1032"/>
      <c r="R847" s="1032"/>
    </row>
    <row r="848" spans="17:18">
      <c r="Q848" s="1032"/>
      <c r="R848" s="1032"/>
    </row>
    <row r="849" spans="17:18">
      <c r="Q849" s="1032"/>
      <c r="R849" s="1032"/>
    </row>
    <row r="850" spans="17:18">
      <c r="Q850" s="1032"/>
      <c r="R850" s="1032"/>
    </row>
    <row r="851" spans="17:18">
      <c r="Q851" s="1032"/>
      <c r="R851" s="1032"/>
    </row>
    <row r="852" spans="17:18">
      <c r="Q852" s="1032"/>
      <c r="R852" s="1032"/>
    </row>
    <row r="853" spans="17:18">
      <c r="Q853" s="1032"/>
      <c r="R853" s="1032"/>
    </row>
    <row r="854" spans="17:18">
      <c r="Q854" s="1032"/>
      <c r="R854" s="1032"/>
    </row>
    <row r="855" spans="17:18">
      <c r="Q855" s="1032"/>
      <c r="R855" s="1032"/>
    </row>
    <row r="856" spans="17:18">
      <c r="Q856" s="1032"/>
      <c r="R856" s="1032"/>
    </row>
    <row r="857" spans="17:18">
      <c r="Q857" s="1032"/>
      <c r="R857" s="1032"/>
    </row>
    <row r="858" spans="17:18">
      <c r="Q858" s="1032"/>
      <c r="R858" s="1032"/>
    </row>
    <row r="859" spans="17:18">
      <c r="Q859" s="1032"/>
      <c r="R859" s="1032"/>
    </row>
    <row r="860" spans="17:18">
      <c r="Q860" s="1032"/>
      <c r="R860" s="1032"/>
    </row>
    <row r="861" spans="17:18">
      <c r="Q861" s="1032"/>
      <c r="R861" s="1032"/>
    </row>
    <row r="862" spans="17:18">
      <c r="Q862" s="1032"/>
      <c r="R862" s="1032"/>
    </row>
    <row r="863" spans="17:18">
      <c r="Q863" s="1032"/>
      <c r="R863" s="1032"/>
    </row>
    <row r="864" spans="17:18">
      <c r="Q864" s="1032"/>
      <c r="R864" s="1032"/>
    </row>
    <row r="865" spans="17:18">
      <c r="Q865" s="1032"/>
      <c r="R865" s="1032"/>
    </row>
    <row r="866" spans="17:18">
      <c r="Q866" s="1032"/>
      <c r="R866" s="1032"/>
    </row>
    <row r="867" spans="17:18">
      <c r="Q867" s="1032"/>
      <c r="R867" s="1032"/>
    </row>
    <row r="868" spans="17:18">
      <c r="Q868" s="1032"/>
      <c r="R868" s="1032"/>
    </row>
    <row r="869" spans="17:18">
      <c r="Q869" s="1032"/>
      <c r="R869" s="1032"/>
    </row>
    <row r="870" spans="17:18">
      <c r="Q870" s="1032"/>
      <c r="R870" s="1032"/>
    </row>
    <row r="871" spans="17:18">
      <c r="Q871" s="1032"/>
      <c r="R871" s="1032"/>
    </row>
    <row r="872" spans="17:18">
      <c r="Q872" s="1032"/>
      <c r="R872" s="1032"/>
    </row>
    <row r="873" spans="17:18">
      <c r="Q873" s="1032"/>
      <c r="R873" s="1032"/>
    </row>
    <row r="874" spans="17:18">
      <c r="Q874" s="1032"/>
      <c r="R874" s="1032"/>
    </row>
    <row r="875" spans="17:18">
      <c r="Q875" s="1032"/>
      <c r="R875" s="1032"/>
    </row>
    <row r="876" spans="17:18">
      <c r="Q876" s="1032"/>
      <c r="R876" s="1032"/>
    </row>
    <row r="877" spans="17:18">
      <c r="Q877" s="1032"/>
      <c r="R877" s="1032"/>
    </row>
    <row r="878" spans="17:18">
      <c r="Q878" s="1032"/>
      <c r="R878" s="1032"/>
    </row>
    <row r="879" spans="17:18">
      <c r="Q879" s="1032"/>
      <c r="R879" s="1032"/>
    </row>
    <row r="880" spans="17:18">
      <c r="Q880" s="1032"/>
      <c r="R880" s="1032"/>
    </row>
    <row r="881" spans="17:18">
      <c r="Q881" s="1032"/>
      <c r="R881" s="1032"/>
    </row>
    <row r="882" spans="17:18">
      <c r="Q882" s="1032"/>
      <c r="R882" s="1032"/>
    </row>
    <row r="883" spans="17:18">
      <c r="Q883" s="1032"/>
      <c r="R883" s="1032"/>
    </row>
    <row r="884" spans="17:18">
      <c r="Q884" s="1032"/>
      <c r="R884" s="1032"/>
    </row>
    <row r="885" spans="17:18">
      <c r="Q885" s="1032"/>
      <c r="R885" s="1032"/>
    </row>
    <row r="886" spans="17:18">
      <c r="Q886" s="1032"/>
      <c r="R886" s="1032"/>
    </row>
    <row r="887" spans="17:18">
      <c r="Q887" s="1032"/>
      <c r="R887" s="1032"/>
    </row>
    <row r="888" spans="17:18">
      <c r="Q888" s="1032"/>
      <c r="R888" s="1032"/>
    </row>
    <row r="889" spans="17:18">
      <c r="Q889" s="1032"/>
      <c r="R889" s="1032"/>
    </row>
    <row r="890" spans="17:18">
      <c r="Q890" s="1032"/>
      <c r="R890" s="1032"/>
    </row>
    <row r="891" spans="17:18">
      <c r="Q891" s="1032"/>
      <c r="R891" s="1032"/>
    </row>
    <row r="892" spans="17:18">
      <c r="Q892" s="1032"/>
      <c r="R892" s="1032"/>
    </row>
    <row r="893" spans="17:18">
      <c r="Q893" s="1032"/>
      <c r="R893" s="1032"/>
    </row>
    <row r="894" spans="17:18">
      <c r="Q894" s="1032"/>
      <c r="R894" s="1032"/>
    </row>
    <row r="895" spans="17:18">
      <c r="Q895" s="1032"/>
      <c r="R895" s="1032"/>
    </row>
    <row r="896" spans="17:18">
      <c r="Q896" s="1032"/>
      <c r="R896" s="1032"/>
    </row>
    <row r="897" spans="17:18">
      <c r="Q897" s="1032"/>
      <c r="R897" s="1032"/>
    </row>
    <row r="898" spans="17:18">
      <c r="Q898" s="1032"/>
      <c r="R898" s="1032"/>
    </row>
    <row r="899" spans="17:18">
      <c r="Q899" s="1032"/>
      <c r="R899" s="1032"/>
    </row>
    <row r="900" spans="17:18">
      <c r="Q900" s="1032"/>
      <c r="R900" s="1032"/>
    </row>
    <row r="901" spans="17:18">
      <c r="Q901" s="1032"/>
      <c r="R901" s="1032"/>
    </row>
    <row r="902" spans="17:18">
      <c r="Q902" s="1032"/>
      <c r="R902" s="1032"/>
    </row>
    <row r="903" spans="17:18">
      <c r="Q903" s="1032"/>
      <c r="R903" s="1032"/>
    </row>
    <row r="904" spans="17:18">
      <c r="Q904" s="1032"/>
      <c r="R904" s="1032"/>
    </row>
    <row r="905" spans="17:18">
      <c r="Q905" s="1032"/>
      <c r="R905" s="1032"/>
    </row>
    <row r="906" spans="17:18">
      <c r="Q906" s="1032"/>
      <c r="R906" s="1032"/>
    </row>
    <row r="907" spans="17:18">
      <c r="Q907" s="1032"/>
      <c r="R907" s="1032"/>
    </row>
    <row r="908" spans="17:18">
      <c r="Q908" s="1032"/>
      <c r="R908" s="1032"/>
    </row>
    <row r="909" spans="17:18">
      <c r="Q909" s="1032"/>
      <c r="R909" s="1032"/>
    </row>
    <row r="910" spans="17:18">
      <c r="Q910" s="1032"/>
      <c r="R910" s="1032"/>
    </row>
    <row r="911" spans="17:18">
      <c r="Q911" s="1032"/>
      <c r="R911" s="1032"/>
    </row>
    <row r="912" spans="17:18">
      <c r="Q912" s="1032"/>
      <c r="R912" s="1032"/>
    </row>
    <row r="913" spans="17:18">
      <c r="Q913" s="1032"/>
      <c r="R913" s="1032"/>
    </row>
    <row r="914" spans="17:18">
      <c r="Q914" s="1032"/>
      <c r="R914" s="1032"/>
    </row>
    <row r="915" spans="17:18">
      <c r="Q915" s="1032"/>
      <c r="R915" s="1032"/>
    </row>
    <row r="916" spans="17:18">
      <c r="Q916" s="1032"/>
      <c r="R916" s="1032"/>
    </row>
    <row r="917" spans="17:18">
      <c r="Q917" s="1032"/>
      <c r="R917" s="1032"/>
    </row>
    <row r="918" spans="17:18">
      <c r="Q918" s="1032"/>
      <c r="R918" s="1032"/>
    </row>
    <row r="919" spans="17:18">
      <c r="Q919" s="1032"/>
      <c r="R919" s="1032"/>
    </row>
    <row r="920" spans="17:18">
      <c r="Q920" s="1032"/>
      <c r="R920" s="1032"/>
    </row>
    <row r="921" spans="17:18">
      <c r="Q921" s="1032"/>
      <c r="R921" s="1032"/>
    </row>
    <row r="922" spans="17:18">
      <c r="Q922" s="1032"/>
      <c r="R922" s="1032"/>
    </row>
    <row r="923" spans="17:18">
      <c r="Q923" s="1032"/>
      <c r="R923" s="1032"/>
    </row>
    <row r="924" spans="17:18">
      <c r="Q924" s="1032"/>
      <c r="R924" s="1032"/>
    </row>
    <row r="925" spans="17:18">
      <c r="Q925" s="1032"/>
      <c r="R925" s="1032"/>
    </row>
    <row r="926" spans="17:18">
      <c r="Q926" s="1032"/>
      <c r="R926" s="1032"/>
    </row>
    <row r="927" spans="17:18">
      <c r="Q927" s="1032"/>
      <c r="R927" s="1032"/>
    </row>
    <row r="928" spans="17:18">
      <c r="Q928" s="1032"/>
      <c r="R928" s="1032"/>
    </row>
    <row r="929" spans="17:18">
      <c r="Q929" s="1032"/>
      <c r="R929" s="1032"/>
    </row>
    <row r="930" spans="17:18">
      <c r="Q930" s="1032"/>
      <c r="R930" s="1032"/>
    </row>
    <row r="931" spans="17:18">
      <c r="Q931" s="1032"/>
      <c r="R931" s="1032"/>
    </row>
    <row r="932" spans="17:18">
      <c r="Q932" s="1032"/>
      <c r="R932" s="1032"/>
    </row>
    <row r="933" spans="17:18">
      <c r="Q933" s="1032"/>
      <c r="R933" s="1032"/>
    </row>
    <row r="934" spans="17:18">
      <c r="Q934" s="1032"/>
      <c r="R934" s="1032"/>
    </row>
    <row r="935" spans="17:18">
      <c r="Q935" s="1032"/>
      <c r="R935" s="1032"/>
    </row>
    <row r="936" spans="17:18">
      <c r="Q936" s="1032"/>
      <c r="R936" s="1032"/>
    </row>
    <row r="937" spans="17:18">
      <c r="Q937" s="1032"/>
      <c r="R937" s="1032"/>
    </row>
    <row r="938" spans="17:18">
      <c r="Q938" s="1032"/>
      <c r="R938" s="1032"/>
    </row>
    <row r="939" spans="17:18">
      <c r="Q939" s="1032"/>
      <c r="R939" s="1032"/>
    </row>
    <row r="940" spans="17:18">
      <c r="Q940" s="1032"/>
      <c r="R940" s="1032"/>
    </row>
    <row r="941" spans="17:18">
      <c r="Q941" s="1032"/>
      <c r="R941" s="1032"/>
    </row>
    <row r="942" spans="17:18">
      <c r="Q942" s="1032"/>
      <c r="R942" s="1032"/>
    </row>
    <row r="943" spans="17:18">
      <c r="Q943" s="1032"/>
      <c r="R943" s="1032"/>
    </row>
    <row r="944" spans="17:18">
      <c r="Q944" s="1032"/>
      <c r="R944" s="1032"/>
    </row>
    <row r="945" spans="17:18">
      <c r="Q945" s="1032"/>
      <c r="R945" s="1032"/>
    </row>
    <row r="946" spans="17:18">
      <c r="Q946" s="1032"/>
      <c r="R946" s="1032"/>
    </row>
    <row r="947" spans="17:18">
      <c r="Q947" s="1032"/>
      <c r="R947" s="1032"/>
    </row>
    <row r="948" spans="17:18">
      <c r="Q948" s="1032"/>
      <c r="R948" s="1032"/>
    </row>
    <row r="949" spans="17:18">
      <c r="Q949" s="1032"/>
      <c r="R949" s="1032"/>
    </row>
    <row r="950" spans="17:18">
      <c r="Q950" s="1032"/>
      <c r="R950" s="1032"/>
    </row>
    <row r="951" spans="17:18">
      <c r="Q951" s="1032"/>
      <c r="R951" s="1032"/>
    </row>
    <row r="952" spans="17:18">
      <c r="Q952" s="1032"/>
      <c r="R952" s="1032"/>
    </row>
    <row r="953" spans="17:18">
      <c r="Q953" s="1032"/>
      <c r="R953" s="1032"/>
    </row>
    <row r="954" spans="17:18">
      <c r="Q954" s="1032"/>
      <c r="R954" s="1032"/>
    </row>
    <row r="955" spans="17:18">
      <c r="Q955" s="1032"/>
      <c r="R955" s="1032"/>
    </row>
    <row r="956" spans="17:18">
      <c r="Q956" s="1032"/>
      <c r="R956" s="1032"/>
    </row>
    <row r="957" spans="17:18">
      <c r="Q957" s="1032"/>
      <c r="R957" s="1032"/>
    </row>
    <row r="958" spans="17:18">
      <c r="Q958" s="1032"/>
      <c r="R958" s="1032"/>
    </row>
    <row r="959" spans="17:18">
      <c r="Q959" s="1032"/>
      <c r="R959" s="1032"/>
    </row>
    <row r="960" spans="17:18">
      <c r="Q960" s="1032"/>
      <c r="R960" s="1032"/>
    </row>
    <row r="961" spans="17:18">
      <c r="Q961" s="1032"/>
      <c r="R961" s="1032"/>
    </row>
    <row r="962" spans="17:18">
      <c r="Q962" s="1032"/>
      <c r="R962" s="1032"/>
    </row>
    <row r="963" spans="17:18">
      <c r="Q963" s="1032"/>
      <c r="R963" s="1032"/>
    </row>
    <row r="964" spans="17:18">
      <c r="Q964" s="1032"/>
      <c r="R964" s="1032"/>
    </row>
    <row r="965" spans="17:18">
      <c r="Q965" s="1032"/>
      <c r="R965" s="1032"/>
    </row>
    <row r="966" spans="17:18">
      <c r="Q966" s="1032"/>
      <c r="R966" s="1032"/>
    </row>
    <row r="967" spans="17:18">
      <c r="Q967" s="1032"/>
      <c r="R967" s="1032"/>
    </row>
    <row r="968" spans="17:18">
      <c r="Q968" s="1032"/>
      <c r="R968" s="1032"/>
    </row>
    <row r="969" spans="17:18">
      <c r="Q969" s="1032"/>
      <c r="R969" s="1032"/>
    </row>
    <row r="970" spans="17:18">
      <c r="Q970" s="1032"/>
      <c r="R970" s="1032"/>
    </row>
    <row r="971" spans="17:18">
      <c r="Q971" s="1032"/>
      <c r="R971" s="1032"/>
    </row>
    <row r="972" spans="17:18">
      <c r="Q972" s="1032"/>
      <c r="R972" s="1032"/>
    </row>
    <row r="973" spans="17:18">
      <c r="Q973" s="1032"/>
      <c r="R973" s="1032"/>
    </row>
    <row r="974" spans="17:18">
      <c r="Q974" s="1032"/>
      <c r="R974" s="1032"/>
    </row>
    <row r="975" spans="17:18">
      <c r="Q975" s="1032"/>
      <c r="R975" s="1032"/>
    </row>
    <row r="976" spans="17:18">
      <c r="Q976" s="1032"/>
      <c r="R976" s="1032"/>
    </row>
    <row r="977" spans="17:18">
      <c r="Q977" s="1032"/>
      <c r="R977" s="1032"/>
    </row>
    <row r="978" spans="17:18">
      <c r="Q978" s="1032"/>
      <c r="R978" s="1032"/>
    </row>
    <row r="979" spans="17:18">
      <c r="Q979" s="1032"/>
      <c r="R979" s="1032"/>
    </row>
    <row r="980" spans="17:18">
      <c r="Q980" s="1032"/>
      <c r="R980" s="1032"/>
    </row>
    <row r="981" spans="17:18">
      <c r="Q981" s="1032"/>
      <c r="R981" s="1032"/>
    </row>
    <row r="982" spans="17:18">
      <c r="Q982" s="1032"/>
      <c r="R982" s="1032"/>
    </row>
    <row r="983" spans="17:18">
      <c r="Q983" s="1032"/>
      <c r="R983" s="1032"/>
    </row>
    <row r="984" spans="17:18">
      <c r="Q984" s="1032"/>
      <c r="R984" s="1032"/>
    </row>
    <row r="985" spans="17:18">
      <c r="Q985" s="1032"/>
      <c r="R985" s="1032"/>
    </row>
    <row r="986" spans="17:18">
      <c r="Q986" s="1032"/>
      <c r="R986" s="1032"/>
    </row>
    <row r="987" spans="17:18">
      <c r="Q987" s="1032"/>
      <c r="R987" s="1032"/>
    </row>
    <row r="988" spans="17:18">
      <c r="Q988" s="1032"/>
      <c r="R988" s="1032"/>
    </row>
    <row r="989" spans="17:18">
      <c r="Q989" s="1032"/>
      <c r="R989" s="1032"/>
    </row>
    <row r="990" spans="17:18">
      <c r="Q990" s="1032"/>
      <c r="R990" s="1032"/>
    </row>
    <row r="991" spans="17:18">
      <c r="Q991" s="1032"/>
      <c r="R991" s="1032"/>
    </row>
    <row r="992" spans="17:18">
      <c r="Q992" s="1032"/>
      <c r="R992" s="1032"/>
    </row>
    <row r="993" spans="17:18">
      <c r="Q993" s="1032"/>
      <c r="R993" s="1032"/>
    </row>
    <row r="994" spans="17:18">
      <c r="Q994" s="1032"/>
      <c r="R994" s="1032"/>
    </row>
    <row r="995" spans="17:18">
      <c r="Q995" s="1032"/>
      <c r="R995" s="1032"/>
    </row>
    <row r="996" spans="17:18">
      <c r="Q996" s="1032"/>
      <c r="R996" s="1032"/>
    </row>
    <row r="997" spans="17:18">
      <c r="Q997" s="1032"/>
      <c r="R997" s="1032"/>
    </row>
    <row r="998" spans="17:18">
      <c r="Q998" s="1032"/>
      <c r="R998" s="1032"/>
    </row>
    <row r="999" spans="17:18">
      <c r="Q999" s="1032"/>
      <c r="R999" s="1032"/>
    </row>
    <row r="1000" spans="17:18">
      <c r="Q1000" s="1032"/>
      <c r="R1000" s="1032"/>
    </row>
    <row r="1001" spans="17:18">
      <c r="Q1001" s="1032"/>
      <c r="R1001" s="1032"/>
    </row>
    <row r="1002" spans="17:18">
      <c r="Q1002" s="1032"/>
      <c r="R1002" s="1032"/>
    </row>
    <row r="1003" spans="17:18">
      <c r="Q1003" s="1032"/>
      <c r="R1003" s="1032"/>
    </row>
    <row r="1004" spans="17:18">
      <c r="Q1004" s="1032"/>
      <c r="R1004" s="1032"/>
    </row>
    <row r="1005" spans="17:18">
      <c r="Q1005" s="1032"/>
      <c r="R1005" s="1032"/>
    </row>
    <row r="1006" spans="17:18">
      <c r="Q1006" s="1032"/>
      <c r="R1006" s="1032"/>
    </row>
    <row r="1007" spans="17:18">
      <c r="Q1007" s="1032"/>
      <c r="R1007" s="1032"/>
    </row>
    <row r="1008" spans="17:18">
      <c r="Q1008" s="1032"/>
      <c r="R1008" s="1032"/>
    </row>
    <row r="1009" spans="17:18">
      <c r="Q1009" s="1032"/>
      <c r="R1009" s="1032"/>
    </row>
    <row r="1010" spans="17:18">
      <c r="Q1010" s="1032"/>
      <c r="R1010" s="1032"/>
    </row>
    <row r="1011" spans="17:18">
      <c r="Q1011" s="1032"/>
      <c r="R1011" s="1032"/>
    </row>
    <row r="1012" spans="17:18">
      <c r="Q1012" s="1032"/>
      <c r="R1012" s="1032"/>
    </row>
    <row r="1013" spans="17:18">
      <c r="Q1013" s="1032"/>
      <c r="R1013" s="1032"/>
    </row>
    <row r="1014" spans="17:18">
      <c r="Q1014" s="1032"/>
      <c r="R1014" s="1032"/>
    </row>
    <row r="1015" spans="17:18">
      <c r="Q1015" s="1032"/>
      <c r="R1015" s="1032"/>
    </row>
    <row r="1016" spans="17:18">
      <c r="Q1016" s="1032"/>
      <c r="R1016" s="1032"/>
    </row>
    <row r="1017" spans="17:18">
      <c r="Q1017" s="1032"/>
      <c r="R1017" s="1032"/>
    </row>
    <row r="1018" spans="17:18">
      <c r="Q1018" s="1032"/>
      <c r="R1018" s="1032"/>
    </row>
    <row r="1019" spans="17:18">
      <c r="Q1019" s="1032"/>
      <c r="R1019" s="1032"/>
    </row>
    <row r="1020" spans="17:18">
      <c r="Q1020" s="1032"/>
      <c r="R1020" s="1032"/>
    </row>
    <row r="1021" spans="17:18">
      <c r="Q1021" s="1032"/>
      <c r="R1021" s="1032"/>
    </row>
    <row r="1022" spans="17:18">
      <c r="Q1022" s="1032"/>
      <c r="R1022" s="1032"/>
    </row>
    <row r="1023" spans="17:18">
      <c r="Q1023" s="1032"/>
      <c r="R1023" s="1032"/>
    </row>
    <row r="1024" spans="17:18">
      <c r="Q1024" s="1032"/>
      <c r="R1024" s="1032"/>
    </row>
    <row r="1025" spans="17:18">
      <c r="Q1025" s="1032"/>
      <c r="R1025" s="1032"/>
    </row>
    <row r="1026" spans="17:18">
      <c r="Q1026" s="1032"/>
      <c r="R1026" s="1032"/>
    </row>
    <row r="1027" spans="17:18">
      <c r="Q1027" s="1032"/>
      <c r="R1027" s="1032"/>
    </row>
    <row r="1028" spans="17:18">
      <c r="Q1028" s="1032"/>
      <c r="R1028" s="1032"/>
    </row>
    <row r="1029" spans="17:18">
      <c r="Q1029" s="1032"/>
      <c r="R1029" s="1032"/>
    </row>
    <row r="1030" spans="17:18">
      <c r="Q1030" s="1032"/>
      <c r="R1030" s="1032"/>
    </row>
    <row r="1031" spans="17:18">
      <c r="Q1031" s="1032"/>
      <c r="R1031" s="1032"/>
    </row>
    <row r="1032" spans="17:18">
      <c r="Q1032" s="1032"/>
      <c r="R1032" s="1032"/>
    </row>
    <row r="1033" spans="17:18">
      <c r="Q1033" s="1032"/>
      <c r="R1033" s="1032"/>
    </row>
    <row r="1034" spans="17:18">
      <c r="Q1034" s="1032"/>
      <c r="R1034" s="1032"/>
    </row>
    <row r="1035" spans="17:18">
      <c r="Q1035" s="1032"/>
      <c r="R1035" s="1032"/>
    </row>
    <row r="1036" spans="17:18">
      <c r="Q1036" s="1032"/>
      <c r="R1036" s="1032"/>
    </row>
    <row r="1037" spans="17:18">
      <c r="Q1037" s="1032"/>
      <c r="R1037" s="1032"/>
    </row>
    <row r="1038" spans="17:18">
      <c r="Q1038" s="1032"/>
      <c r="R1038" s="1032"/>
    </row>
    <row r="1039" spans="17:18">
      <c r="Q1039" s="1032"/>
      <c r="R1039" s="1032"/>
    </row>
    <row r="1040" spans="17:18">
      <c r="Q1040" s="1032"/>
      <c r="R1040" s="1032"/>
    </row>
    <row r="1041" spans="17:18">
      <c r="Q1041" s="1032"/>
      <c r="R1041" s="1032"/>
    </row>
    <row r="1042" spans="17:18">
      <c r="Q1042" s="1032"/>
      <c r="R1042" s="1032"/>
    </row>
    <row r="1043" spans="17:18">
      <c r="Q1043" s="1032"/>
      <c r="R1043" s="1032"/>
    </row>
    <row r="1044" spans="17:18">
      <c r="Q1044" s="1032"/>
      <c r="R1044" s="1032"/>
    </row>
    <row r="1045" spans="17:18">
      <c r="Q1045" s="1032"/>
      <c r="R1045" s="1032"/>
    </row>
    <row r="1046" spans="17:18">
      <c r="Q1046" s="1032"/>
      <c r="R1046" s="1032"/>
    </row>
    <row r="1047" spans="17:18">
      <c r="Q1047" s="1032"/>
      <c r="R1047" s="1032"/>
    </row>
    <row r="1048" spans="17:18">
      <c r="Q1048" s="1032"/>
      <c r="R1048" s="1032"/>
    </row>
    <row r="1049" spans="17:18">
      <c r="Q1049" s="1032"/>
      <c r="R1049" s="1032"/>
    </row>
    <row r="1050" spans="17:18">
      <c r="Q1050" s="1032"/>
      <c r="R1050" s="1032"/>
    </row>
    <row r="1051" spans="17:18">
      <c r="Q1051" s="1032"/>
      <c r="R1051" s="1032"/>
    </row>
    <row r="1052" spans="17:18">
      <c r="Q1052" s="1032"/>
      <c r="R1052" s="1032"/>
    </row>
    <row r="1053" spans="17:18">
      <c r="Q1053" s="1032"/>
      <c r="R1053" s="1032"/>
    </row>
    <row r="1054" spans="17:18">
      <c r="Q1054" s="1032"/>
      <c r="R1054" s="1032"/>
    </row>
    <row r="1055" spans="17:18">
      <c r="Q1055" s="1032"/>
      <c r="R1055" s="1032"/>
    </row>
    <row r="1056" spans="17:18">
      <c r="Q1056" s="1032"/>
      <c r="R1056" s="1032"/>
    </row>
    <row r="1057" spans="17:18">
      <c r="Q1057" s="1032"/>
      <c r="R1057" s="1032"/>
    </row>
    <row r="1058" spans="17:18">
      <c r="Q1058" s="1032"/>
      <c r="R1058" s="1032"/>
    </row>
    <row r="1059" spans="17:18">
      <c r="Q1059" s="1032"/>
      <c r="R1059" s="1032"/>
    </row>
    <row r="1060" spans="17:18">
      <c r="Q1060" s="1032"/>
      <c r="R1060" s="1032"/>
    </row>
    <row r="1061" spans="17:18">
      <c r="Q1061" s="1032"/>
      <c r="R1061" s="1032"/>
    </row>
    <row r="1062" spans="17:18">
      <c r="Q1062" s="1032"/>
      <c r="R1062" s="1032"/>
    </row>
    <row r="1063" spans="17:18">
      <c r="Q1063" s="1032"/>
      <c r="R1063" s="1032"/>
    </row>
    <row r="1064" spans="17:18">
      <c r="Q1064" s="1032"/>
      <c r="R1064" s="1032"/>
    </row>
    <row r="1065" spans="17:18">
      <c r="Q1065" s="1032"/>
      <c r="R1065" s="1032"/>
    </row>
    <row r="1066" spans="17:18">
      <c r="Q1066" s="1032"/>
      <c r="R1066" s="1032"/>
    </row>
    <row r="1067" spans="17:18">
      <c r="Q1067" s="1032"/>
      <c r="R1067" s="1032"/>
    </row>
    <row r="1068" spans="17:18">
      <c r="Q1068" s="1032"/>
      <c r="R1068" s="1032"/>
    </row>
    <row r="1069" spans="17:18">
      <c r="Q1069" s="1032"/>
      <c r="R1069" s="1032"/>
    </row>
    <row r="1070" spans="17:18">
      <c r="Q1070" s="1032"/>
      <c r="R1070" s="1032"/>
    </row>
    <row r="1071" spans="17:18">
      <c r="Q1071" s="1032"/>
      <c r="R1071" s="1032"/>
    </row>
    <row r="1072" spans="17:18">
      <c r="Q1072" s="1032"/>
      <c r="R1072" s="1032"/>
    </row>
    <row r="1073" spans="17:18">
      <c r="Q1073" s="1032"/>
      <c r="R1073" s="1032"/>
    </row>
    <row r="1074" spans="17:18">
      <c r="Q1074" s="1032"/>
      <c r="R1074" s="1032"/>
    </row>
    <row r="1075" spans="17:18">
      <c r="Q1075" s="1032"/>
      <c r="R1075" s="1032"/>
    </row>
    <row r="1076" spans="17:18">
      <c r="Q1076" s="1032"/>
      <c r="R1076" s="1032"/>
    </row>
    <row r="1077" spans="17:18">
      <c r="Q1077" s="1032"/>
      <c r="R1077" s="1032"/>
    </row>
    <row r="1078" spans="17:18">
      <c r="Q1078" s="1032"/>
      <c r="R1078" s="1032"/>
    </row>
    <row r="1079" spans="17:18">
      <c r="Q1079" s="1032"/>
      <c r="R1079" s="1032"/>
    </row>
    <row r="1080" spans="17:18">
      <c r="Q1080" s="1032"/>
      <c r="R1080" s="1032"/>
    </row>
    <row r="1081" spans="17:18">
      <c r="Q1081" s="1032"/>
      <c r="R1081" s="1032"/>
    </row>
    <row r="1082" spans="17:18">
      <c r="Q1082" s="1032"/>
      <c r="R1082" s="1032"/>
    </row>
    <row r="1083" spans="17:18">
      <c r="Q1083" s="1032"/>
      <c r="R1083" s="1032"/>
    </row>
    <row r="1084" spans="17:18">
      <c r="Q1084" s="1032"/>
      <c r="R1084" s="1032"/>
    </row>
    <row r="1085" spans="17:18">
      <c r="Q1085" s="1032"/>
      <c r="R1085" s="1032"/>
    </row>
    <row r="1086" spans="17:18">
      <c r="Q1086" s="1032"/>
      <c r="R1086" s="1032"/>
    </row>
    <row r="1087" spans="17:18">
      <c r="Q1087" s="1032"/>
      <c r="R1087" s="1032"/>
    </row>
    <row r="1088" spans="17:18">
      <c r="Q1088" s="1032"/>
      <c r="R1088" s="1032"/>
    </row>
    <row r="1089" spans="17:18">
      <c r="Q1089" s="1032"/>
      <c r="R1089" s="1032"/>
    </row>
    <row r="1090" spans="17:18">
      <c r="Q1090" s="1032"/>
      <c r="R1090" s="1032"/>
    </row>
    <row r="1091" spans="17:18">
      <c r="Q1091" s="1032"/>
      <c r="R1091" s="1032"/>
    </row>
    <row r="1092" spans="17:18">
      <c r="Q1092" s="1032"/>
      <c r="R1092" s="1032"/>
    </row>
    <row r="1093" spans="17:18">
      <c r="Q1093" s="1032"/>
      <c r="R1093" s="1032"/>
    </row>
    <row r="1094" spans="17:18">
      <c r="Q1094" s="1032"/>
      <c r="R1094" s="1032"/>
    </row>
    <row r="1095" spans="17:18">
      <c r="Q1095" s="1032"/>
      <c r="R1095" s="1032"/>
    </row>
    <row r="1096" spans="17:18">
      <c r="Q1096" s="1032"/>
      <c r="R1096" s="1032"/>
    </row>
    <row r="1097" spans="17:18">
      <c r="Q1097" s="1032"/>
      <c r="R1097" s="1032"/>
    </row>
    <row r="1098" spans="17:18">
      <c r="Q1098" s="1032"/>
      <c r="R1098" s="1032"/>
    </row>
    <row r="1099" spans="17:18">
      <c r="Q1099" s="1032"/>
      <c r="R1099" s="1032"/>
    </row>
    <row r="1100" spans="17:18">
      <c r="Q1100" s="1032"/>
      <c r="R1100" s="1032"/>
    </row>
    <row r="1101" spans="17:18">
      <c r="Q1101" s="1032"/>
      <c r="R1101" s="1032"/>
    </row>
    <row r="1102" spans="17:18">
      <c r="Q1102" s="1032"/>
      <c r="R1102" s="1032"/>
    </row>
    <row r="1103" spans="17:18">
      <c r="Q1103" s="1032"/>
      <c r="R1103" s="1032"/>
    </row>
    <row r="1104" spans="17:18">
      <c r="Q1104" s="1032"/>
      <c r="R1104" s="1032"/>
    </row>
    <row r="1105" spans="17:18">
      <c r="Q1105" s="1032"/>
      <c r="R1105" s="1032"/>
    </row>
    <row r="1106" spans="17:18">
      <c r="Q1106" s="1032"/>
      <c r="R1106" s="1032"/>
    </row>
    <row r="1107" spans="17:18">
      <c r="Q1107" s="1032"/>
      <c r="R1107" s="1032"/>
    </row>
    <row r="1108" spans="17:18">
      <c r="Q1108" s="1032"/>
      <c r="R1108" s="1032"/>
    </row>
    <row r="1109" spans="17:18">
      <c r="Q1109" s="1032"/>
      <c r="R1109" s="1032"/>
    </row>
    <row r="1110" spans="17:18">
      <c r="Q1110" s="1032"/>
      <c r="R1110" s="1032"/>
    </row>
    <row r="1111" spans="17:18">
      <c r="Q1111" s="1032"/>
      <c r="R1111" s="1032"/>
    </row>
    <row r="1112" spans="17:18">
      <c r="Q1112" s="1032"/>
      <c r="R1112" s="1032"/>
    </row>
    <row r="1113" spans="17:18">
      <c r="Q1113" s="1032"/>
      <c r="R1113" s="1032"/>
    </row>
    <row r="1114" spans="17:18">
      <c r="Q1114" s="1032"/>
      <c r="R1114" s="1032"/>
    </row>
    <row r="1115" spans="17:18">
      <c r="Q1115" s="1032"/>
      <c r="R1115" s="1032"/>
    </row>
    <row r="1116" spans="17:18">
      <c r="Q1116" s="1032"/>
      <c r="R1116" s="1032"/>
    </row>
    <row r="1117" spans="17:18">
      <c r="Q1117" s="1032"/>
      <c r="R1117" s="1032"/>
    </row>
    <row r="1118" spans="17:18">
      <c r="Q1118" s="1032"/>
      <c r="R1118" s="1032"/>
    </row>
    <row r="1119" spans="17:18">
      <c r="Q1119" s="1032"/>
      <c r="R1119" s="1032"/>
    </row>
    <row r="1120" spans="17:18">
      <c r="Q1120" s="1032"/>
      <c r="R1120" s="1032"/>
    </row>
    <row r="1121" spans="17:18">
      <c r="Q1121" s="1032"/>
      <c r="R1121" s="1032"/>
    </row>
    <row r="1122" spans="17:18">
      <c r="Q1122" s="1032"/>
      <c r="R1122" s="1032"/>
    </row>
    <row r="1123" spans="17:18">
      <c r="Q1123" s="1032"/>
      <c r="R1123" s="1032"/>
    </row>
    <row r="1124" spans="17:18">
      <c r="Q1124" s="1032"/>
      <c r="R1124" s="1032"/>
    </row>
    <row r="1125" spans="17:18">
      <c r="Q1125" s="1032"/>
      <c r="R1125" s="1032"/>
    </row>
    <row r="1126" spans="17:18">
      <c r="Q1126" s="1032"/>
      <c r="R1126" s="1032"/>
    </row>
    <row r="1127" spans="17:18">
      <c r="Q1127" s="1032"/>
      <c r="R1127" s="1032"/>
    </row>
    <row r="1128" spans="17:18">
      <c r="Q1128" s="1032"/>
      <c r="R1128" s="1032"/>
    </row>
    <row r="1129" spans="17:18">
      <c r="Q1129" s="1032"/>
      <c r="R1129" s="1032"/>
    </row>
    <row r="1130" spans="17:18">
      <c r="Q1130" s="1032"/>
      <c r="R1130" s="1032"/>
    </row>
    <row r="1131" spans="17:18">
      <c r="Q1131" s="1032"/>
      <c r="R1131" s="1032"/>
    </row>
    <row r="1132" spans="17:18">
      <c r="Q1132" s="1032"/>
      <c r="R1132" s="1032"/>
    </row>
    <row r="1133" spans="17:18">
      <c r="Q1133" s="1032"/>
      <c r="R1133" s="1032"/>
    </row>
    <row r="1134" spans="17:18">
      <c r="Q1134" s="1032"/>
      <c r="R1134" s="1032"/>
    </row>
    <row r="1135" spans="17:18">
      <c r="Q1135" s="1032"/>
      <c r="R1135" s="1032"/>
    </row>
    <row r="1136" spans="17:18">
      <c r="Q1136" s="1032"/>
      <c r="R1136" s="1032"/>
    </row>
    <row r="1137" spans="17:18">
      <c r="Q1137" s="1032"/>
      <c r="R1137" s="1032"/>
    </row>
    <row r="1138" spans="17:18">
      <c r="Q1138" s="1032"/>
      <c r="R1138" s="1032"/>
    </row>
    <row r="1139" spans="17:18">
      <c r="Q1139" s="1032"/>
      <c r="R1139" s="1032"/>
    </row>
    <row r="1140" spans="17:18">
      <c r="Q1140" s="1032"/>
      <c r="R1140" s="1032"/>
    </row>
    <row r="1141" spans="17:18">
      <c r="Q1141" s="1032"/>
      <c r="R1141" s="1032"/>
    </row>
    <row r="1142" spans="17:18">
      <c r="Q1142" s="1032"/>
      <c r="R1142" s="1032"/>
    </row>
    <row r="1143" spans="17:18">
      <c r="Q1143" s="1032"/>
      <c r="R1143" s="1032"/>
    </row>
    <row r="1144" spans="17:18">
      <c r="Q1144" s="1032"/>
      <c r="R1144" s="1032"/>
    </row>
    <row r="1145" spans="17:18">
      <c r="Q1145" s="1032"/>
      <c r="R1145" s="1032"/>
    </row>
    <row r="1146" spans="17:18">
      <c r="Q1146" s="1032"/>
      <c r="R1146" s="1032"/>
    </row>
    <row r="1147" spans="17:18">
      <c r="Q1147" s="1032"/>
      <c r="R1147" s="1032"/>
    </row>
  </sheetData>
  <customSheetViews>
    <customSheetView guid="{A57FB75A-A9C6-4363-92C4-C633F764E6EC}" scale="80" showGridLines="0" outlineSymbols="0" showRuler="0">
      <pane ySplit="4" topLeftCell="A5" activePane="bottomLeft" state="frozen"/>
      <selection pane="bottomLeft" activeCell="O25" sqref="O25"/>
      <rowBreaks count="1" manualBreakCount="1">
        <brk id="39" max="16383" man="1"/>
      </rowBreaks>
      <colBreaks count="1" manualBreakCount="1">
        <brk id="22" max="1048575" man="1"/>
      </colBreaks>
      <pageMargins left="0" right="0" top="0" bottom="0" header="0" footer="0"/>
      <pageSetup paperSize="9" scale="64" orientation="landscape" r:id="rId1"/>
      <headerFooter alignWithMargins="0">
        <oddHeader>Seite &amp;P&amp;R&amp;F</oddHeader>
        <oddFooter>&amp;R&amp;D</oddFooter>
      </headerFooter>
    </customSheetView>
    <customSheetView guid="{FC62AB03-1E1B-40DD-97B7-FC10FADA3A15}" scale="80" showGridLines="0" outlineSymbols="0" printArea="1" hiddenRows="1">
      <pane ySplit="4" topLeftCell="A5" activePane="bottomLeft" state="frozen"/>
      <selection pane="bottomLeft" activeCell="G29" sqref="G29"/>
      <rowBreaks count="1" manualBreakCount="1">
        <brk id="40" max="16383" man="1"/>
      </rowBreaks>
      <colBreaks count="1" manualBreakCount="1">
        <brk id="22" max="1048575" man="1"/>
      </colBreaks>
      <pageMargins left="0" right="0" top="0" bottom="0" header="0" footer="0"/>
      <pageSetup paperSize="9" scale="64" orientation="landscape" r:id="rId2"/>
      <headerFooter alignWithMargins="0">
        <oddHeader>Seite &amp;P&amp;R&amp;F</oddHeader>
        <oddFooter>&amp;R&amp;D</oddFooter>
      </headerFooter>
    </customSheetView>
  </customSheetViews>
  <mergeCells count="18">
    <mergeCell ref="R2:R3"/>
    <mergeCell ref="M44:O44"/>
    <mergeCell ref="M39:N39"/>
    <mergeCell ref="A2:A3"/>
    <mergeCell ref="C36:Q36"/>
    <mergeCell ref="C31:H31"/>
    <mergeCell ref="R36:S36"/>
    <mergeCell ref="M42:O42"/>
    <mergeCell ref="B28:C28"/>
    <mergeCell ref="B29:C29"/>
    <mergeCell ref="M37:O37"/>
    <mergeCell ref="M38:O38"/>
    <mergeCell ref="B1:D1"/>
    <mergeCell ref="H1:J1"/>
    <mergeCell ref="A5:A18"/>
    <mergeCell ref="Q2:Q3"/>
    <mergeCell ref="L29:N29"/>
    <mergeCell ref="L28:N28"/>
  </mergeCells>
  <phoneticPr fontId="0" type="noConversion"/>
  <conditionalFormatting sqref="C21:O21 Q21 B23:O24 Q23:Q26">
    <cfRule type="cellIs" dxfId="3" priority="1" stopIfTrue="1" operator="lessThan">
      <formula>0</formula>
    </cfRule>
  </conditionalFormatting>
  <pageMargins left="0.7" right="0.7" top="0.75" bottom="0.75" header="0.3" footer="0.3"/>
  <pageSetup paperSize="9" scale="49" orientation="landscape" r:id="rId3"/>
  <headerFooter alignWithMargins="0">
    <oddHeader>&amp;CSeite &amp;P</oddHeader>
    <oddFooter>&amp;LDie Vorlage dieser Datei wurde zur Verfügung gestellt durch die Wirtschafts-Senioren Hannover&amp;R&amp;D</oddFoot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D78AE-3970-47B9-8F75-9AE746D9B1EF}">
  <sheetPr>
    <tabColor indexed="13"/>
    <pageSetUpPr autoPageBreaks="0"/>
  </sheetPr>
  <dimension ref="A1:AF1008"/>
  <sheetViews>
    <sheetView showGridLines="0" showRuler="0" showOutlineSymbols="0" zoomScaleNormal="100" zoomScaleSheetLayoutView="70" zoomScalePageLayoutView="50" workbookViewId="0">
      <selection activeCell="R7" sqref="R7"/>
    </sheetView>
  </sheetViews>
  <sheetFormatPr defaultColWidth="11.42578125" defaultRowHeight="15" outlineLevelRow="4" outlineLevelCol="2"/>
  <cols>
    <col min="1" max="1" width="6.7109375" style="961" customWidth="1"/>
    <col min="2" max="2" width="34.28515625" style="1085" customWidth="1"/>
    <col min="3" max="3" width="9.140625" style="1085" customWidth="1" outlineLevel="1"/>
    <col min="4" max="4" width="8.7109375" style="1085" customWidth="1" outlineLevel="1"/>
    <col min="5" max="8" width="8.7109375" style="1085" customWidth="1" outlineLevel="2"/>
    <col min="9" max="9" width="8.7109375" style="1086" customWidth="1" outlineLevel="1"/>
    <col min="10" max="14" width="8.7109375" style="1085" customWidth="1" outlineLevel="1"/>
    <col min="15" max="15" width="8.7109375" style="1087" customWidth="1"/>
    <col min="16" max="16" width="8.7109375" style="1084" customWidth="1"/>
    <col min="17" max="17" width="9.7109375" style="961" customWidth="1"/>
    <col min="18" max="18" width="52.7109375" style="1033" customWidth="1"/>
    <col min="19" max="19" width="3.42578125" style="1085" customWidth="1"/>
    <col min="20" max="21" width="7.85546875" style="1085" customWidth="1"/>
    <col min="22" max="22" width="7.85546875" style="1063" customWidth="1"/>
    <col min="23" max="24" width="4.28515625" style="1063" customWidth="1" outlineLevel="1"/>
    <col min="25" max="26" width="4.28515625" style="1064" customWidth="1"/>
    <col min="27" max="36" width="4.28515625" style="1046" customWidth="1"/>
    <col min="37" max="16384" width="11.42578125" style="1046"/>
  </cols>
  <sheetData>
    <row r="1" spans="1:28" s="917" customFormat="1" ht="32.25" customHeight="1" thickTop="1" thickBot="1">
      <c r="A1" s="911"/>
      <c r="B1" s="2237" t="s">
        <v>297</v>
      </c>
      <c r="C1" s="2241"/>
      <c r="D1" s="2241"/>
      <c r="E1" s="2046">
        <f>ZusammenführErgebn!D3</f>
        <v>2026</v>
      </c>
      <c r="F1" s="2045"/>
      <c r="G1" s="2045"/>
      <c r="H1" s="2237" t="str">
        <f>Deckblatt!C5</f>
        <v>Max Mustermann</v>
      </c>
      <c r="I1" s="2237"/>
      <c r="J1" s="2237"/>
      <c r="K1" s="2045"/>
      <c r="L1" s="2045"/>
      <c r="M1" s="2045"/>
      <c r="N1" s="2045"/>
      <c r="O1" s="2045"/>
      <c r="P1" s="1034"/>
      <c r="Q1" s="913"/>
      <c r="R1" s="1035"/>
      <c r="S1" s="1036"/>
      <c r="T1" s="1037"/>
      <c r="U1" s="1037"/>
      <c r="V1" s="1037"/>
      <c r="W1" s="1037"/>
      <c r="X1" s="1038"/>
      <c r="Y1" s="916"/>
    </row>
    <row r="2" spans="1:28" s="1043" customFormat="1" ht="27.6" customHeight="1">
      <c r="A2" s="2235" t="s">
        <v>225</v>
      </c>
      <c r="B2" s="918" t="s">
        <v>226</v>
      </c>
      <c r="C2" s="874" t="str">
        <f>'Ertragsv. 2025'!C2</f>
        <v>Jan.</v>
      </c>
      <c r="D2" s="875" t="str">
        <f>'Ertragsv. 2025'!D2</f>
        <v>Febr.</v>
      </c>
      <c r="E2" s="875" t="str">
        <f>'Ertragsv. 2025'!E2</f>
        <v>März</v>
      </c>
      <c r="F2" s="875" t="str">
        <f>'Ertragsv. 2025'!F2</f>
        <v>April</v>
      </c>
      <c r="G2" s="875" t="str">
        <f>'Ertragsv. 2025'!G2</f>
        <v>Mai</v>
      </c>
      <c r="H2" s="875" t="str">
        <f>'Ertragsv. 2025'!H2</f>
        <v>Juni</v>
      </c>
      <c r="I2" s="875" t="str">
        <f>'Ertragsv. 2025'!I2</f>
        <v>Juli</v>
      </c>
      <c r="J2" s="875" t="str">
        <f>'Ertragsv. 2025'!J2</f>
        <v>Aug.</v>
      </c>
      <c r="K2" s="875" t="str">
        <f>'Ertragsv. 2025'!K2</f>
        <v>Sept.</v>
      </c>
      <c r="L2" s="875" t="str">
        <f>'Ertragsv. 2025'!L2</f>
        <v>Okt.</v>
      </c>
      <c r="M2" s="875" t="str">
        <f>'Ertragsv. 2025'!M2</f>
        <v>Nov.</v>
      </c>
      <c r="N2" s="875" t="str">
        <f>'Ertragsv. 2025'!N2</f>
        <v>Dez.</v>
      </c>
      <c r="O2" s="2041" t="s">
        <v>227</v>
      </c>
      <c r="P2" s="1039" t="s">
        <v>178</v>
      </c>
      <c r="Q2" s="2207" t="s">
        <v>228</v>
      </c>
      <c r="R2" s="2215" t="s">
        <v>229</v>
      </c>
      <c r="S2" s="1040"/>
      <c r="T2" s="1037"/>
      <c r="U2" s="1037"/>
      <c r="V2" s="1037"/>
      <c r="W2" s="1037"/>
      <c r="X2" s="1041"/>
      <c r="Y2" s="1042"/>
      <c r="Z2" s="2091"/>
      <c r="AA2" s="2092"/>
      <c r="AB2" s="2092"/>
    </row>
    <row r="3" spans="1:28" ht="46.5" customHeight="1" outlineLevel="2">
      <c r="A3" s="2221"/>
      <c r="B3" s="924" t="s">
        <v>230</v>
      </c>
      <c r="C3" s="1044">
        <f>'UmstzPlan 1.-3.Jahr'!E38</f>
        <v>0</v>
      </c>
      <c r="D3" s="926">
        <f>'UmstzPlan 1.-3.Jahr'!G38</f>
        <v>0</v>
      </c>
      <c r="E3" s="926">
        <f>'UmstzPlan 1.-3.Jahr'!I38</f>
        <v>0</v>
      </c>
      <c r="F3" s="926">
        <f>'UmstzPlan 1.-3.Jahr'!K38</f>
        <v>0</v>
      </c>
      <c r="G3" s="926">
        <f>'UmstzPlan 1.-3.Jahr'!M38</f>
        <v>0</v>
      </c>
      <c r="H3" s="926">
        <f>'UmstzPlan 1.-3.Jahr'!O38</f>
        <v>0</v>
      </c>
      <c r="I3" s="926">
        <f>'UmstzPlan 1.-3.Jahr'!Q38</f>
        <v>0</v>
      </c>
      <c r="J3" s="926">
        <f>'UmstzPlan 1.-3.Jahr'!S38</f>
        <v>0</v>
      </c>
      <c r="K3" s="926">
        <f>'UmstzPlan 1.-3.Jahr'!U38</f>
        <v>0</v>
      </c>
      <c r="L3" s="926">
        <f>'UmstzPlan 1.-3.Jahr'!W38</f>
        <v>0</v>
      </c>
      <c r="M3" s="926">
        <f>'UmstzPlan 1.-3.Jahr'!Y38</f>
        <v>0</v>
      </c>
      <c r="N3" s="926">
        <f>'UmstzPlan 1.-3.Jahr'!AA38</f>
        <v>0</v>
      </c>
      <c r="O3" s="927">
        <f>SUM(C3:N3)</f>
        <v>0</v>
      </c>
      <c r="P3" s="1382">
        <v>100</v>
      </c>
      <c r="Q3" s="2208"/>
      <c r="R3" s="2216"/>
      <c r="S3" s="1040"/>
      <c r="T3" s="1037"/>
      <c r="U3" s="1037"/>
      <c r="V3" s="1037"/>
      <c r="W3" s="1037"/>
      <c r="X3" s="943"/>
      <c r="Y3" s="1045"/>
      <c r="Z3" s="1026"/>
    </row>
    <row r="4" spans="1:28" ht="15" customHeight="1" outlineLevel="4">
      <c r="A4" s="608">
        <v>0.12</v>
      </c>
      <c r="B4" s="928" t="s">
        <v>231</v>
      </c>
      <c r="C4" s="1047">
        <f>C3*$A$4</f>
        <v>0</v>
      </c>
      <c r="D4" s="1048">
        <f t="shared" ref="D4:N4" si="0">D3*$A$4</f>
        <v>0</v>
      </c>
      <c r="E4" s="1048">
        <f t="shared" si="0"/>
        <v>0</v>
      </c>
      <c r="F4" s="1048">
        <f t="shared" si="0"/>
        <v>0</v>
      </c>
      <c r="G4" s="1048">
        <f t="shared" si="0"/>
        <v>0</v>
      </c>
      <c r="H4" s="1048">
        <f t="shared" si="0"/>
        <v>0</v>
      </c>
      <c r="I4" s="1048">
        <f t="shared" si="0"/>
        <v>0</v>
      </c>
      <c r="J4" s="1048">
        <f t="shared" si="0"/>
        <v>0</v>
      </c>
      <c r="K4" s="1048">
        <f t="shared" si="0"/>
        <v>0</v>
      </c>
      <c r="L4" s="1048">
        <f t="shared" si="0"/>
        <v>0</v>
      </c>
      <c r="M4" s="1048">
        <f t="shared" si="0"/>
        <v>0</v>
      </c>
      <c r="N4" s="1048">
        <f t="shared" si="0"/>
        <v>0</v>
      </c>
      <c r="O4" s="930">
        <f>SUM(C4:N4)</f>
        <v>0</v>
      </c>
      <c r="P4" s="1092" t="e">
        <f>O4/$O$3%</f>
        <v>#DIV/0!</v>
      </c>
      <c r="Q4" s="40"/>
      <c r="R4" s="498"/>
      <c r="S4" s="1040"/>
      <c r="T4" s="1037"/>
      <c r="U4" s="1037"/>
      <c r="V4" s="1037"/>
      <c r="W4" s="1037"/>
      <c r="X4" s="1037"/>
      <c r="Y4" s="1037"/>
      <c r="Z4" s="1037"/>
      <c r="AA4" s="1037"/>
      <c r="AB4" s="1037"/>
    </row>
    <row r="5" spans="1:28" ht="15" customHeight="1" outlineLevel="4">
      <c r="A5" s="2236"/>
      <c r="B5" s="924" t="s">
        <v>233</v>
      </c>
      <c r="C5" s="1049"/>
      <c r="D5" s="932"/>
      <c r="E5" s="932"/>
      <c r="F5" s="932"/>
      <c r="G5" s="932"/>
      <c r="H5" s="932"/>
      <c r="I5" s="932"/>
      <c r="J5" s="932"/>
      <c r="K5" s="932"/>
      <c r="L5" s="932"/>
      <c r="M5" s="932"/>
      <c r="N5" s="932"/>
      <c r="O5" s="933"/>
      <c r="P5" s="1092"/>
      <c r="Q5" s="40"/>
      <c r="R5" s="499"/>
      <c r="S5" s="1040"/>
      <c r="T5" s="1037"/>
      <c r="U5" s="1037"/>
      <c r="V5" s="1037"/>
      <c r="W5" s="1037"/>
      <c r="X5" s="1037"/>
      <c r="Y5" s="1037"/>
      <c r="Z5" s="1037"/>
      <c r="AA5" s="1037"/>
      <c r="AB5" s="1037"/>
    </row>
    <row r="6" spans="1:28" ht="15" customHeight="1" outlineLevel="4">
      <c r="A6" s="2236"/>
      <c r="B6" s="934" t="s">
        <v>234</v>
      </c>
      <c r="C6" s="68"/>
      <c r="D6" s="63">
        <v>0</v>
      </c>
      <c r="E6" s="63">
        <v>0</v>
      </c>
      <c r="F6" s="63">
        <v>0</v>
      </c>
      <c r="G6" s="63">
        <v>0</v>
      </c>
      <c r="H6" s="63">
        <v>0</v>
      </c>
      <c r="I6" s="63">
        <v>0</v>
      </c>
      <c r="J6" s="63">
        <v>0</v>
      </c>
      <c r="K6" s="63">
        <v>0</v>
      </c>
      <c r="L6" s="63">
        <v>0</v>
      </c>
      <c r="M6" s="63">
        <v>0</v>
      </c>
      <c r="N6" s="64">
        <v>0</v>
      </c>
      <c r="O6" s="933">
        <f>SUM(C6:N6)</f>
        <v>0</v>
      </c>
      <c r="P6" s="1092" t="e">
        <f t="shared" ref="P6:P29" si="1">O6/$O$3%</f>
        <v>#DIV/0!</v>
      </c>
      <c r="Q6" s="40"/>
      <c r="R6" s="500" t="s">
        <v>235</v>
      </c>
      <c r="S6" s="1040"/>
      <c r="T6" s="1037"/>
      <c r="U6" s="1037"/>
      <c r="V6" s="1037"/>
      <c r="W6" s="1037"/>
      <c r="X6" s="1037"/>
      <c r="Y6" s="1037"/>
      <c r="Z6" s="1037"/>
      <c r="AA6" s="1037"/>
      <c r="AB6" s="1037"/>
    </row>
    <row r="7" spans="1:28" ht="15" customHeight="1" outlineLevel="4">
      <c r="A7" s="2236"/>
      <c r="B7" s="934" t="s">
        <v>124</v>
      </c>
      <c r="C7" s="68">
        <v>0</v>
      </c>
      <c r="D7" s="63">
        <v>0</v>
      </c>
      <c r="E7" s="63">
        <v>0</v>
      </c>
      <c r="F7" s="63">
        <v>0</v>
      </c>
      <c r="G7" s="63">
        <v>0</v>
      </c>
      <c r="H7" s="63">
        <v>0</v>
      </c>
      <c r="I7" s="63">
        <v>0</v>
      </c>
      <c r="J7" s="63">
        <v>0</v>
      </c>
      <c r="K7" s="63">
        <v>0</v>
      </c>
      <c r="L7" s="63">
        <v>0</v>
      </c>
      <c r="M7" s="63">
        <v>0</v>
      </c>
      <c r="N7" s="64">
        <v>0</v>
      </c>
      <c r="O7" s="933">
        <f>SUM(C7:N7)</f>
        <v>0</v>
      </c>
      <c r="P7" s="1092" t="e">
        <f t="shared" si="1"/>
        <v>#DIV/0!</v>
      </c>
      <c r="Q7" s="40"/>
      <c r="R7" s="500" t="s">
        <v>236</v>
      </c>
      <c r="S7" s="1040"/>
      <c r="T7" s="1037"/>
      <c r="U7" s="1037"/>
      <c r="V7" s="1037"/>
      <c r="W7" s="1037"/>
      <c r="X7" s="1037"/>
      <c r="Y7" s="1037"/>
      <c r="Z7" s="1037"/>
      <c r="AA7" s="1037"/>
      <c r="AB7" s="1037"/>
    </row>
    <row r="8" spans="1:28" ht="15" customHeight="1" outlineLevel="4">
      <c r="A8" s="2236"/>
      <c r="B8" s="934" t="s">
        <v>237</v>
      </c>
      <c r="C8" s="68">
        <v>0</v>
      </c>
      <c r="D8" s="63">
        <v>0</v>
      </c>
      <c r="E8" s="63">
        <v>0</v>
      </c>
      <c r="F8" s="63">
        <v>0</v>
      </c>
      <c r="G8" s="63">
        <v>0</v>
      </c>
      <c r="H8" s="63">
        <v>0</v>
      </c>
      <c r="I8" s="63">
        <v>0</v>
      </c>
      <c r="J8" s="63">
        <v>0</v>
      </c>
      <c r="K8" s="63">
        <v>0</v>
      </c>
      <c r="L8" s="63">
        <v>0</v>
      </c>
      <c r="M8" s="63">
        <v>0</v>
      </c>
      <c r="N8" s="64">
        <v>0</v>
      </c>
      <c r="O8" s="933">
        <f>SUM(C8:N8)</f>
        <v>0</v>
      </c>
      <c r="P8" s="1092" t="e">
        <f t="shared" si="1"/>
        <v>#DIV/0!</v>
      </c>
      <c r="Q8" s="40"/>
      <c r="R8" s="500" t="s">
        <v>238</v>
      </c>
      <c r="S8" s="1040"/>
      <c r="T8" s="1037"/>
      <c r="U8" s="1037"/>
      <c r="V8" s="1037"/>
      <c r="W8" s="1037"/>
      <c r="X8" s="1037"/>
      <c r="Y8" s="1037"/>
      <c r="Z8" s="1037"/>
      <c r="AA8" s="1037"/>
      <c r="AB8" s="1037"/>
    </row>
    <row r="9" spans="1:28" ht="16.5" customHeight="1" outlineLevel="4">
      <c r="A9" s="2236"/>
      <c r="B9" s="928" t="s">
        <v>239</v>
      </c>
      <c r="C9" s="1050">
        <f>Finanz_AfA_Investitionen!$H28</f>
        <v>0</v>
      </c>
      <c r="D9" s="936">
        <f>Finanz_AfA_Investitionen!$H28</f>
        <v>0</v>
      </c>
      <c r="E9" s="936">
        <f>Finanz_AfA_Investitionen!$H28</f>
        <v>0</v>
      </c>
      <c r="F9" s="936">
        <f>Finanz_AfA_Investitionen!$H28</f>
        <v>0</v>
      </c>
      <c r="G9" s="936">
        <f>Finanz_AfA_Investitionen!$H28</f>
        <v>0</v>
      </c>
      <c r="H9" s="936">
        <f>Finanz_AfA_Investitionen!$H28</f>
        <v>0</v>
      </c>
      <c r="I9" s="936">
        <f>Finanz_AfA_Investitionen!$H28</f>
        <v>0</v>
      </c>
      <c r="J9" s="936">
        <f>Finanz_AfA_Investitionen!$H28</f>
        <v>0</v>
      </c>
      <c r="K9" s="936">
        <f>Finanz_AfA_Investitionen!$H28</f>
        <v>0</v>
      </c>
      <c r="L9" s="936">
        <f>Finanz_AfA_Investitionen!$H28</f>
        <v>0</v>
      </c>
      <c r="M9" s="936">
        <f>Finanz_AfA_Investitionen!$H28</f>
        <v>0</v>
      </c>
      <c r="N9" s="936">
        <f>Finanz_AfA_Investitionen!$H28</f>
        <v>0</v>
      </c>
      <c r="O9" s="933">
        <f>SUM(C9:N9)</f>
        <v>0</v>
      </c>
      <c r="P9" s="1092" t="e">
        <f t="shared" si="1"/>
        <v>#DIV/0!</v>
      </c>
      <c r="Q9" s="40"/>
      <c r="R9" s="500"/>
      <c r="S9" s="1040"/>
      <c r="T9" s="1037"/>
      <c r="U9" s="1037"/>
      <c r="V9" s="1037"/>
      <c r="W9" s="1037"/>
      <c r="X9" s="1037"/>
      <c r="Y9" s="1037"/>
      <c r="Z9" s="1037"/>
      <c r="AA9" s="1037"/>
      <c r="AB9" s="1037"/>
    </row>
    <row r="10" spans="1:28" ht="16.5" customHeight="1" outlineLevel="3">
      <c r="A10" s="2236"/>
      <c r="B10" s="934" t="s">
        <v>240</v>
      </c>
      <c r="C10" s="68"/>
      <c r="D10" s="63"/>
      <c r="E10" s="63"/>
      <c r="F10" s="63"/>
      <c r="G10" s="63"/>
      <c r="H10" s="63"/>
      <c r="I10" s="63"/>
      <c r="J10" s="63"/>
      <c r="K10" s="63"/>
      <c r="L10" s="63"/>
      <c r="M10" s="63"/>
      <c r="N10" s="64"/>
      <c r="O10" s="933">
        <f t="shared" ref="O10:O22" si="2">SUM(C10:N10)</f>
        <v>0</v>
      </c>
      <c r="P10" s="1092" t="e">
        <f t="shared" si="1"/>
        <v>#DIV/0!</v>
      </c>
      <c r="Q10" s="40"/>
      <c r="R10" s="500"/>
      <c r="S10" s="1040"/>
      <c r="T10" s="1037"/>
      <c r="U10" s="1037"/>
      <c r="V10" s="1037"/>
      <c r="W10" s="1037"/>
      <c r="X10" s="1037"/>
      <c r="Y10" s="1037"/>
      <c r="Z10" s="1037"/>
      <c r="AA10" s="1037"/>
      <c r="AB10" s="1037"/>
    </row>
    <row r="11" spans="1:28" ht="16.5" customHeight="1" outlineLevel="3">
      <c r="A11" s="2236"/>
      <c r="B11" s="934" t="s">
        <v>242</v>
      </c>
      <c r="C11" s="68"/>
      <c r="D11" s="63"/>
      <c r="E11" s="63"/>
      <c r="F11" s="63"/>
      <c r="G11" s="63"/>
      <c r="H11" s="63"/>
      <c r="I11" s="63"/>
      <c r="J11" s="63"/>
      <c r="K11" s="63"/>
      <c r="L11" s="63"/>
      <c r="M11" s="63"/>
      <c r="N11" s="64"/>
      <c r="O11" s="933">
        <f t="shared" si="2"/>
        <v>0</v>
      </c>
      <c r="P11" s="1092" t="e">
        <f t="shared" si="1"/>
        <v>#DIV/0!</v>
      </c>
      <c r="Q11" s="40"/>
      <c r="R11" s="500"/>
      <c r="S11" s="1040"/>
      <c r="T11" s="1037"/>
      <c r="U11" s="1037"/>
      <c r="V11" s="1037"/>
      <c r="W11" s="1037"/>
      <c r="X11" s="1037"/>
      <c r="Y11" s="1037"/>
      <c r="Z11" s="1037"/>
      <c r="AA11" s="1037"/>
      <c r="AB11" s="1037"/>
    </row>
    <row r="12" spans="1:28" ht="16.5" customHeight="1" outlineLevel="3">
      <c r="A12" s="2236"/>
      <c r="B12" s="934" t="s">
        <v>243</v>
      </c>
      <c r="C12" s="68"/>
      <c r="D12" s="63"/>
      <c r="E12" s="63"/>
      <c r="F12" s="63"/>
      <c r="G12" s="63"/>
      <c r="H12" s="63"/>
      <c r="I12" s="63"/>
      <c r="J12" s="63"/>
      <c r="K12" s="63"/>
      <c r="L12" s="63"/>
      <c r="M12" s="63"/>
      <c r="N12" s="64"/>
      <c r="O12" s="933">
        <f t="shared" si="2"/>
        <v>0</v>
      </c>
      <c r="P12" s="1092" t="e">
        <f t="shared" si="1"/>
        <v>#DIV/0!</v>
      </c>
      <c r="Q12" s="40"/>
      <c r="R12" s="500"/>
      <c r="S12" s="1040"/>
      <c r="T12" s="1037"/>
      <c r="U12" s="1037"/>
      <c r="V12" s="1037"/>
      <c r="W12" s="1037"/>
      <c r="X12" s="1037"/>
      <c r="Y12" s="1037"/>
      <c r="Z12" s="1037"/>
      <c r="AA12" s="1037"/>
      <c r="AB12" s="1037"/>
    </row>
    <row r="13" spans="1:28" ht="16.5" customHeight="1" outlineLevel="3">
      <c r="A13" s="2236"/>
      <c r="B13" s="934" t="s">
        <v>244</v>
      </c>
      <c r="C13" s="68"/>
      <c r="D13" s="63"/>
      <c r="E13" s="63"/>
      <c r="F13" s="63"/>
      <c r="G13" s="63"/>
      <c r="H13" s="63"/>
      <c r="I13" s="63"/>
      <c r="J13" s="63"/>
      <c r="K13" s="63"/>
      <c r="L13" s="63"/>
      <c r="M13" s="63"/>
      <c r="N13" s="64"/>
      <c r="O13" s="933">
        <f t="shared" si="2"/>
        <v>0</v>
      </c>
      <c r="P13" s="1092" t="e">
        <f t="shared" si="1"/>
        <v>#DIV/0!</v>
      </c>
      <c r="Q13" s="40"/>
      <c r="R13" s="500"/>
      <c r="S13" s="1040"/>
      <c r="T13" s="1037"/>
      <c r="U13" s="1037"/>
      <c r="V13" s="1037"/>
      <c r="W13" s="1037"/>
      <c r="X13" s="1037"/>
      <c r="Y13" s="1037"/>
      <c r="Z13" s="1037"/>
      <c r="AA13" s="1037"/>
      <c r="AB13" s="1037"/>
    </row>
    <row r="14" spans="1:28" ht="16.5" customHeight="1" outlineLevel="3">
      <c r="A14" s="2236"/>
      <c r="B14" s="934" t="s">
        <v>125</v>
      </c>
      <c r="C14" s="68"/>
      <c r="D14" s="63"/>
      <c r="E14" s="63"/>
      <c r="F14" s="63"/>
      <c r="G14" s="63"/>
      <c r="H14" s="63"/>
      <c r="I14" s="63"/>
      <c r="J14" s="63"/>
      <c r="K14" s="63"/>
      <c r="L14" s="63"/>
      <c r="M14" s="63"/>
      <c r="N14" s="64"/>
      <c r="O14" s="933">
        <f t="shared" si="2"/>
        <v>0</v>
      </c>
      <c r="P14" s="1092" t="e">
        <f t="shared" si="1"/>
        <v>#DIV/0!</v>
      </c>
      <c r="Q14" s="40"/>
      <c r="R14" s="500"/>
      <c r="S14" s="1040"/>
      <c r="T14" s="1037"/>
      <c r="U14" s="1037"/>
      <c r="V14" s="1037"/>
      <c r="W14" s="1037"/>
      <c r="X14" s="1037"/>
      <c r="Y14" s="1037"/>
      <c r="Z14" s="1037"/>
      <c r="AA14" s="1037"/>
      <c r="AB14" s="1037"/>
    </row>
    <row r="15" spans="1:28" ht="16.5" customHeight="1" outlineLevel="3">
      <c r="A15" s="2236"/>
      <c r="B15" s="934" t="s">
        <v>247</v>
      </c>
      <c r="C15" s="68"/>
      <c r="D15" s="63"/>
      <c r="E15" s="63"/>
      <c r="F15" s="63"/>
      <c r="G15" s="63"/>
      <c r="H15" s="63"/>
      <c r="I15" s="63"/>
      <c r="J15" s="63"/>
      <c r="K15" s="63"/>
      <c r="L15" s="63"/>
      <c r="M15" s="63"/>
      <c r="N15" s="64"/>
      <c r="O15" s="933">
        <f t="shared" si="2"/>
        <v>0</v>
      </c>
      <c r="P15" s="1092" t="e">
        <f t="shared" si="1"/>
        <v>#DIV/0!</v>
      </c>
      <c r="Q15" s="40"/>
      <c r="R15" s="500"/>
      <c r="S15" s="1040"/>
      <c r="T15" s="1037"/>
      <c r="U15" s="1037"/>
      <c r="V15" s="1037"/>
      <c r="W15" s="1037"/>
      <c r="X15" s="1037"/>
      <c r="Y15" s="1037"/>
      <c r="Z15" s="1037"/>
      <c r="AA15" s="1037"/>
      <c r="AB15" s="1037"/>
    </row>
    <row r="16" spans="1:28" ht="16.5" customHeight="1" outlineLevel="3">
      <c r="A16" s="2236"/>
      <c r="B16" s="934" t="s">
        <v>248</v>
      </c>
      <c r="C16" s="69"/>
      <c r="D16" s="66"/>
      <c r="E16" s="66"/>
      <c r="F16" s="66"/>
      <c r="G16" s="66"/>
      <c r="H16" s="66"/>
      <c r="I16" s="66"/>
      <c r="J16" s="66"/>
      <c r="K16" s="66"/>
      <c r="L16" s="66"/>
      <c r="M16" s="66"/>
      <c r="N16" s="67"/>
      <c r="O16" s="933">
        <f t="shared" si="2"/>
        <v>0</v>
      </c>
      <c r="P16" s="1092" t="e">
        <f t="shared" si="1"/>
        <v>#DIV/0!</v>
      </c>
      <c r="Q16" s="40"/>
      <c r="R16" s="500"/>
      <c r="S16" s="1040"/>
      <c r="T16" s="1037"/>
      <c r="U16" s="1037"/>
      <c r="V16" s="1037"/>
      <c r="W16" s="1037"/>
      <c r="X16" s="1037"/>
      <c r="Y16" s="1037"/>
      <c r="Z16" s="1037"/>
      <c r="AA16" s="1037"/>
      <c r="AB16" s="1037"/>
    </row>
    <row r="17" spans="1:32" ht="16.5" customHeight="1" outlineLevel="3">
      <c r="A17" s="2236"/>
      <c r="B17" s="934" t="s">
        <v>249</v>
      </c>
      <c r="C17" s="1051">
        <f>Finanz_AfA_Investitionen!$H$38-Finanz_AfA_Investitionen!H37+'Mikrostarter Geschäftsplan'!D33</f>
        <v>0</v>
      </c>
      <c r="D17" s="1051">
        <f>Finanz_AfA_Investitionen!$H$38-Finanz_AfA_Investitionen!H37+'Mikrostarter Geschäftsplan'!D34</f>
        <v>0</v>
      </c>
      <c r="E17" s="1051">
        <f>Finanz_AfA_Investitionen!$H$38-Finanz_AfA_Investitionen!H37+'Mikrostarter Geschäftsplan'!D35</f>
        <v>0</v>
      </c>
      <c r="F17" s="1051">
        <f>Finanz_AfA_Investitionen!$H$38-Finanz_AfA_Investitionen!H37+'Mikrostarter Geschäftsplan'!D36</f>
        <v>0</v>
      </c>
      <c r="G17" s="1051">
        <f>Finanz_AfA_Investitionen!$H$38-Finanz_AfA_Investitionen!H37+'Mikrostarter Geschäftsplan'!D37</f>
        <v>0</v>
      </c>
      <c r="H17" s="1051">
        <f>Finanz_AfA_Investitionen!$H$38-Finanz_AfA_Investitionen!H37+'Mikrostarter Geschäftsplan'!D38</f>
        <v>0</v>
      </c>
      <c r="I17" s="1051">
        <f>Finanz_AfA_Investitionen!$H$38-Finanz_AfA_Investitionen!H37+'Mikrostarter Geschäftsplan'!D39</f>
        <v>0</v>
      </c>
      <c r="J17" s="1051">
        <f>Finanz_AfA_Investitionen!$H$38-Finanz_AfA_Investitionen!H37+'Mikrostarter Geschäftsplan'!D40</f>
        <v>0</v>
      </c>
      <c r="K17" s="1051">
        <f>Finanz_AfA_Investitionen!$H$38-Finanz_AfA_Investitionen!H37+'Mikrostarter Geschäftsplan'!D41</f>
        <v>0</v>
      </c>
      <c r="L17" s="1051">
        <f>Finanz_AfA_Investitionen!$H$38-Finanz_AfA_Investitionen!H37+'Mikrostarter Geschäftsplan'!D42</f>
        <v>0</v>
      </c>
      <c r="M17" s="1051">
        <f>Finanz_AfA_Investitionen!$H$38-Finanz_AfA_Investitionen!H37+'Mikrostarter Geschäftsplan'!D43</f>
        <v>0</v>
      </c>
      <c r="N17" s="1051">
        <f>Finanz_AfA_Investitionen!$H$38-Finanz_AfA_Investitionen!H37+'Mikrostarter Geschäftsplan'!D44</f>
        <v>0</v>
      </c>
      <c r="O17" s="933">
        <f t="shared" si="2"/>
        <v>0</v>
      </c>
      <c r="P17" s="1092" t="e">
        <f t="shared" si="1"/>
        <v>#DIV/0!</v>
      </c>
      <c r="Q17" s="40"/>
      <c r="R17" s="500"/>
      <c r="S17" s="1040"/>
      <c r="T17" s="1037"/>
      <c r="U17" s="1037"/>
      <c r="V17" s="1037"/>
      <c r="W17" s="1037"/>
      <c r="X17" s="1037"/>
      <c r="Y17" s="1037"/>
      <c r="Z17" s="1037"/>
      <c r="AA17" s="1037"/>
      <c r="AB17" s="1037"/>
    </row>
    <row r="18" spans="1:32" ht="16.5" customHeight="1" outlineLevel="3">
      <c r="A18" s="2236"/>
      <c r="B18" s="928" t="s">
        <v>251</v>
      </c>
      <c r="C18" s="1051">
        <f>ArbStd_MA!$I$94+ArbStd_MA!$I$99</f>
        <v>0</v>
      </c>
      <c r="D18" s="929">
        <f>ArbStd_MA!$I$94+ArbStd_MA!$I$99</f>
        <v>0</v>
      </c>
      <c r="E18" s="929">
        <f>ArbStd_MA!$I$94+ArbStd_MA!$I$99</f>
        <v>0</v>
      </c>
      <c r="F18" s="929">
        <f>ArbStd_MA!$I$94+ArbStd_MA!$I$99</f>
        <v>0</v>
      </c>
      <c r="G18" s="929">
        <f>ArbStd_MA!$I$94+ArbStd_MA!$I$99</f>
        <v>0</v>
      </c>
      <c r="H18" s="929">
        <f>ArbStd_MA!$I$94+ArbStd_MA!$I$99</f>
        <v>0</v>
      </c>
      <c r="I18" s="929">
        <f>ArbStd_MA!$I$94+ArbStd_MA!$I$99</f>
        <v>0</v>
      </c>
      <c r="J18" s="929">
        <f>ArbStd_MA!$I$94+ArbStd_MA!$I$99</f>
        <v>0</v>
      </c>
      <c r="K18" s="929">
        <f>ArbStd_MA!$I$94+ArbStd_MA!$I$99</f>
        <v>0</v>
      </c>
      <c r="L18" s="929">
        <f>ArbStd_MA!$I$94+ArbStd_MA!$I$99</f>
        <v>0</v>
      </c>
      <c r="M18" s="929">
        <f>ArbStd_MA!$I$94+ArbStd_MA!$I$99</f>
        <v>0</v>
      </c>
      <c r="N18" s="929">
        <f>ArbStd_MA!$I$94+ArbStd_MA!$I$99</f>
        <v>0</v>
      </c>
      <c r="O18" s="933">
        <f t="shared" si="2"/>
        <v>0</v>
      </c>
      <c r="P18" s="1092" t="e">
        <f t="shared" si="1"/>
        <v>#DIV/0!</v>
      </c>
      <c r="Q18" s="40"/>
      <c r="R18" s="500"/>
      <c r="S18" s="1040"/>
      <c r="T18" s="1037"/>
      <c r="U18" s="1037"/>
      <c r="V18" s="1037"/>
      <c r="W18" s="1037"/>
      <c r="X18" s="1037"/>
      <c r="Y18" s="1037"/>
      <c r="Z18" s="1037"/>
      <c r="AA18" s="1037"/>
      <c r="AB18" s="1037"/>
    </row>
    <row r="19" spans="1:32" ht="16.5" customHeight="1" outlineLevel="3">
      <c r="A19" s="2236"/>
      <c r="B19" s="928"/>
      <c r="C19" s="1051"/>
      <c r="D19" s="929"/>
      <c r="E19" s="929"/>
      <c r="F19" s="929"/>
      <c r="G19" s="929"/>
      <c r="H19" s="929"/>
      <c r="I19" s="929"/>
      <c r="J19" s="929"/>
      <c r="K19" s="929"/>
      <c r="L19" s="929"/>
      <c r="M19" s="929"/>
      <c r="N19" s="929"/>
      <c r="O19" s="927"/>
      <c r="P19" s="1092" t="e">
        <f t="shared" si="1"/>
        <v>#DIV/0!</v>
      </c>
      <c r="Q19" s="40"/>
      <c r="R19" s="500"/>
      <c r="S19" s="1040"/>
      <c r="T19" s="1037"/>
      <c r="U19" s="1037"/>
      <c r="V19" s="1037"/>
      <c r="W19" s="1037"/>
      <c r="X19" s="1037"/>
      <c r="Y19" s="1037"/>
      <c r="Z19" s="1037"/>
      <c r="AA19" s="1037"/>
      <c r="AB19" s="1037"/>
    </row>
    <row r="20" spans="1:32" ht="22.5" customHeight="1" outlineLevel="3">
      <c r="A20" s="2236"/>
      <c r="B20" s="940" t="s">
        <v>130</v>
      </c>
      <c r="C20" s="1052">
        <f>SUM(C4:C19)</f>
        <v>0</v>
      </c>
      <c r="D20" s="941">
        <f>SUM(D4:D19)</f>
        <v>0</v>
      </c>
      <c r="E20" s="941">
        <f>SUM(E4:E19)</f>
        <v>0</v>
      </c>
      <c r="F20" s="941">
        <f t="shared" ref="F20:N20" si="3">SUM(F4:F19)</f>
        <v>0</v>
      </c>
      <c r="G20" s="941">
        <f t="shared" si="3"/>
        <v>0</v>
      </c>
      <c r="H20" s="941">
        <f t="shared" si="3"/>
        <v>0</v>
      </c>
      <c r="I20" s="941">
        <f t="shared" si="3"/>
        <v>0</v>
      </c>
      <c r="J20" s="941">
        <f t="shared" si="3"/>
        <v>0</v>
      </c>
      <c r="K20" s="941">
        <f t="shared" si="3"/>
        <v>0</v>
      </c>
      <c r="L20" s="941">
        <f t="shared" si="3"/>
        <v>0</v>
      </c>
      <c r="M20" s="941">
        <f t="shared" si="3"/>
        <v>0</v>
      </c>
      <c r="N20" s="941">
        <f t="shared" si="3"/>
        <v>0</v>
      </c>
      <c r="O20" s="942">
        <f t="shared" si="2"/>
        <v>0</v>
      </c>
      <c r="P20" s="1092" t="e">
        <f t="shared" si="1"/>
        <v>#DIV/0!</v>
      </c>
      <c r="Q20" s="41"/>
      <c r="R20" s="501"/>
      <c r="S20" s="1040"/>
      <c r="T20" s="1037"/>
      <c r="U20" s="1037"/>
      <c r="V20" s="1037"/>
      <c r="W20" s="1037"/>
      <c r="X20" s="1037"/>
      <c r="Y20" s="1037"/>
      <c r="Z20" s="1037"/>
      <c r="AA20" s="1037"/>
      <c r="AB20" s="1037"/>
    </row>
    <row r="21" spans="1:32" ht="22.5" customHeight="1" outlineLevel="2">
      <c r="A21" s="937"/>
      <c r="B21" s="940" t="s">
        <v>253</v>
      </c>
      <c r="C21" s="1052">
        <f t="shared" ref="C21:N21" si="4">C3-C20</f>
        <v>0</v>
      </c>
      <c r="D21" s="941">
        <f t="shared" si="4"/>
        <v>0</v>
      </c>
      <c r="E21" s="941">
        <f t="shared" si="4"/>
        <v>0</v>
      </c>
      <c r="F21" s="941">
        <f t="shared" si="4"/>
        <v>0</v>
      </c>
      <c r="G21" s="941">
        <f t="shared" si="4"/>
        <v>0</v>
      </c>
      <c r="H21" s="941">
        <f t="shared" si="4"/>
        <v>0</v>
      </c>
      <c r="I21" s="941">
        <f t="shared" si="4"/>
        <v>0</v>
      </c>
      <c r="J21" s="941">
        <f t="shared" si="4"/>
        <v>0</v>
      </c>
      <c r="K21" s="941">
        <f t="shared" si="4"/>
        <v>0</v>
      </c>
      <c r="L21" s="941">
        <f t="shared" si="4"/>
        <v>0</v>
      </c>
      <c r="M21" s="941">
        <f t="shared" si="4"/>
        <v>0</v>
      </c>
      <c r="N21" s="941">
        <f t="shared" si="4"/>
        <v>0</v>
      </c>
      <c r="O21" s="942">
        <f t="shared" si="2"/>
        <v>0</v>
      </c>
      <c r="P21" s="1092" t="e">
        <f t="shared" si="1"/>
        <v>#DIV/0!</v>
      </c>
      <c r="Q21" s="42"/>
      <c r="R21" s="501"/>
      <c r="S21" s="1040"/>
      <c r="T21" s="1037"/>
      <c r="U21" s="1037"/>
      <c r="V21" s="1037"/>
      <c r="W21" s="1037"/>
      <c r="X21" s="1037"/>
      <c r="Y21" s="1037"/>
      <c r="Z21" s="1037"/>
      <c r="AA21" s="1037"/>
      <c r="AB21" s="1037"/>
    </row>
    <row r="22" spans="1:32" ht="22.5" customHeight="1" outlineLevel="1">
      <c r="A22" s="937"/>
      <c r="B22" s="928" t="s">
        <v>254</v>
      </c>
      <c r="C22" s="1051">
        <f>Finanz_AfA_Investitionen!F28</f>
        <v>0</v>
      </c>
      <c r="D22" s="929">
        <f>Finanz_AfA_Investitionen!F28</f>
        <v>0</v>
      </c>
      <c r="E22" s="929">
        <f>Finanz_AfA_Investitionen!F28</f>
        <v>0</v>
      </c>
      <c r="F22" s="929">
        <f>Finanz_AfA_Investitionen!F28</f>
        <v>0</v>
      </c>
      <c r="G22" s="929">
        <f>Finanz_AfA_Investitionen!F28</f>
        <v>0</v>
      </c>
      <c r="H22" s="929">
        <f>Finanz_AfA_Investitionen!F28</f>
        <v>0</v>
      </c>
      <c r="I22" s="929">
        <f>Finanz_AfA_Investitionen!F28</f>
        <v>0</v>
      </c>
      <c r="J22" s="929">
        <f>Finanz_AfA_Investitionen!F28</f>
        <v>0</v>
      </c>
      <c r="K22" s="929">
        <f>Finanz_AfA_Investitionen!F28</f>
        <v>0</v>
      </c>
      <c r="L22" s="929">
        <f>Finanz_AfA_Investitionen!F28</f>
        <v>0</v>
      </c>
      <c r="M22" s="929">
        <f>Finanz_AfA_Investitionen!F28</f>
        <v>0</v>
      </c>
      <c r="N22" s="929">
        <f>Finanz_AfA_Investitionen!F28</f>
        <v>0</v>
      </c>
      <c r="O22" s="933">
        <f t="shared" si="2"/>
        <v>0</v>
      </c>
      <c r="P22" s="1092" t="e">
        <f t="shared" si="1"/>
        <v>#DIV/0!</v>
      </c>
      <c r="Q22" s="40"/>
      <c r="R22" s="501"/>
      <c r="S22" s="1040"/>
      <c r="T22" s="1037"/>
      <c r="U22" s="1037"/>
      <c r="V22" s="1037"/>
      <c r="W22" s="1037"/>
      <c r="X22" s="1037"/>
      <c r="Y22" s="1037"/>
      <c r="Z22" s="1037"/>
      <c r="AA22" s="1037"/>
      <c r="AB22" s="1037"/>
    </row>
    <row r="23" spans="1:32" ht="22.5" customHeight="1" outlineLevel="1" thickBot="1">
      <c r="A23" s="937"/>
      <c r="B23" s="1053" t="s">
        <v>133</v>
      </c>
      <c r="C23" s="1054">
        <f t="shared" ref="C23:N23" si="5">C21-C22</f>
        <v>0</v>
      </c>
      <c r="D23" s="946">
        <f t="shared" si="5"/>
        <v>0</v>
      </c>
      <c r="E23" s="946">
        <f t="shared" si="5"/>
        <v>0</v>
      </c>
      <c r="F23" s="946">
        <f t="shared" si="5"/>
        <v>0</v>
      </c>
      <c r="G23" s="946">
        <f t="shared" si="5"/>
        <v>0</v>
      </c>
      <c r="H23" s="946">
        <f t="shared" si="5"/>
        <v>0</v>
      </c>
      <c r="I23" s="946">
        <f t="shared" si="5"/>
        <v>0</v>
      </c>
      <c r="J23" s="946">
        <f t="shared" si="5"/>
        <v>0</v>
      </c>
      <c r="K23" s="946">
        <f t="shared" si="5"/>
        <v>0</v>
      </c>
      <c r="L23" s="946">
        <f t="shared" si="5"/>
        <v>0</v>
      </c>
      <c r="M23" s="946">
        <f t="shared" si="5"/>
        <v>0</v>
      </c>
      <c r="N23" s="946">
        <f t="shared" si="5"/>
        <v>0</v>
      </c>
      <c r="O23" s="946">
        <f>O21-O22</f>
        <v>0</v>
      </c>
      <c r="P23" s="1092" t="e">
        <f t="shared" si="1"/>
        <v>#DIV/0!</v>
      </c>
      <c r="Q23" s="41"/>
      <c r="R23" s="501" t="s">
        <v>298</v>
      </c>
      <c r="S23" s="1040"/>
      <c r="T23" s="1037"/>
      <c r="U23" s="1037"/>
      <c r="V23" s="1037"/>
      <c r="W23" s="1037"/>
      <c r="X23" s="1037"/>
      <c r="Y23" s="1037"/>
      <c r="Z23" s="1037"/>
      <c r="AA23" s="1037"/>
      <c r="AB23" s="1037"/>
    </row>
    <row r="24" spans="1:32" ht="22.5" customHeight="1" outlineLevel="1" thickTop="1" thickBot="1">
      <c r="A24" s="937"/>
      <c r="B24" s="1055" t="s">
        <v>255</v>
      </c>
      <c r="C24" s="1056">
        <f>'Ertragsv. 2026'!C23</f>
        <v>0</v>
      </c>
      <c r="D24" s="1057">
        <f>C24+D23</f>
        <v>0</v>
      </c>
      <c r="E24" s="1057">
        <f t="shared" ref="E24:N24" si="6">D24+E23</f>
        <v>0</v>
      </c>
      <c r="F24" s="1057">
        <f t="shared" si="6"/>
        <v>0</v>
      </c>
      <c r="G24" s="1057">
        <f t="shared" si="6"/>
        <v>0</v>
      </c>
      <c r="H24" s="1057">
        <f t="shared" si="6"/>
        <v>0</v>
      </c>
      <c r="I24" s="1057">
        <f t="shared" si="6"/>
        <v>0</v>
      </c>
      <c r="J24" s="1057">
        <f t="shared" si="6"/>
        <v>0</v>
      </c>
      <c r="K24" s="1057">
        <f t="shared" si="6"/>
        <v>0</v>
      </c>
      <c r="L24" s="1057">
        <f t="shared" si="6"/>
        <v>0</v>
      </c>
      <c r="M24" s="1057">
        <f t="shared" si="6"/>
        <v>0</v>
      </c>
      <c r="N24" s="1057">
        <f t="shared" si="6"/>
        <v>0</v>
      </c>
      <c r="O24" s="949"/>
      <c r="P24" s="1092" t="e">
        <f t="shared" si="1"/>
        <v>#DIV/0!</v>
      </c>
      <c r="Q24" s="41"/>
      <c r="R24" s="501"/>
      <c r="S24" s="1040"/>
      <c r="T24" s="1037"/>
      <c r="U24" s="1037"/>
      <c r="V24" s="1037"/>
      <c r="W24" s="1037"/>
      <c r="X24" s="939"/>
      <c r="Y24" s="1045"/>
      <c r="Z24" s="1026"/>
    </row>
    <row r="25" spans="1:32" ht="22.5" customHeight="1" outlineLevel="1" thickTop="1">
      <c r="A25" s="937"/>
      <c r="B25" s="950" t="s">
        <v>256</v>
      </c>
      <c r="C25" s="1058">
        <f>IF($K$32=1,C23*$I$32,IF($K$32=2,C23*$I$33))</f>
        <v>0</v>
      </c>
      <c r="D25" s="1058">
        <f t="shared" ref="D25:N25" si="7">IF($K$32=1,D23*$I$32,IF($K$32=2,D23*$I$33))</f>
        <v>0</v>
      </c>
      <c r="E25" s="1058">
        <f t="shared" si="7"/>
        <v>0</v>
      </c>
      <c r="F25" s="1058">
        <f t="shared" si="7"/>
        <v>0</v>
      </c>
      <c r="G25" s="1058">
        <f t="shared" si="7"/>
        <v>0</v>
      </c>
      <c r="H25" s="1058">
        <f t="shared" si="7"/>
        <v>0</v>
      </c>
      <c r="I25" s="1058">
        <f t="shared" si="7"/>
        <v>0</v>
      </c>
      <c r="J25" s="1058">
        <f t="shared" si="7"/>
        <v>0</v>
      </c>
      <c r="K25" s="1058">
        <f t="shared" si="7"/>
        <v>0</v>
      </c>
      <c r="L25" s="1058">
        <f t="shared" si="7"/>
        <v>0</v>
      </c>
      <c r="M25" s="1058">
        <f t="shared" si="7"/>
        <v>0</v>
      </c>
      <c r="N25" s="1058">
        <f t="shared" si="7"/>
        <v>0</v>
      </c>
      <c r="O25" s="930">
        <f>SUM(C25:N25)</f>
        <v>0</v>
      </c>
      <c r="P25" s="1092" t="e">
        <f t="shared" si="1"/>
        <v>#DIV/0!</v>
      </c>
      <c r="Q25" s="41"/>
      <c r="R25" s="501"/>
      <c r="S25" s="1040"/>
      <c r="T25" s="1037"/>
      <c r="U25" s="1037"/>
      <c r="V25" s="1037"/>
      <c r="W25" s="1037"/>
      <c r="X25" s="939"/>
      <c r="Y25" s="1045"/>
      <c r="Z25" s="1026"/>
    </row>
    <row r="26" spans="1:32" ht="22.5" customHeight="1" outlineLevel="1" thickBot="1">
      <c r="A26" s="937"/>
      <c r="B26" s="1053" t="s">
        <v>257</v>
      </c>
      <c r="C26" s="1054">
        <f>C23-C25</f>
        <v>0</v>
      </c>
      <c r="D26" s="945">
        <f t="shared" ref="D26:N26" si="8">D23-D25</f>
        <v>0</v>
      </c>
      <c r="E26" s="945">
        <f t="shared" si="8"/>
        <v>0</v>
      </c>
      <c r="F26" s="945">
        <f t="shared" si="8"/>
        <v>0</v>
      </c>
      <c r="G26" s="945">
        <f t="shared" si="8"/>
        <v>0</v>
      </c>
      <c r="H26" s="945">
        <f t="shared" si="8"/>
        <v>0</v>
      </c>
      <c r="I26" s="945">
        <f t="shared" si="8"/>
        <v>0</v>
      </c>
      <c r="J26" s="945">
        <f t="shared" si="8"/>
        <v>0</v>
      </c>
      <c r="K26" s="945">
        <f t="shared" si="8"/>
        <v>0</v>
      </c>
      <c r="L26" s="945">
        <f t="shared" si="8"/>
        <v>0</v>
      </c>
      <c r="M26" s="945">
        <f t="shared" si="8"/>
        <v>0</v>
      </c>
      <c r="N26" s="945">
        <f t="shared" si="8"/>
        <v>0</v>
      </c>
      <c r="O26" s="946">
        <f>SUM(C26:N26)</f>
        <v>0</v>
      </c>
      <c r="P26" s="1092" t="e">
        <f t="shared" si="1"/>
        <v>#DIV/0!</v>
      </c>
      <c r="Q26" s="41"/>
      <c r="R26" s="502"/>
      <c r="S26" s="1040"/>
      <c r="T26" s="1037"/>
      <c r="U26" s="1037"/>
      <c r="V26" s="1037"/>
      <c r="W26" s="1037"/>
      <c r="X26" s="939"/>
      <c r="Y26" s="1045"/>
      <c r="Z26" s="1026"/>
    </row>
    <row r="27" spans="1:32" ht="22.5" customHeight="1" outlineLevel="1" thickTop="1">
      <c r="A27" s="937"/>
      <c r="B27" s="950" t="s">
        <v>258</v>
      </c>
      <c r="C27" s="1059">
        <f>M43</f>
        <v>0</v>
      </c>
      <c r="D27" s="951">
        <f>M43</f>
        <v>0</v>
      </c>
      <c r="E27" s="951">
        <f>M43</f>
        <v>0</v>
      </c>
      <c r="F27" s="951">
        <f>M43</f>
        <v>0</v>
      </c>
      <c r="G27" s="951">
        <f>M43</f>
        <v>0</v>
      </c>
      <c r="H27" s="951">
        <f>M43</f>
        <v>0</v>
      </c>
      <c r="I27" s="951">
        <f>M43</f>
        <v>0</v>
      </c>
      <c r="J27" s="951">
        <f>M43</f>
        <v>0</v>
      </c>
      <c r="K27" s="951">
        <f>M43</f>
        <v>0</v>
      </c>
      <c r="L27" s="951">
        <f>M43</f>
        <v>0</v>
      </c>
      <c r="M27" s="951">
        <f>M43</f>
        <v>0</v>
      </c>
      <c r="N27" s="951">
        <f>M43</f>
        <v>0</v>
      </c>
      <c r="O27" s="953">
        <f>SUM(C27:N27)</f>
        <v>0</v>
      </c>
      <c r="P27" s="1092" t="e">
        <f t="shared" si="1"/>
        <v>#DIV/0!</v>
      </c>
      <c r="Q27" s="43"/>
      <c r="R27" s="501"/>
      <c r="S27" s="1040"/>
      <c r="T27" s="1037"/>
      <c r="U27" s="1037"/>
      <c r="V27" s="1037"/>
      <c r="W27" s="1037"/>
      <c r="X27" s="939"/>
      <c r="Y27" s="1045"/>
      <c r="Z27" s="1026"/>
    </row>
    <row r="28" spans="1:32" ht="22.5" customHeight="1" outlineLevel="1">
      <c r="A28" s="937"/>
      <c r="B28" s="2229" t="s">
        <v>259</v>
      </c>
      <c r="C28" s="2230"/>
      <c r="D28" s="954"/>
      <c r="E28" s="955"/>
      <c r="F28" s="955"/>
      <c r="G28" s="955"/>
      <c r="H28" s="956"/>
      <c r="I28" s="955"/>
      <c r="J28" s="955"/>
      <c r="K28" s="955"/>
      <c r="L28" s="2212" t="s">
        <v>260</v>
      </c>
      <c r="M28" s="2213"/>
      <c r="N28" s="2214"/>
      <c r="O28" s="1060">
        <f>(O20-O4+O22)*Q42</f>
        <v>0</v>
      </c>
      <c r="P28" s="1092" t="e">
        <f t="shared" si="1"/>
        <v>#DIV/0!</v>
      </c>
      <c r="Q28" s="43"/>
      <c r="R28" s="501"/>
      <c r="S28" s="1040"/>
      <c r="T28" s="1037"/>
      <c r="U28" s="1037"/>
      <c r="V28" s="1037"/>
      <c r="W28" s="1037"/>
      <c r="X28" s="939"/>
      <c r="Y28" s="1045"/>
      <c r="Z28" s="1026"/>
    </row>
    <row r="29" spans="1:32" ht="22.5" customHeight="1" thickBot="1">
      <c r="A29" s="937"/>
      <c r="B29" s="2231" t="s">
        <v>261</v>
      </c>
      <c r="C29" s="2232"/>
      <c r="D29" s="958"/>
      <c r="E29" s="959"/>
      <c r="F29" s="959"/>
      <c r="G29" s="959"/>
      <c r="H29" s="959"/>
      <c r="I29" s="959"/>
      <c r="J29" s="959"/>
      <c r="K29" s="959"/>
      <c r="L29" s="2209" t="s">
        <v>262</v>
      </c>
      <c r="M29" s="2210"/>
      <c r="N29" s="2211"/>
      <c r="O29" s="1061">
        <f>O4*Q41</f>
        <v>0</v>
      </c>
      <c r="P29" s="1092" t="e">
        <f t="shared" si="1"/>
        <v>#DIV/0!</v>
      </c>
      <c r="Q29" s="503"/>
      <c r="R29" s="504"/>
      <c r="S29" s="1040"/>
      <c r="T29" s="1037"/>
      <c r="U29" s="1037"/>
      <c r="V29" s="1037"/>
      <c r="W29" s="1037"/>
      <c r="X29" s="939"/>
      <c r="Y29" s="1045"/>
      <c r="Z29" s="1026"/>
    </row>
    <row r="30" spans="1:32" ht="22.5" customHeight="1" thickBot="1">
      <c r="A30" s="937"/>
      <c r="B30" s="2069"/>
      <c r="C30" s="2069"/>
      <c r="D30" s="2069"/>
      <c r="E30" s="2069"/>
      <c r="F30" s="2069"/>
      <c r="G30" s="2069"/>
      <c r="H30" s="2069"/>
      <c r="I30" s="2069"/>
      <c r="J30" s="2069"/>
      <c r="K30" s="2069"/>
      <c r="L30" s="2069"/>
      <c r="M30" s="2069"/>
      <c r="N30" s="2069"/>
      <c r="O30" s="2069"/>
      <c r="P30" s="2069"/>
      <c r="Q30" s="966"/>
      <c r="R30" s="967"/>
      <c r="S30" s="1040"/>
      <c r="T30" s="1037"/>
      <c r="U30" s="1037"/>
      <c r="V30" s="1037"/>
      <c r="W30" s="1037"/>
      <c r="X30" s="939"/>
      <c r="Y30" s="1045"/>
      <c r="Z30" s="1026"/>
    </row>
    <row r="31" spans="1:32" ht="22.5" customHeight="1">
      <c r="A31" s="937"/>
      <c r="B31" s="968" t="s">
        <v>263</v>
      </c>
      <c r="C31" s="2224" t="s">
        <v>264</v>
      </c>
      <c r="D31" s="2225"/>
      <c r="E31" s="2224"/>
      <c r="F31" s="2225"/>
      <c r="G31" s="2224"/>
      <c r="H31" s="2225"/>
      <c r="I31" s="605">
        <f>C32+E32</f>
        <v>0.14770000000000003</v>
      </c>
      <c r="J31" s="1062"/>
      <c r="K31" s="1062"/>
      <c r="L31" s="1062"/>
      <c r="M31" s="1062"/>
      <c r="N31" s="1062"/>
      <c r="O31" s="1062"/>
      <c r="P31" s="1062"/>
      <c r="Q31" s="967"/>
      <c r="R31" s="2069"/>
      <c r="S31" s="1040"/>
      <c r="T31" s="1037"/>
      <c r="U31" s="1037"/>
      <c r="V31" s="1037"/>
      <c r="W31" s="1037"/>
      <c r="AA31" s="1064"/>
      <c r="AB31" s="1064"/>
      <c r="AC31" s="1064"/>
      <c r="AD31" s="1064"/>
      <c r="AE31" s="1064"/>
      <c r="AF31" s="1064"/>
    </row>
    <row r="32" spans="1:32" ht="22.5" customHeight="1">
      <c r="A32" s="937"/>
      <c r="B32" s="970" t="s">
        <v>265</v>
      </c>
      <c r="C32" s="24">
        <v>0.14000000000000001</v>
      </c>
      <c r="D32" s="1803" t="s">
        <v>266</v>
      </c>
      <c r="E32" s="1065">
        <f>C32*5.5%</f>
        <v>7.7000000000000011E-3</v>
      </c>
      <c r="F32" s="971" t="s">
        <v>267</v>
      </c>
      <c r="G32" s="24">
        <v>0.11</v>
      </c>
      <c r="H32" s="973" t="s">
        <v>268</v>
      </c>
      <c r="I32" s="606">
        <f>C32+E32+G32</f>
        <v>0.25770000000000004</v>
      </c>
      <c r="J32" s="1062"/>
      <c r="K32" s="917">
        <v>1</v>
      </c>
      <c r="L32" s="1062"/>
      <c r="M32" s="1062"/>
      <c r="N32" s="1062"/>
      <c r="O32" s="1062"/>
      <c r="P32" s="1062"/>
      <c r="Q32" s="2069"/>
      <c r="R32" s="2069"/>
      <c r="S32" s="1040"/>
      <c r="T32" s="1037"/>
      <c r="U32" s="1037"/>
      <c r="V32" s="1037"/>
      <c r="W32" s="1037"/>
      <c r="AA32" s="1064"/>
      <c r="AB32" s="1064"/>
      <c r="AC32" s="1064"/>
      <c r="AD32" s="1064"/>
      <c r="AE32" s="1064"/>
      <c r="AF32" s="1064"/>
    </row>
    <row r="33" spans="1:32" ht="22.5" customHeight="1" thickBot="1">
      <c r="A33" s="937"/>
      <c r="B33" s="977" t="s">
        <v>269</v>
      </c>
      <c r="C33" s="604">
        <v>0.15</v>
      </c>
      <c r="D33" s="978" t="s">
        <v>270</v>
      </c>
      <c r="E33" s="1065">
        <f>C33*5.5%</f>
        <v>8.2500000000000004E-3</v>
      </c>
      <c r="F33" s="978" t="s">
        <v>267</v>
      </c>
      <c r="G33" s="604">
        <v>0.14000000000000001</v>
      </c>
      <c r="H33" s="980" t="s">
        <v>268</v>
      </c>
      <c r="I33" s="607">
        <f>C33+E33+G33</f>
        <v>0.29825000000000002</v>
      </c>
      <c r="J33" s="1062"/>
      <c r="K33" s="1062"/>
      <c r="L33" s="1062"/>
      <c r="M33" s="1062"/>
      <c r="N33" s="1062"/>
      <c r="O33" s="1062"/>
      <c r="P33" s="1062"/>
      <c r="Q33" s="2069"/>
      <c r="R33" s="2069"/>
      <c r="S33" s="1040"/>
      <c r="T33" s="1037"/>
      <c r="U33" s="1037"/>
      <c r="V33" s="1037"/>
      <c r="W33" s="1037"/>
      <c r="AA33" s="1064"/>
      <c r="AB33" s="1064"/>
      <c r="AC33" s="1064"/>
      <c r="AD33" s="1064"/>
      <c r="AE33" s="1064"/>
      <c r="AF33" s="1064"/>
    </row>
    <row r="34" spans="1:32" ht="22.5" customHeight="1" thickBot="1">
      <c r="A34" s="937"/>
      <c r="B34" s="2069"/>
      <c r="C34" s="2069"/>
      <c r="D34" s="2069"/>
      <c r="E34" s="2069"/>
      <c r="F34" s="2069"/>
      <c r="G34" s="2069"/>
      <c r="H34" s="2069"/>
      <c r="I34" s="2069"/>
      <c r="J34" s="2069"/>
      <c r="K34" s="2069"/>
      <c r="L34" s="1062"/>
      <c r="M34" s="2069"/>
      <c r="N34" s="2069"/>
      <c r="O34" s="2069"/>
      <c r="P34" s="2069"/>
      <c r="Q34" s="966"/>
      <c r="R34" s="967"/>
      <c r="S34" s="1040"/>
      <c r="T34" s="1037"/>
      <c r="U34" s="1037"/>
      <c r="V34" s="1037"/>
      <c r="W34" s="1037"/>
      <c r="X34" s="939"/>
      <c r="Y34" s="1045"/>
      <c r="Z34" s="1026"/>
    </row>
    <row r="35" spans="1:32" s="1037" customFormat="1" ht="55.5" customHeight="1">
      <c r="A35" s="976"/>
      <c r="B35" s="994" t="s">
        <v>271</v>
      </c>
      <c r="C35" s="2222" t="s">
        <v>299</v>
      </c>
      <c r="D35" s="2222"/>
      <c r="E35" s="2222"/>
      <c r="F35" s="2222"/>
      <c r="G35" s="2222"/>
      <c r="H35" s="2222"/>
      <c r="I35" s="2222"/>
      <c r="J35" s="2222"/>
      <c r="K35" s="2222"/>
      <c r="L35" s="2222"/>
      <c r="M35" s="2222"/>
      <c r="N35" s="2222"/>
      <c r="O35" s="2222"/>
      <c r="P35" s="2222"/>
      <c r="Q35" s="2223"/>
      <c r="R35" s="985"/>
      <c r="S35" s="1040"/>
      <c r="X35" s="939"/>
      <c r="Y35" s="1045"/>
      <c r="Z35" s="923"/>
    </row>
    <row r="36" spans="1:32" s="1037" customFormat="1" ht="22.5" customHeight="1">
      <c r="A36" s="976"/>
      <c r="B36" s="996"/>
      <c r="C36" s="1066" t="s">
        <v>273</v>
      </c>
      <c r="D36" s="1066" t="s">
        <v>274</v>
      </c>
      <c r="E36" s="1066" t="s">
        <v>275</v>
      </c>
      <c r="F36" s="1066" t="s">
        <v>276</v>
      </c>
      <c r="G36" s="1066" t="s">
        <v>277</v>
      </c>
      <c r="H36" s="1066" t="s">
        <v>278</v>
      </c>
      <c r="I36" s="1066" t="s">
        <v>279</v>
      </c>
      <c r="J36" s="1066" t="s">
        <v>280</v>
      </c>
      <c r="K36" s="1066" t="s">
        <v>281</v>
      </c>
      <c r="L36" s="1067"/>
      <c r="M36" s="2242" t="s">
        <v>283</v>
      </c>
      <c r="N36" s="2242"/>
      <c r="O36" s="2242"/>
      <c r="P36" s="1068"/>
      <c r="Q36" s="1069"/>
      <c r="R36" s="985"/>
      <c r="S36" s="1040"/>
      <c r="X36" s="939"/>
      <c r="Y36" s="1045"/>
      <c r="Z36" s="923"/>
    </row>
    <row r="37" spans="1:32" s="1037" customFormat="1" ht="22.5" customHeight="1">
      <c r="A37" s="976"/>
      <c r="B37" s="1003" t="s">
        <v>283</v>
      </c>
      <c r="C37" s="619">
        <f>Privatentnahmen!F35</f>
        <v>0</v>
      </c>
      <c r="D37" s="619">
        <f>(O20+O22)/12</f>
        <v>0</v>
      </c>
      <c r="E37" s="619">
        <f>(O3/12)*Q37</f>
        <v>0</v>
      </c>
      <c r="F37" s="619">
        <f>Finanz_AfA_Investitionen!C31*Q38/12</f>
        <v>0</v>
      </c>
      <c r="G37" s="619">
        <f>O25/12</f>
        <v>0</v>
      </c>
      <c r="H37" s="619">
        <f>O3/12*Q39</f>
        <v>0</v>
      </c>
      <c r="I37" s="619">
        <f>O3/12*Q40</f>
        <v>0</v>
      </c>
      <c r="J37" s="619">
        <f>O29/12</f>
        <v>0</v>
      </c>
      <c r="K37" s="619">
        <f>IF(O4&gt;1,(O28/12),IF(O4&lt;1,0))</f>
        <v>0</v>
      </c>
      <c r="L37" s="619"/>
      <c r="M37" s="2234">
        <f>SUM(C37:K37)</f>
        <v>0</v>
      </c>
      <c r="N37" s="2234"/>
      <c r="O37" s="2234"/>
      <c r="P37" s="1070" t="s">
        <v>284</v>
      </c>
      <c r="Q37" s="603">
        <v>0.01</v>
      </c>
      <c r="R37" s="1071"/>
      <c r="S37" s="1040"/>
      <c r="X37" s="939"/>
      <c r="Y37" s="1045"/>
      <c r="Z37" s="923"/>
    </row>
    <row r="38" spans="1:32" s="1037" customFormat="1" ht="22.5" customHeight="1">
      <c r="A38" s="976"/>
      <c r="B38" s="1006"/>
      <c r="C38" s="1072" t="s">
        <v>273</v>
      </c>
      <c r="D38" s="1072" t="s">
        <v>285</v>
      </c>
      <c r="E38" s="1072" t="s">
        <v>275</v>
      </c>
      <c r="F38" s="1072" t="s">
        <v>276</v>
      </c>
      <c r="G38" s="1072" t="s">
        <v>277</v>
      </c>
      <c r="H38" s="1072" t="s">
        <v>278</v>
      </c>
      <c r="I38" s="1072" t="s">
        <v>286</v>
      </c>
      <c r="J38" s="1072" t="s">
        <v>280</v>
      </c>
      <c r="K38" s="1072" t="s">
        <v>281</v>
      </c>
      <c r="L38" s="619">
        <f>IF(ArbStd_MA!$G$33&gt;=1,ArbStd_MA!$G$33,IF(ArbStd_MA!$G$33&lt;=1,ArbStd_MA!$F$23))</f>
        <v>144</v>
      </c>
      <c r="M38" s="2239" t="s">
        <v>287</v>
      </c>
      <c r="N38" s="2240"/>
      <c r="O38" s="1008"/>
      <c r="P38" s="1070" t="s">
        <v>288</v>
      </c>
      <c r="Q38" s="603">
        <v>0.2</v>
      </c>
      <c r="R38" s="1071"/>
      <c r="S38" s="1040"/>
      <c r="X38" s="939"/>
      <c r="Y38" s="1045"/>
      <c r="Z38" s="923"/>
    </row>
    <row r="39" spans="1:32" s="1037" customFormat="1" ht="22.5" customHeight="1">
      <c r="A39" s="976"/>
      <c r="B39" s="1003" t="s">
        <v>289</v>
      </c>
      <c r="C39" s="619">
        <f>Privatentnahmen!F35</f>
        <v>0</v>
      </c>
      <c r="D39" s="619">
        <f>(O20-O4+O22)/12</f>
        <v>0</v>
      </c>
      <c r="E39" s="619"/>
      <c r="F39" s="619"/>
      <c r="G39" s="619">
        <f>C39*I31</f>
        <v>0</v>
      </c>
      <c r="H39" s="619"/>
      <c r="I39" s="619"/>
      <c r="J39" s="1010"/>
      <c r="K39" s="1010"/>
      <c r="L39" s="619">
        <f>IF(ArbStd_MA!$G$33&gt;=1,ArbStd_MA!$G$33,IF(ArbStd_MA!$G$33&lt;=1,ArbStd_MA!$F$23))</f>
        <v>144</v>
      </c>
      <c r="M39" s="1011">
        <f>(C39+D39+G39+K39)/L39/ArbStd_MA!G49</f>
        <v>0</v>
      </c>
      <c r="N39" s="2069"/>
      <c r="O39" s="2069"/>
      <c r="P39" s="1070" t="s">
        <v>290</v>
      </c>
      <c r="Q39" s="603">
        <v>0.05</v>
      </c>
      <c r="R39" s="1071"/>
      <c r="S39" s="1040"/>
      <c r="X39" s="939"/>
      <c r="Y39" s="1045"/>
      <c r="Z39" s="923"/>
    </row>
    <row r="40" spans="1:32" s="1037" customFormat="1" ht="22.5" customHeight="1">
      <c r="A40" s="976"/>
      <c r="B40" s="1003" t="s">
        <v>93</v>
      </c>
      <c r="C40" s="619">
        <f>Privatentnahmen!F35</f>
        <v>0</v>
      </c>
      <c r="D40" s="619">
        <f>D39</f>
        <v>0</v>
      </c>
      <c r="E40" s="619">
        <f>(O3/12)*Q37</f>
        <v>0</v>
      </c>
      <c r="F40" s="619">
        <f>F37</f>
        <v>0</v>
      </c>
      <c r="G40" s="619">
        <f>O25/12</f>
        <v>0</v>
      </c>
      <c r="H40" s="619">
        <f>O3/12*Q39</f>
        <v>0</v>
      </c>
      <c r="I40" s="619">
        <f>I37</f>
        <v>0</v>
      </c>
      <c r="J40" s="1010"/>
      <c r="K40" s="1010"/>
      <c r="L40" s="619">
        <f>IF(ArbStd_MA!$G$33&gt;=1,ArbStd_MA!$G$33,IF(ArbStd_MA!$G$33&lt;=1,ArbStd_MA!$F$23))</f>
        <v>144</v>
      </c>
      <c r="M40" s="1011">
        <f>(C40+D40+E40+F40+G40+H40+I40+J40+K40)/L40/ArbStd_MA!G49</f>
        <v>0</v>
      </c>
      <c r="N40" s="2069"/>
      <c r="O40" s="2069"/>
      <c r="P40" s="1070" t="s">
        <v>291</v>
      </c>
      <c r="Q40" s="603">
        <v>0.02</v>
      </c>
      <c r="R40" s="1071"/>
      <c r="S40" s="1040"/>
      <c r="X40" s="939"/>
      <c r="Y40" s="1045"/>
      <c r="Z40" s="923"/>
    </row>
    <row r="41" spans="1:32" s="1037" customFormat="1" ht="25.9" customHeight="1">
      <c r="A41" s="976"/>
      <c r="B41" s="1003" t="s">
        <v>292</v>
      </c>
      <c r="C41" s="1073"/>
      <c r="D41" s="1073"/>
      <c r="E41" s="1073"/>
      <c r="F41" s="1073"/>
      <c r="G41" s="1073"/>
      <c r="H41" s="1073"/>
      <c r="I41" s="1073"/>
      <c r="J41" s="1073"/>
      <c r="K41" s="1073"/>
      <c r="L41" s="1074"/>
      <c r="M41" s="2228" t="e">
        <f>ROUND((M40-M39)/M39*100,1)&amp; " %"</f>
        <v>#DIV/0!</v>
      </c>
      <c r="N41" s="2228"/>
      <c r="O41" s="2228"/>
      <c r="P41" s="1858" t="s">
        <v>293</v>
      </c>
      <c r="Q41" s="1860">
        <v>0.1</v>
      </c>
      <c r="R41" s="982"/>
      <c r="S41" s="1040"/>
      <c r="X41" s="939"/>
      <c r="Y41" s="1045"/>
      <c r="Z41" s="923"/>
    </row>
    <row r="42" spans="1:32" s="1037" customFormat="1" ht="25.9" customHeight="1">
      <c r="A42" s="976"/>
      <c r="B42" s="1510" t="s">
        <v>294</v>
      </c>
      <c r="C42" s="1513">
        <f t="shared" ref="C42:I42" si="9">C40</f>
        <v>0</v>
      </c>
      <c r="D42" s="1513">
        <f t="shared" si="9"/>
        <v>0</v>
      </c>
      <c r="E42" s="1513">
        <f t="shared" si="9"/>
        <v>0</v>
      </c>
      <c r="F42" s="1513">
        <f t="shared" si="9"/>
        <v>0</v>
      </c>
      <c r="G42" s="1513">
        <f t="shared" si="9"/>
        <v>0</v>
      </c>
      <c r="H42" s="1513">
        <f t="shared" si="9"/>
        <v>0</v>
      </c>
      <c r="I42" s="1513">
        <f t="shared" si="9"/>
        <v>0</v>
      </c>
      <c r="J42" s="1513">
        <f>J37</f>
        <v>0</v>
      </c>
      <c r="K42" s="1513">
        <f>K37</f>
        <v>0</v>
      </c>
      <c r="L42" s="1514"/>
      <c r="M42" s="1014">
        <f>IF(O4&lt;1,0,(C42+D42+E42+F42+G42+H42+I42+J42+K42)*100*12/O4)</f>
        <v>0</v>
      </c>
      <c r="N42" s="1512"/>
      <c r="O42" s="1512"/>
      <c r="P42" s="1859" t="s">
        <v>295</v>
      </c>
      <c r="Q42" s="1861">
        <v>0.1</v>
      </c>
      <c r="R42" s="982"/>
      <c r="S42" s="1040"/>
      <c r="X42" s="939"/>
      <c r="Y42" s="1045"/>
      <c r="Z42" s="923"/>
    </row>
    <row r="43" spans="1:32" ht="31.9" customHeight="1" thickBot="1">
      <c r="A43" s="976"/>
      <c r="B43" s="1019" t="s">
        <v>296</v>
      </c>
      <c r="C43" s="1020">
        <f>Privatentnahmen!F35</f>
        <v>0</v>
      </c>
      <c r="D43" s="1021"/>
      <c r="E43" s="1020">
        <f>E40</f>
        <v>0</v>
      </c>
      <c r="F43" s="1020">
        <f>F40</f>
        <v>0</v>
      </c>
      <c r="G43" s="1021"/>
      <c r="H43" s="1020"/>
      <c r="I43" s="1021"/>
      <c r="J43" s="1021"/>
      <c r="K43" s="1021"/>
      <c r="L43" s="1075"/>
      <c r="M43" s="2238">
        <f>C43+E43+F43+H43</f>
        <v>0</v>
      </c>
      <c r="N43" s="2238"/>
      <c r="O43" s="2238"/>
      <c r="P43" s="1076"/>
      <c r="Q43" s="1077"/>
      <c r="R43" s="982"/>
      <c r="S43" s="1040"/>
      <c r="T43" s="1037"/>
      <c r="U43" s="1037"/>
      <c r="V43" s="1037"/>
      <c r="W43" s="1037"/>
      <c r="X43" s="939"/>
      <c r="Y43" s="1045"/>
      <c r="Z43" s="1026"/>
    </row>
    <row r="44" spans="1:32" ht="15.75" thickBot="1">
      <c r="A44" s="1078"/>
      <c r="B44" s="1079"/>
      <c r="C44" s="1079"/>
      <c r="D44" s="1079"/>
      <c r="E44" s="1079"/>
      <c r="F44" s="1079"/>
      <c r="G44" s="1079"/>
      <c r="H44" s="1079"/>
      <c r="I44" s="1080"/>
      <c r="J44" s="1079"/>
      <c r="K44" s="1079"/>
      <c r="L44" s="1079"/>
      <c r="M44" s="1079"/>
      <c r="N44" s="1079"/>
      <c r="O44" s="1079"/>
      <c r="P44" s="1081"/>
      <c r="Q44" s="1081"/>
      <c r="R44" s="1081"/>
      <c r="S44" s="1082"/>
      <c r="T44" s="1064"/>
      <c r="U44" s="1064"/>
      <c r="AA44" s="1064"/>
      <c r="AB44" s="1064"/>
      <c r="AC44" s="1064"/>
      <c r="AD44" s="1064"/>
      <c r="AE44" s="1064"/>
      <c r="AF44" s="1064"/>
    </row>
    <row r="45" spans="1:32" ht="15.75" thickTop="1">
      <c r="A45" s="1046"/>
      <c r="B45" s="1046"/>
      <c r="C45" s="1046"/>
      <c r="D45" s="1046"/>
      <c r="E45" s="1046"/>
      <c r="F45" s="1046"/>
      <c r="G45" s="1046"/>
      <c r="H45" s="1046"/>
      <c r="I45" s="1083"/>
      <c r="J45" s="1064"/>
      <c r="K45" s="1064"/>
      <c r="L45" s="1064"/>
      <c r="M45" s="1064"/>
      <c r="N45" s="1064"/>
      <c r="O45" s="1064"/>
      <c r="P45" s="1064"/>
      <c r="Q45" s="1084"/>
      <c r="R45" s="1084"/>
      <c r="S45" s="1064"/>
      <c r="T45" s="1064"/>
      <c r="U45" s="1064"/>
      <c r="AA45" s="1064"/>
      <c r="AB45" s="1064"/>
      <c r="AC45" s="1064"/>
      <c r="AD45" s="1064"/>
      <c r="AE45" s="1064"/>
      <c r="AF45" s="1064"/>
    </row>
    <row r="46" spans="1:32" ht="14.25" customHeight="1">
      <c r="A46" s="1046"/>
      <c r="B46" s="1046"/>
      <c r="C46" s="1046"/>
      <c r="D46" s="1046"/>
      <c r="E46" s="1046"/>
      <c r="F46" s="1046"/>
      <c r="G46" s="1046"/>
      <c r="H46" s="1046"/>
      <c r="I46" s="1083"/>
      <c r="J46" s="1064"/>
      <c r="K46" s="1064"/>
      <c r="L46" s="1064"/>
      <c r="M46" s="1064"/>
      <c r="N46" s="1064"/>
      <c r="O46" s="1064"/>
      <c r="P46" s="1064"/>
      <c r="Q46" s="1084"/>
      <c r="R46" s="1084"/>
      <c r="S46" s="1064"/>
      <c r="T46" s="1064"/>
      <c r="U46" s="1064"/>
      <c r="AA46" s="1064"/>
      <c r="AB46" s="1064"/>
      <c r="AC46" s="1064"/>
      <c r="AD46" s="1064"/>
      <c r="AE46" s="1064"/>
      <c r="AF46" s="1064"/>
    </row>
    <row r="47" spans="1:32">
      <c r="Q47" s="1084"/>
      <c r="R47" s="1084"/>
    </row>
    <row r="48" spans="1:32">
      <c r="M48" s="1046"/>
      <c r="Q48" s="1084"/>
      <c r="R48" s="1084"/>
    </row>
    <row r="49" spans="1:32">
      <c r="B49" s="1086"/>
      <c r="C49" s="1086"/>
      <c r="D49" s="1086"/>
      <c r="E49" s="1086"/>
      <c r="F49" s="1086"/>
      <c r="G49" s="1086"/>
      <c r="H49" s="1086"/>
      <c r="J49" s="1086"/>
      <c r="Q49" s="1084"/>
      <c r="R49" s="1084"/>
    </row>
    <row r="50" spans="1:32">
      <c r="A50" s="917"/>
      <c r="B50" s="1086"/>
      <c r="C50" s="1086"/>
      <c r="D50" s="1086"/>
      <c r="E50" s="1086"/>
      <c r="F50" s="1086"/>
      <c r="G50" s="1086"/>
      <c r="H50" s="1086"/>
      <c r="J50" s="1086"/>
      <c r="O50" s="1085"/>
      <c r="P50" s="1085"/>
      <c r="Q50" s="1084"/>
      <c r="R50" s="1084"/>
      <c r="V50" s="1088"/>
      <c r="W50" s="1088"/>
      <c r="AA50" s="1064"/>
      <c r="AB50" s="1064"/>
      <c r="AC50" s="1064"/>
      <c r="AD50" s="1064"/>
      <c r="AE50" s="1064"/>
      <c r="AF50" s="1064"/>
    </row>
    <row r="51" spans="1:32">
      <c r="A51" s="917"/>
      <c r="B51" s="1086"/>
      <c r="C51" s="1086"/>
      <c r="D51" s="1086"/>
      <c r="E51" s="1086"/>
      <c r="F51" s="1086"/>
      <c r="G51" s="1086"/>
      <c r="H51" s="1086"/>
      <c r="J51" s="1086"/>
      <c r="P51" s="1085"/>
      <c r="Q51" s="923"/>
      <c r="R51" s="923"/>
      <c r="V51" s="1088"/>
      <c r="W51" s="1088"/>
    </row>
    <row r="52" spans="1:32">
      <c r="A52" s="917"/>
      <c r="B52" s="1086"/>
      <c r="C52" s="1086"/>
      <c r="D52" s="1086"/>
      <c r="E52" s="1086"/>
      <c r="F52" s="1086"/>
      <c r="G52" s="1086"/>
      <c r="H52" s="1086"/>
      <c r="J52" s="1086"/>
      <c r="P52" s="1085"/>
      <c r="Q52" s="923"/>
      <c r="R52" s="923"/>
      <c r="V52" s="1088"/>
      <c r="W52" s="1088"/>
    </row>
    <row r="53" spans="1:32">
      <c r="A53" s="917"/>
      <c r="P53" s="1085"/>
      <c r="Q53" s="923"/>
      <c r="R53" s="923"/>
      <c r="V53" s="1088"/>
      <c r="W53" s="1088"/>
    </row>
    <row r="54" spans="1:32">
      <c r="A54" s="917"/>
      <c r="Q54" s="923"/>
      <c r="R54" s="923"/>
    </row>
    <row r="55" spans="1:32">
      <c r="A55" s="917"/>
      <c r="Q55" s="923"/>
      <c r="R55" s="923"/>
    </row>
    <row r="56" spans="1:32">
      <c r="A56" s="917"/>
      <c r="Q56" s="923"/>
      <c r="R56" s="923"/>
    </row>
    <row r="57" spans="1:32">
      <c r="A57" s="917"/>
      <c r="Q57" s="923"/>
      <c r="R57" s="923"/>
    </row>
    <row r="58" spans="1:32">
      <c r="A58" s="917"/>
      <c r="Q58" s="923"/>
      <c r="R58" s="923"/>
    </row>
    <row r="59" spans="1:32">
      <c r="A59" s="917"/>
      <c r="Q59" s="923"/>
      <c r="R59" s="923"/>
    </row>
    <row r="60" spans="1:32">
      <c r="A60" s="917"/>
      <c r="Q60" s="923"/>
      <c r="R60" s="923"/>
    </row>
    <row r="61" spans="1:32">
      <c r="A61" s="917"/>
      <c r="Q61" s="923"/>
      <c r="R61" s="923"/>
    </row>
    <row r="62" spans="1:32">
      <c r="A62" s="917"/>
      <c r="Q62" s="917"/>
      <c r="R62" s="917"/>
    </row>
    <row r="63" spans="1:32">
      <c r="A63" s="917"/>
      <c r="Q63" s="917"/>
      <c r="R63" s="917"/>
    </row>
    <row r="64" spans="1:32">
      <c r="A64" s="917"/>
      <c r="Q64" s="917"/>
      <c r="R64" s="917"/>
    </row>
    <row r="65" spans="1:18">
      <c r="A65" s="917"/>
      <c r="Q65" s="1032"/>
      <c r="R65" s="1032"/>
    </row>
    <row r="66" spans="1:18">
      <c r="A66" s="917"/>
      <c r="Q66" s="1032"/>
      <c r="R66" s="1032"/>
    </row>
    <row r="67" spans="1:18">
      <c r="A67" s="917"/>
      <c r="Q67" s="1032"/>
      <c r="R67" s="1032"/>
    </row>
    <row r="68" spans="1:18">
      <c r="A68" s="917"/>
      <c r="Q68" s="1032"/>
      <c r="R68" s="1032"/>
    </row>
    <row r="69" spans="1:18">
      <c r="A69" s="917"/>
      <c r="Q69" s="1032"/>
      <c r="R69" s="1032"/>
    </row>
    <row r="70" spans="1:18">
      <c r="A70" s="917"/>
      <c r="Q70" s="1032"/>
      <c r="R70" s="1032"/>
    </row>
    <row r="71" spans="1:18">
      <c r="A71" s="917"/>
      <c r="Q71" s="1032"/>
      <c r="R71" s="1032"/>
    </row>
    <row r="72" spans="1:18">
      <c r="A72" s="1089"/>
      <c r="Q72" s="923"/>
      <c r="R72" s="1032"/>
    </row>
    <row r="73" spans="1:18">
      <c r="A73" s="1026"/>
      <c r="Q73" s="917"/>
      <c r="R73" s="1032"/>
    </row>
    <row r="74" spans="1:18">
      <c r="A74" s="1026"/>
      <c r="Q74" s="917"/>
      <c r="R74" s="1032"/>
    </row>
    <row r="75" spans="1:18">
      <c r="A75" s="1026"/>
      <c r="Q75" s="917"/>
      <c r="R75" s="1032"/>
    </row>
    <row r="76" spans="1:18">
      <c r="A76" s="1026"/>
      <c r="Q76" s="917"/>
      <c r="R76" s="1032"/>
    </row>
    <row r="77" spans="1:18">
      <c r="A77" s="1026"/>
      <c r="Q77" s="917"/>
      <c r="R77" s="1032"/>
    </row>
    <row r="78" spans="1:18">
      <c r="A78" s="1026"/>
      <c r="Q78" s="917"/>
      <c r="R78" s="1032"/>
    </row>
    <row r="79" spans="1:18">
      <c r="A79" s="1026"/>
      <c r="Q79" s="917"/>
      <c r="R79" s="1032"/>
    </row>
    <row r="80" spans="1:18">
      <c r="A80" s="1090"/>
      <c r="Q80" s="917"/>
      <c r="R80" s="1032"/>
    </row>
    <row r="81" spans="1:18">
      <c r="A81" s="1090"/>
      <c r="Q81" s="917"/>
      <c r="R81" s="1032"/>
    </row>
    <row r="82" spans="1:18">
      <c r="A82" s="916"/>
      <c r="Q82" s="917"/>
      <c r="R82" s="1032"/>
    </row>
    <row r="83" spans="1:18">
      <c r="A83" s="916"/>
      <c r="Q83" s="917"/>
      <c r="R83" s="1032"/>
    </row>
    <row r="84" spans="1:18">
      <c r="A84" s="916"/>
      <c r="Q84" s="917"/>
      <c r="R84" s="1032"/>
    </row>
    <row r="85" spans="1:18">
      <c r="A85" s="916"/>
      <c r="Q85" s="917"/>
      <c r="R85" s="1032"/>
    </row>
    <row r="86" spans="1:18">
      <c r="A86" s="916"/>
      <c r="Q86" s="917"/>
      <c r="R86" s="1032"/>
    </row>
    <row r="87" spans="1:18">
      <c r="A87" s="916"/>
      <c r="Q87" s="917"/>
      <c r="R87" s="1032"/>
    </row>
    <row r="88" spans="1:18">
      <c r="A88" s="916"/>
      <c r="Q88" s="917"/>
      <c r="R88" s="1032"/>
    </row>
    <row r="89" spans="1:18">
      <c r="A89" s="916"/>
      <c r="Q89" s="917"/>
      <c r="R89" s="1032"/>
    </row>
    <row r="90" spans="1:18">
      <c r="Q90" s="1032"/>
      <c r="R90" s="1032"/>
    </row>
    <row r="91" spans="1:18">
      <c r="Q91" s="1032"/>
      <c r="R91" s="1032"/>
    </row>
    <row r="92" spans="1:18">
      <c r="Q92" s="1032"/>
      <c r="R92" s="1032"/>
    </row>
    <row r="93" spans="1:18">
      <c r="Q93" s="1032"/>
      <c r="R93" s="1032"/>
    </row>
    <row r="94" spans="1:18">
      <c r="Q94" s="1032"/>
      <c r="R94" s="1032"/>
    </row>
    <row r="95" spans="1:18">
      <c r="Q95" s="1032"/>
      <c r="R95" s="1032"/>
    </row>
    <row r="96" spans="1:18">
      <c r="Q96" s="1032"/>
      <c r="R96" s="1032"/>
    </row>
    <row r="97" spans="17:18">
      <c r="Q97" s="1032"/>
      <c r="R97" s="1032"/>
    </row>
    <row r="98" spans="17:18">
      <c r="Q98" s="1032"/>
      <c r="R98" s="1032"/>
    </row>
    <row r="99" spans="17:18">
      <c r="Q99" s="1032"/>
      <c r="R99" s="1032"/>
    </row>
    <row r="100" spans="17:18">
      <c r="Q100" s="1032"/>
      <c r="R100" s="1032"/>
    </row>
    <row r="101" spans="17:18">
      <c r="Q101" s="1032"/>
      <c r="R101" s="1032"/>
    </row>
    <row r="102" spans="17:18">
      <c r="Q102" s="1032"/>
      <c r="R102" s="1032"/>
    </row>
    <row r="103" spans="17:18">
      <c r="Q103" s="1032"/>
      <c r="R103" s="1032"/>
    </row>
    <row r="104" spans="17:18">
      <c r="Q104" s="1032"/>
      <c r="R104" s="1032"/>
    </row>
    <row r="105" spans="17:18">
      <c r="Q105" s="1032"/>
      <c r="R105" s="1032"/>
    </row>
    <row r="106" spans="17:18">
      <c r="Q106" s="1032"/>
      <c r="R106" s="1032"/>
    </row>
    <row r="107" spans="17:18">
      <c r="Q107" s="1032"/>
      <c r="R107" s="1032"/>
    </row>
    <row r="108" spans="17:18">
      <c r="Q108" s="1032"/>
      <c r="R108" s="1032"/>
    </row>
    <row r="109" spans="17:18">
      <c r="Q109" s="1032"/>
      <c r="R109" s="1032"/>
    </row>
    <row r="110" spans="17:18">
      <c r="Q110" s="1032"/>
      <c r="R110" s="1032"/>
    </row>
    <row r="111" spans="17:18">
      <c r="Q111" s="1032"/>
      <c r="R111" s="1032"/>
    </row>
    <row r="112" spans="17:18">
      <c r="Q112" s="1032"/>
      <c r="R112" s="1032"/>
    </row>
    <row r="113" spans="17:18">
      <c r="Q113" s="1032"/>
      <c r="R113" s="1032"/>
    </row>
    <row r="114" spans="17:18">
      <c r="Q114" s="1032"/>
      <c r="R114" s="1032"/>
    </row>
    <row r="115" spans="17:18">
      <c r="Q115" s="1032"/>
      <c r="R115" s="1032"/>
    </row>
    <row r="116" spans="17:18">
      <c r="Q116" s="1032"/>
      <c r="R116" s="1032"/>
    </row>
    <row r="117" spans="17:18">
      <c r="Q117" s="1032"/>
      <c r="R117" s="1032"/>
    </row>
    <row r="118" spans="17:18">
      <c r="Q118" s="1032"/>
      <c r="R118" s="1032"/>
    </row>
    <row r="119" spans="17:18">
      <c r="Q119" s="1032"/>
      <c r="R119" s="1032"/>
    </row>
    <row r="120" spans="17:18">
      <c r="Q120" s="1032"/>
      <c r="R120" s="1032"/>
    </row>
    <row r="121" spans="17:18">
      <c r="Q121" s="1032"/>
      <c r="R121" s="1032"/>
    </row>
    <row r="122" spans="17:18">
      <c r="Q122" s="1032"/>
      <c r="R122" s="1032"/>
    </row>
    <row r="123" spans="17:18">
      <c r="Q123" s="1032"/>
      <c r="R123" s="1032"/>
    </row>
    <row r="124" spans="17:18">
      <c r="Q124" s="1032"/>
      <c r="R124" s="1032"/>
    </row>
    <row r="125" spans="17:18">
      <c r="Q125" s="1032"/>
      <c r="R125" s="1032"/>
    </row>
    <row r="126" spans="17:18">
      <c r="Q126" s="1032"/>
      <c r="R126" s="1032"/>
    </row>
    <row r="127" spans="17:18">
      <c r="Q127" s="1032"/>
      <c r="R127" s="1032"/>
    </row>
    <row r="128" spans="17:18">
      <c r="Q128" s="1032"/>
      <c r="R128" s="1032"/>
    </row>
    <row r="129" spans="17:18">
      <c r="Q129" s="1032"/>
      <c r="R129" s="1032"/>
    </row>
    <row r="130" spans="17:18">
      <c r="Q130" s="1032"/>
      <c r="R130" s="1032"/>
    </row>
    <row r="131" spans="17:18">
      <c r="Q131" s="1032"/>
      <c r="R131" s="1032"/>
    </row>
    <row r="132" spans="17:18">
      <c r="Q132" s="1032"/>
      <c r="R132" s="1032"/>
    </row>
    <row r="133" spans="17:18">
      <c r="Q133" s="1032"/>
      <c r="R133" s="1032"/>
    </row>
    <row r="134" spans="17:18">
      <c r="Q134" s="1032"/>
      <c r="R134" s="1032"/>
    </row>
    <row r="135" spans="17:18">
      <c r="Q135" s="1032"/>
      <c r="R135" s="1032"/>
    </row>
    <row r="136" spans="17:18">
      <c r="Q136" s="1032"/>
      <c r="R136" s="1032"/>
    </row>
    <row r="137" spans="17:18">
      <c r="Q137" s="1032"/>
      <c r="R137" s="1032"/>
    </row>
    <row r="138" spans="17:18">
      <c r="Q138" s="1032"/>
      <c r="R138" s="1032"/>
    </row>
    <row r="139" spans="17:18">
      <c r="Q139" s="1032"/>
      <c r="R139" s="1032"/>
    </row>
    <row r="140" spans="17:18">
      <c r="Q140" s="1032"/>
      <c r="R140" s="1032"/>
    </row>
    <row r="141" spans="17:18">
      <c r="Q141" s="1032"/>
      <c r="R141" s="1032"/>
    </row>
    <row r="142" spans="17:18">
      <c r="Q142" s="1032"/>
      <c r="R142" s="1032"/>
    </row>
    <row r="143" spans="17:18">
      <c r="Q143" s="1032"/>
      <c r="R143" s="1032"/>
    </row>
    <row r="144" spans="17:18">
      <c r="Q144" s="1032"/>
      <c r="R144" s="1032"/>
    </row>
    <row r="145" spans="17:18">
      <c r="Q145" s="1032"/>
      <c r="R145" s="1032"/>
    </row>
    <row r="146" spans="17:18">
      <c r="Q146" s="1032"/>
      <c r="R146" s="1032"/>
    </row>
    <row r="147" spans="17:18">
      <c r="Q147" s="1032"/>
      <c r="R147" s="1032"/>
    </row>
    <row r="148" spans="17:18">
      <c r="Q148" s="1032"/>
      <c r="R148" s="1032"/>
    </row>
    <row r="149" spans="17:18">
      <c r="Q149" s="1032"/>
      <c r="R149" s="1032"/>
    </row>
    <row r="150" spans="17:18">
      <c r="Q150" s="1032"/>
      <c r="R150" s="1032"/>
    </row>
    <row r="151" spans="17:18">
      <c r="Q151" s="1032"/>
      <c r="R151" s="1032"/>
    </row>
    <row r="152" spans="17:18">
      <c r="Q152" s="1032"/>
      <c r="R152" s="1032"/>
    </row>
    <row r="153" spans="17:18">
      <c r="Q153" s="1032"/>
      <c r="R153" s="1032"/>
    </row>
    <row r="154" spans="17:18">
      <c r="Q154" s="1032"/>
      <c r="R154" s="1032"/>
    </row>
    <row r="155" spans="17:18">
      <c r="Q155" s="1032"/>
      <c r="R155" s="1032"/>
    </row>
    <row r="156" spans="17:18">
      <c r="Q156" s="1032"/>
      <c r="R156" s="1032"/>
    </row>
    <row r="157" spans="17:18">
      <c r="Q157" s="1032"/>
      <c r="R157" s="1032"/>
    </row>
    <row r="158" spans="17:18">
      <c r="Q158" s="1032"/>
      <c r="R158" s="1032"/>
    </row>
    <row r="159" spans="17:18">
      <c r="Q159" s="1032"/>
      <c r="R159" s="1032"/>
    </row>
    <row r="160" spans="17:18">
      <c r="Q160" s="1032"/>
      <c r="R160" s="1032"/>
    </row>
    <row r="161" spans="17:18">
      <c r="Q161" s="1032"/>
      <c r="R161" s="1032"/>
    </row>
    <row r="162" spans="17:18">
      <c r="Q162" s="1032"/>
      <c r="R162" s="1032"/>
    </row>
    <row r="163" spans="17:18">
      <c r="Q163" s="1032"/>
      <c r="R163" s="1032"/>
    </row>
    <row r="164" spans="17:18">
      <c r="Q164" s="1032"/>
      <c r="R164" s="1032"/>
    </row>
    <row r="165" spans="17:18">
      <c r="Q165" s="1032"/>
      <c r="R165" s="1032"/>
    </row>
    <row r="166" spans="17:18">
      <c r="Q166" s="1032"/>
      <c r="R166" s="1032"/>
    </row>
    <row r="167" spans="17:18">
      <c r="Q167" s="1032"/>
      <c r="R167" s="1032"/>
    </row>
    <row r="168" spans="17:18">
      <c r="Q168" s="1032"/>
      <c r="R168" s="1032"/>
    </row>
    <row r="169" spans="17:18">
      <c r="Q169" s="1032"/>
      <c r="R169" s="1032"/>
    </row>
    <row r="170" spans="17:18">
      <c r="Q170" s="1032"/>
      <c r="R170" s="1032"/>
    </row>
    <row r="171" spans="17:18">
      <c r="Q171" s="1032"/>
      <c r="R171" s="1032"/>
    </row>
    <row r="172" spans="17:18">
      <c r="Q172" s="1032"/>
      <c r="R172" s="1032"/>
    </row>
    <row r="173" spans="17:18">
      <c r="Q173" s="1032"/>
      <c r="R173" s="1032"/>
    </row>
    <row r="174" spans="17:18">
      <c r="Q174" s="1032"/>
      <c r="R174" s="1032"/>
    </row>
    <row r="175" spans="17:18">
      <c r="Q175" s="1032"/>
      <c r="R175" s="1032"/>
    </row>
    <row r="176" spans="17:18">
      <c r="Q176" s="1032"/>
      <c r="R176" s="1032"/>
    </row>
    <row r="177" spans="17:18">
      <c r="Q177" s="1032"/>
      <c r="R177" s="1032"/>
    </row>
    <row r="178" spans="17:18">
      <c r="Q178" s="1032"/>
      <c r="R178" s="1032"/>
    </row>
    <row r="179" spans="17:18">
      <c r="Q179" s="1032"/>
      <c r="R179" s="1032"/>
    </row>
    <row r="180" spans="17:18">
      <c r="Q180" s="1032"/>
      <c r="R180" s="1032"/>
    </row>
    <row r="181" spans="17:18">
      <c r="Q181" s="1032"/>
      <c r="R181" s="1032"/>
    </row>
    <row r="182" spans="17:18">
      <c r="Q182" s="1032"/>
      <c r="R182" s="1032"/>
    </row>
    <row r="183" spans="17:18">
      <c r="Q183" s="1032"/>
      <c r="R183" s="1032"/>
    </row>
    <row r="184" spans="17:18">
      <c r="Q184" s="1032"/>
      <c r="R184" s="1032"/>
    </row>
    <row r="185" spans="17:18">
      <c r="Q185" s="1032"/>
      <c r="R185" s="1032"/>
    </row>
    <row r="186" spans="17:18">
      <c r="Q186" s="1032"/>
      <c r="R186" s="1032"/>
    </row>
    <row r="187" spans="17:18">
      <c r="Q187" s="1032"/>
      <c r="R187" s="1032"/>
    </row>
    <row r="188" spans="17:18">
      <c r="Q188" s="1032"/>
      <c r="R188" s="1032"/>
    </row>
    <row r="189" spans="17:18">
      <c r="Q189" s="1032"/>
      <c r="R189" s="1032"/>
    </row>
    <row r="190" spans="17:18">
      <c r="Q190" s="1032"/>
      <c r="R190" s="1032"/>
    </row>
    <row r="191" spans="17:18">
      <c r="Q191" s="1032"/>
      <c r="R191" s="1032"/>
    </row>
    <row r="192" spans="17:18">
      <c r="Q192" s="1032"/>
      <c r="R192" s="1032"/>
    </row>
    <row r="193" spans="17:18">
      <c r="Q193" s="1032"/>
      <c r="R193" s="1032"/>
    </row>
    <row r="194" spans="17:18">
      <c r="Q194" s="1032"/>
      <c r="R194" s="1032"/>
    </row>
    <row r="195" spans="17:18">
      <c r="Q195" s="1032"/>
      <c r="R195" s="1032"/>
    </row>
    <row r="196" spans="17:18">
      <c r="Q196" s="1032"/>
      <c r="R196" s="1032"/>
    </row>
    <row r="197" spans="17:18">
      <c r="Q197" s="1032"/>
      <c r="R197" s="1032"/>
    </row>
    <row r="198" spans="17:18">
      <c r="Q198" s="1032"/>
      <c r="R198" s="1032"/>
    </row>
    <row r="199" spans="17:18">
      <c r="Q199" s="1032"/>
      <c r="R199" s="1032"/>
    </row>
    <row r="200" spans="17:18">
      <c r="Q200" s="1032"/>
      <c r="R200" s="1032"/>
    </row>
    <row r="201" spans="17:18">
      <c r="Q201" s="1032"/>
      <c r="R201" s="1032"/>
    </row>
    <row r="202" spans="17:18">
      <c r="Q202" s="1032"/>
      <c r="R202" s="1032"/>
    </row>
    <row r="203" spans="17:18">
      <c r="Q203" s="1032"/>
      <c r="R203" s="1032"/>
    </row>
    <row r="204" spans="17:18">
      <c r="Q204" s="1032"/>
      <c r="R204" s="1032"/>
    </row>
    <row r="205" spans="17:18">
      <c r="Q205" s="1032"/>
      <c r="R205" s="1032"/>
    </row>
    <row r="206" spans="17:18">
      <c r="Q206" s="1032"/>
      <c r="R206" s="1032"/>
    </row>
    <row r="207" spans="17:18">
      <c r="Q207" s="1032"/>
      <c r="R207" s="1032"/>
    </row>
    <row r="208" spans="17:18">
      <c r="Q208" s="1032"/>
      <c r="R208" s="1032"/>
    </row>
    <row r="209" spans="17:18">
      <c r="Q209" s="1032"/>
      <c r="R209" s="1032"/>
    </row>
    <row r="210" spans="17:18">
      <c r="Q210" s="1032"/>
      <c r="R210" s="1032"/>
    </row>
    <row r="211" spans="17:18">
      <c r="Q211" s="1032"/>
      <c r="R211" s="1032"/>
    </row>
    <row r="212" spans="17:18">
      <c r="Q212" s="1032"/>
      <c r="R212" s="1032"/>
    </row>
    <row r="213" spans="17:18">
      <c r="Q213" s="1032"/>
      <c r="R213" s="1032"/>
    </row>
    <row r="214" spans="17:18">
      <c r="Q214" s="1032"/>
      <c r="R214" s="1032"/>
    </row>
    <row r="215" spans="17:18">
      <c r="Q215" s="1032"/>
      <c r="R215" s="1032"/>
    </row>
    <row r="216" spans="17:18">
      <c r="Q216" s="1032"/>
      <c r="R216" s="1032"/>
    </row>
    <row r="217" spans="17:18">
      <c r="Q217" s="1032"/>
      <c r="R217" s="1032"/>
    </row>
    <row r="218" spans="17:18">
      <c r="Q218" s="1032"/>
      <c r="R218" s="1032"/>
    </row>
    <row r="219" spans="17:18">
      <c r="Q219" s="1032"/>
      <c r="R219" s="1032"/>
    </row>
    <row r="220" spans="17:18">
      <c r="Q220" s="1032"/>
      <c r="R220" s="1032"/>
    </row>
    <row r="221" spans="17:18">
      <c r="Q221" s="1032"/>
      <c r="R221" s="1032"/>
    </row>
    <row r="222" spans="17:18">
      <c r="Q222" s="1032"/>
      <c r="R222" s="1032"/>
    </row>
    <row r="223" spans="17:18">
      <c r="Q223" s="1032"/>
      <c r="R223" s="1032"/>
    </row>
    <row r="224" spans="17:18">
      <c r="Q224" s="1032"/>
      <c r="R224" s="1032"/>
    </row>
    <row r="225" spans="17:18">
      <c r="Q225" s="1032"/>
      <c r="R225" s="1032"/>
    </row>
    <row r="226" spans="17:18">
      <c r="Q226" s="1032"/>
      <c r="R226" s="1032"/>
    </row>
    <row r="227" spans="17:18">
      <c r="Q227" s="1032"/>
      <c r="R227" s="1032"/>
    </row>
    <row r="228" spans="17:18">
      <c r="Q228" s="1032"/>
      <c r="R228" s="1032"/>
    </row>
    <row r="229" spans="17:18">
      <c r="Q229" s="1032"/>
      <c r="R229" s="1032"/>
    </row>
    <row r="230" spans="17:18">
      <c r="Q230" s="1032"/>
      <c r="R230" s="1032"/>
    </row>
    <row r="231" spans="17:18">
      <c r="Q231" s="1032"/>
      <c r="R231" s="1032"/>
    </row>
    <row r="232" spans="17:18">
      <c r="Q232" s="1032"/>
      <c r="R232" s="1032"/>
    </row>
    <row r="233" spans="17:18">
      <c r="Q233" s="1032"/>
      <c r="R233" s="1032"/>
    </row>
    <row r="234" spans="17:18">
      <c r="Q234" s="1032"/>
      <c r="R234" s="1032"/>
    </row>
    <row r="235" spans="17:18">
      <c r="Q235" s="1032"/>
      <c r="R235" s="1032"/>
    </row>
    <row r="236" spans="17:18">
      <c r="Q236" s="1032"/>
      <c r="R236" s="1032"/>
    </row>
    <row r="237" spans="17:18">
      <c r="Q237" s="1032"/>
      <c r="R237" s="1032"/>
    </row>
    <row r="238" spans="17:18">
      <c r="Q238" s="1032"/>
      <c r="R238" s="1032"/>
    </row>
    <row r="239" spans="17:18">
      <c r="Q239" s="1032"/>
      <c r="R239" s="1032"/>
    </row>
    <row r="240" spans="17:18">
      <c r="Q240" s="1032"/>
      <c r="R240" s="1032"/>
    </row>
    <row r="241" spans="17:18">
      <c r="Q241" s="1032"/>
      <c r="R241" s="1032"/>
    </row>
    <row r="242" spans="17:18">
      <c r="Q242" s="1032"/>
      <c r="R242" s="1032"/>
    </row>
    <row r="243" spans="17:18">
      <c r="Q243" s="1032"/>
      <c r="R243" s="1032"/>
    </row>
    <row r="244" spans="17:18">
      <c r="Q244" s="1032"/>
      <c r="R244" s="1032"/>
    </row>
    <row r="245" spans="17:18">
      <c r="Q245" s="1032"/>
      <c r="R245" s="1032"/>
    </row>
    <row r="246" spans="17:18">
      <c r="Q246" s="1032"/>
      <c r="R246" s="1032"/>
    </row>
    <row r="247" spans="17:18">
      <c r="Q247" s="1032"/>
      <c r="R247" s="1032"/>
    </row>
    <row r="248" spans="17:18">
      <c r="Q248" s="1032"/>
      <c r="R248" s="1032"/>
    </row>
    <row r="249" spans="17:18">
      <c r="Q249" s="1032"/>
      <c r="R249" s="1032"/>
    </row>
    <row r="250" spans="17:18">
      <c r="Q250" s="1032"/>
      <c r="R250" s="1032"/>
    </row>
    <row r="251" spans="17:18">
      <c r="Q251" s="1032"/>
      <c r="R251" s="1032"/>
    </row>
    <row r="252" spans="17:18">
      <c r="Q252" s="1032"/>
      <c r="R252" s="1032"/>
    </row>
    <row r="253" spans="17:18">
      <c r="Q253" s="1032"/>
      <c r="R253" s="1032"/>
    </row>
    <row r="254" spans="17:18">
      <c r="Q254" s="1032"/>
      <c r="R254" s="1032"/>
    </row>
    <row r="255" spans="17:18">
      <c r="Q255" s="1032"/>
      <c r="R255" s="1032"/>
    </row>
    <row r="256" spans="17:18">
      <c r="Q256" s="1032"/>
      <c r="R256" s="1032"/>
    </row>
    <row r="257" spans="17:18">
      <c r="Q257" s="1032"/>
      <c r="R257" s="1032"/>
    </row>
    <row r="258" spans="17:18">
      <c r="Q258" s="1032"/>
      <c r="R258" s="1032"/>
    </row>
    <row r="259" spans="17:18">
      <c r="Q259" s="1032"/>
      <c r="R259" s="1032"/>
    </row>
    <row r="260" spans="17:18">
      <c r="Q260" s="1032"/>
      <c r="R260" s="1032"/>
    </row>
    <row r="261" spans="17:18">
      <c r="Q261" s="1032"/>
      <c r="R261" s="1032"/>
    </row>
    <row r="262" spans="17:18">
      <c r="Q262" s="1032"/>
      <c r="R262" s="1032"/>
    </row>
    <row r="263" spans="17:18">
      <c r="Q263" s="1032"/>
      <c r="R263" s="1032"/>
    </row>
    <row r="264" spans="17:18">
      <c r="Q264" s="1032"/>
      <c r="R264" s="1032"/>
    </row>
    <row r="265" spans="17:18">
      <c r="Q265" s="1032"/>
      <c r="R265" s="1032"/>
    </row>
    <row r="266" spans="17:18">
      <c r="Q266" s="1032"/>
      <c r="R266" s="1032"/>
    </row>
    <row r="267" spans="17:18">
      <c r="Q267" s="1032"/>
      <c r="R267" s="1032"/>
    </row>
    <row r="268" spans="17:18">
      <c r="Q268" s="1032"/>
      <c r="R268" s="1032"/>
    </row>
    <row r="269" spans="17:18">
      <c r="Q269" s="1032"/>
      <c r="R269" s="1032"/>
    </row>
    <row r="270" spans="17:18">
      <c r="Q270" s="1032"/>
      <c r="R270" s="1032"/>
    </row>
    <row r="271" spans="17:18">
      <c r="Q271" s="1032"/>
      <c r="R271" s="1032"/>
    </row>
    <row r="272" spans="17:18">
      <c r="Q272" s="1032"/>
      <c r="R272" s="1032"/>
    </row>
    <row r="273" spans="17:18">
      <c r="Q273" s="1032"/>
      <c r="R273" s="1032"/>
    </row>
    <row r="274" spans="17:18">
      <c r="Q274" s="1032"/>
      <c r="R274" s="1032"/>
    </row>
    <row r="275" spans="17:18">
      <c r="Q275" s="1032"/>
      <c r="R275" s="1032"/>
    </row>
    <row r="276" spans="17:18">
      <c r="Q276" s="1032"/>
      <c r="R276" s="1032"/>
    </row>
    <row r="277" spans="17:18">
      <c r="Q277" s="1032"/>
      <c r="R277" s="1032"/>
    </row>
    <row r="278" spans="17:18">
      <c r="Q278" s="1032"/>
      <c r="R278" s="1032"/>
    </row>
    <row r="279" spans="17:18">
      <c r="Q279" s="1032"/>
      <c r="R279" s="1032"/>
    </row>
    <row r="280" spans="17:18">
      <c r="Q280" s="1032"/>
      <c r="R280" s="1032"/>
    </row>
    <row r="281" spans="17:18">
      <c r="Q281" s="1032"/>
      <c r="R281" s="1032"/>
    </row>
    <row r="282" spans="17:18">
      <c r="Q282" s="1032"/>
      <c r="R282" s="1032"/>
    </row>
    <row r="283" spans="17:18">
      <c r="Q283" s="1032"/>
      <c r="R283" s="1032"/>
    </row>
    <row r="284" spans="17:18">
      <c r="Q284" s="1032"/>
      <c r="R284" s="1032"/>
    </row>
    <row r="285" spans="17:18">
      <c r="Q285" s="1032"/>
      <c r="R285" s="1032"/>
    </row>
    <row r="286" spans="17:18">
      <c r="Q286" s="1032"/>
      <c r="R286" s="1032"/>
    </row>
    <row r="287" spans="17:18">
      <c r="Q287" s="1032"/>
      <c r="R287" s="1032"/>
    </row>
    <row r="288" spans="17:18">
      <c r="Q288" s="1032"/>
      <c r="R288" s="1032"/>
    </row>
    <row r="289" spans="17:18">
      <c r="Q289" s="1032"/>
      <c r="R289" s="1032"/>
    </row>
    <row r="290" spans="17:18">
      <c r="Q290" s="1032"/>
      <c r="R290" s="1032"/>
    </row>
    <row r="291" spans="17:18">
      <c r="Q291" s="1032"/>
      <c r="R291" s="1032"/>
    </row>
    <row r="292" spans="17:18">
      <c r="Q292" s="1032"/>
      <c r="R292" s="1032"/>
    </row>
    <row r="293" spans="17:18">
      <c r="Q293" s="1032"/>
      <c r="R293" s="1032"/>
    </row>
    <row r="294" spans="17:18">
      <c r="Q294" s="1032"/>
      <c r="R294" s="1032"/>
    </row>
    <row r="295" spans="17:18">
      <c r="Q295" s="1032"/>
      <c r="R295" s="1032"/>
    </row>
    <row r="296" spans="17:18">
      <c r="Q296" s="1032"/>
      <c r="R296" s="1032"/>
    </row>
    <row r="297" spans="17:18">
      <c r="Q297" s="1032"/>
      <c r="R297" s="1032"/>
    </row>
    <row r="298" spans="17:18">
      <c r="Q298" s="1032"/>
      <c r="R298" s="1032"/>
    </row>
    <row r="299" spans="17:18">
      <c r="Q299" s="1032"/>
      <c r="R299" s="1032"/>
    </row>
    <row r="300" spans="17:18">
      <c r="Q300" s="1032"/>
      <c r="R300" s="1032"/>
    </row>
    <row r="301" spans="17:18">
      <c r="Q301" s="1032"/>
      <c r="R301" s="1032"/>
    </row>
    <row r="302" spans="17:18">
      <c r="Q302" s="1032"/>
      <c r="R302" s="1032"/>
    </row>
    <row r="303" spans="17:18">
      <c r="Q303" s="1032"/>
      <c r="R303" s="1032"/>
    </row>
    <row r="304" spans="17:18">
      <c r="Q304" s="1032"/>
      <c r="R304" s="1032"/>
    </row>
    <row r="305" spans="17:18">
      <c r="Q305" s="1032"/>
      <c r="R305" s="1032"/>
    </row>
    <row r="306" spans="17:18">
      <c r="Q306" s="1032"/>
      <c r="R306" s="1032"/>
    </row>
    <row r="307" spans="17:18">
      <c r="Q307" s="1032"/>
      <c r="R307" s="1032"/>
    </row>
    <row r="308" spans="17:18">
      <c r="Q308" s="1032"/>
      <c r="R308" s="1032"/>
    </row>
    <row r="309" spans="17:18">
      <c r="Q309" s="1032"/>
      <c r="R309" s="1032"/>
    </row>
    <row r="310" spans="17:18">
      <c r="Q310" s="1032"/>
      <c r="R310" s="1032"/>
    </row>
    <row r="311" spans="17:18">
      <c r="Q311" s="1032"/>
      <c r="R311" s="1032"/>
    </row>
    <row r="312" spans="17:18">
      <c r="Q312" s="1032"/>
      <c r="R312" s="1032"/>
    </row>
    <row r="313" spans="17:18">
      <c r="Q313" s="1032"/>
      <c r="R313" s="1032"/>
    </row>
    <row r="314" spans="17:18">
      <c r="Q314" s="1032"/>
      <c r="R314" s="1032"/>
    </row>
    <row r="315" spans="17:18">
      <c r="Q315" s="1032"/>
      <c r="R315" s="1032"/>
    </row>
    <row r="316" spans="17:18">
      <c r="Q316" s="1032"/>
      <c r="R316" s="1032"/>
    </row>
    <row r="317" spans="17:18">
      <c r="Q317" s="1032"/>
      <c r="R317" s="1032"/>
    </row>
    <row r="318" spans="17:18">
      <c r="Q318" s="1032"/>
      <c r="R318" s="1032"/>
    </row>
    <row r="319" spans="17:18">
      <c r="Q319" s="1032"/>
      <c r="R319" s="1032"/>
    </row>
    <row r="320" spans="17:18">
      <c r="Q320" s="1032"/>
      <c r="R320" s="1032"/>
    </row>
    <row r="321" spans="17:18">
      <c r="Q321" s="1032"/>
      <c r="R321" s="1032"/>
    </row>
    <row r="322" spans="17:18">
      <c r="Q322" s="1032"/>
      <c r="R322" s="1032"/>
    </row>
    <row r="323" spans="17:18">
      <c r="Q323" s="1032"/>
      <c r="R323" s="1032"/>
    </row>
    <row r="324" spans="17:18">
      <c r="Q324" s="1032"/>
      <c r="R324" s="1032"/>
    </row>
    <row r="325" spans="17:18">
      <c r="Q325" s="1032"/>
      <c r="R325" s="1032"/>
    </row>
    <row r="326" spans="17:18">
      <c r="Q326" s="1032"/>
      <c r="R326" s="1032"/>
    </row>
    <row r="327" spans="17:18">
      <c r="Q327" s="1032"/>
      <c r="R327" s="1032"/>
    </row>
    <row r="328" spans="17:18">
      <c r="Q328" s="1032"/>
      <c r="R328" s="1032"/>
    </row>
    <row r="329" spans="17:18">
      <c r="Q329" s="1032"/>
      <c r="R329" s="1032"/>
    </row>
    <row r="330" spans="17:18">
      <c r="Q330" s="1032"/>
      <c r="R330" s="1032"/>
    </row>
    <row r="331" spans="17:18">
      <c r="Q331" s="1032"/>
      <c r="R331" s="1032"/>
    </row>
    <row r="332" spans="17:18">
      <c r="Q332" s="1032"/>
      <c r="R332" s="1032"/>
    </row>
    <row r="333" spans="17:18">
      <c r="Q333" s="1032"/>
      <c r="R333" s="1032"/>
    </row>
    <row r="334" spans="17:18">
      <c r="Q334" s="1032"/>
      <c r="R334" s="1032"/>
    </row>
    <row r="335" spans="17:18">
      <c r="Q335" s="1032"/>
      <c r="R335" s="1032"/>
    </row>
    <row r="336" spans="17:18">
      <c r="Q336" s="1032"/>
      <c r="R336" s="1032"/>
    </row>
    <row r="337" spans="17:18">
      <c r="Q337" s="1032"/>
      <c r="R337" s="1032"/>
    </row>
    <row r="338" spans="17:18">
      <c r="Q338" s="1032"/>
      <c r="R338" s="1032"/>
    </row>
    <row r="339" spans="17:18">
      <c r="Q339" s="1032"/>
      <c r="R339" s="1032"/>
    </row>
    <row r="340" spans="17:18">
      <c r="Q340" s="1032"/>
      <c r="R340" s="1032"/>
    </row>
    <row r="341" spans="17:18">
      <c r="Q341" s="1032"/>
      <c r="R341" s="1032"/>
    </row>
    <row r="342" spans="17:18">
      <c r="Q342" s="1032"/>
      <c r="R342" s="1032"/>
    </row>
    <row r="343" spans="17:18">
      <c r="Q343" s="1032"/>
      <c r="R343" s="1032"/>
    </row>
    <row r="344" spans="17:18">
      <c r="Q344" s="1032"/>
      <c r="R344" s="1032"/>
    </row>
    <row r="345" spans="17:18">
      <c r="Q345" s="1032"/>
      <c r="R345" s="1032"/>
    </row>
    <row r="346" spans="17:18">
      <c r="Q346" s="1032"/>
      <c r="R346" s="1032"/>
    </row>
    <row r="347" spans="17:18">
      <c r="Q347" s="1032"/>
      <c r="R347" s="1032"/>
    </row>
    <row r="348" spans="17:18">
      <c r="Q348" s="1032"/>
      <c r="R348" s="1032"/>
    </row>
    <row r="349" spans="17:18">
      <c r="Q349" s="1032"/>
      <c r="R349" s="1032"/>
    </row>
    <row r="350" spans="17:18">
      <c r="Q350" s="1032"/>
      <c r="R350" s="1032"/>
    </row>
    <row r="351" spans="17:18">
      <c r="Q351" s="1032"/>
      <c r="R351" s="1032"/>
    </row>
    <row r="352" spans="17:18">
      <c r="Q352" s="1032"/>
      <c r="R352" s="1032"/>
    </row>
    <row r="353" spans="17:18">
      <c r="Q353" s="1032"/>
      <c r="R353" s="1032"/>
    </row>
    <row r="354" spans="17:18">
      <c r="Q354" s="1032"/>
      <c r="R354" s="1032"/>
    </row>
    <row r="355" spans="17:18">
      <c r="Q355" s="1032"/>
      <c r="R355" s="1032"/>
    </row>
    <row r="356" spans="17:18">
      <c r="Q356" s="1032"/>
      <c r="R356" s="1032"/>
    </row>
    <row r="357" spans="17:18">
      <c r="Q357" s="1032"/>
      <c r="R357" s="1032"/>
    </row>
    <row r="358" spans="17:18">
      <c r="Q358" s="1032"/>
      <c r="R358" s="1032"/>
    </row>
    <row r="359" spans="17:18">
      <c r="Q359" s="1032"/>
      <c r="R359" s="1032"/>
    </row>
    <row r="360" spans="17:18">
      <c r="Q360" s="1032"/>
      <c r="R360" s="1032"/>
    </row>
    <row r="361" spans="17:18">
      <c r="Q361" s="1032"/>
      <c r="R361" s="1032"/>
    </row>
    <row r="362" spans="17:18">
      <c r="Q362" s="1032"/>
      <c r="R362" s="1032"/>
    </row>
    <row r="363" spans="17:18">
      <c r="Q363" s="1032"/>
      <c r="R363" s="1032"/>
    </row>
    <row r="364" spans="17:18">
      <c r="Q364" s="1032"/>
      <c r="R364" s="1032"/>
    </row>
    <row r="365" spans="17:18">
      <c r="Q365" s="1032"/>
      <c r="R365" s="1032"/>
    </row>
    <row r="366" spans="17:18">
      <c r="Q366" s="1032"/>
      <c r="R366" s="1032"/>
    </row>
    <row r="367" spans="17:18">
      <c r="Q367" s="1032"/>
      <c r="R367" s="1032"/>
    </row>
    <row r="368" spans="17:18">
      <c r="Q368" s="1032"/>
      <c r="R368" s="1032"/>
    </row>
    <row r="369" spans="17:18">
      <c r="Q369" s="1032"/>
      <c r="R369" s="1032"/>
    </row>
    <row r="370" spans="17:18">
      <c r="Q370" s="1032"/>
      <c r="R370" s="1032"/>
    </row>
    <row r="371" spans="17:18">
      <c r="Q371" s="1032"/>
      <c r="R371" s="1032"/>
    </row>
    <row r="372" spans="17:18">
      <c r="Q372" s="1032"/>
      <c r="R372" s="1032"/>
    </row>
    <row r="373" spans="17:18">
      <c r="Q373" s="1032"/>
      <c r="R373" s="1032"/>
    </row>
    <row r="374" spans="17:18">
      <c r="Q374" s="1032"/>
      <c r="R374" s="1032"/>
    </row>
    <row r="375" spans="17:18">
      <c r="Q375" s="1032"/>
      <c r="R375" s="1032"/>
    </row>
    <row r="376" spans="17:18">
      <c r="Q376" s="1032"/>
      <c r="R376" s="1032"/>
    </row>
    <row r="377" spans="17:18">
      <c r="Q377" s="1032"/>
      <c r="R377" s="1032"/>
    </row>
    <row r="378" spans="17:18">
      <c r="Q378" s="1032"/>
      <c r="R378" s="1032"/>
    </row>
    <row r="379" spans="17:18">
      <c r="Q379" s="1032"/>
      <c r="R379" s="1032"/>
    </row>
    <row r="380" spans="17:18">
      <c r="Q380" s="1032"/>
      <c r="R380" s="1032"/>
    </row>
    <row r="381" spans="17:18">
      <c r="Q381" s="1032"/>
      <c r="R381" s="1032"/>
    </row>
    <row r="382" spans="17:18">
      <c r="Q382" s="1032"/>
      <c r="R382" s="1032"/>
    </row>
    <row r="383" spans="17:18">
      <c r="Q383" s="1032"/>
      <c r="R383" s="1032"/>
    </row>
    <row r="384" spans="17:18">
      <c r="Q384" s="1032"/>
      <c r="R384" s="1032"/>
    </row>
    <row r="385" spans="17:18">
      <c r="Q385" s="1032"/>
      <c r="R385" s="1032"/>
    </row>
    <row r="386" spans="17:18">
      <c r="Q386" s="1032"/>
      <c r="R386" s="1032"/>
    </row>
    <row r="387" spans="17:18">
      <c r="Q387" s="1032"/>
      <c r="R387" s="1032"/>
    </row>
    <row r="388" spans="17:18">
      <c r="Q388" s="1032"/>
      <c r="R388" s="1032"/>
    </row>
    <row r="389" spans="17:18">
      <c r="Q389" s="1032"/>
      <c r="R389" s="1032"/>
    </row>
    <row r="390" spans="17:18">
      <c r="Q390" s="1032"/>
      <c r="R390" s="1032"/>
    </row>
    <row r="391" spans="17:18">
      <c r="Q391" s="1032"/>
      <c r="R391" s="1032"/>
    </row>
    <row r="392" spans="17:18">
      <c r="Q392" s="1032"/>
      <c r="R392" s="1032"/>
    </row>
    <row r="393" spans="17:18">
      <c r="Q393" s="1032"/>
      <c r="R393" s="1032"/>
    </row>
    <row r="394" spans="17:18">
      <c r="Q394" s="1032"/>
      <c r="R394" s="1032"/>
    </row>
    <row r="395" spans="17:18">
      <c r="Q395" s="1032"/>
      <c r="R395" s="1032"/>
    </row>
    <row r="396" spans="17:18">
      <c r="Q396" s="1032"/>
      <c r="R396" s="1032"/>
    </row>
    <row r="397" spans="17:18">
      <c r="Q397" s="1032"/>
      <c r="R397" s="1032"/>
    </row>
    <row r="398" spans="17:18">
      <c r="Q398" s="1032"/>
      <c r="R398" s="1032"/>
    </row>
    <row r="399" spans="17:18">
      <c r="Q399" s="1032"/>
      <c r="R399" s="1032"/>
    </row>
    <row r="400" spans="17:18">
      <c r="Q400" s="1032"/>
      <c r="R400" s="1032"/>
    </row>
    <row r="401" spans="17:18">
      <c r="Q401" s="1032"/>
      <c r="R401" s="1032"/>
    </row>
    <row r="402" spans="17:18">
      <c r="Q402" s="1032"/>
      <c r="R402" s="1032"/>
    </row>
    <row r="403" spans="17:18">
      <c r="Q403" s="1032"/>
      <c r="R403" s="1032"/>
    </row>
    <row r="404" spans="17:18">
      <c r="Q404" s="1032"/>
      <c r="R404" s="1032"/>
    </row>
    <row r="405" spans="17:18">
      <c r="Q405" s="1032"/>
      <c r="R405" s="1032"/>
    </row>
    <row r="406" spans="17:18">
      <c r="Q406" s="1032"/>
      <c r="R406" s="1032"/>
    </row>
    <row r="407" spans="17:18">
      <c r="Q407" s="1032"/>
      <c r="R407" s="1032"/>
    </row>
    <row r="408" spans="17:18">
      <c r="Q408" s="1032"/>
      <c r="R408" s="1032"/>
    </row>
    <row r="409" spans="17:18">
      <c r="Q409" s="1032"/>
      <c r="R409" s="1032"/>
    </row>
    <row r="410" spans="17:18">
      <c r="Q410" s="1032"/>
      <c r="R410" s="1032"/>
    </row>
    <row r="411" spans="17:18">
      <c r="Q411" s="1032"/>
      <c r="R411" s="1032"/>
    </row>
    <row r="412" spans="17:18">
      <c r="Q412" s="1032"/>
      <c r="R412" s="1032"/>
    </row>
    <row r="413" spans="17:18">
      <c r="Q413" s="1032"/>
      <c r="R413" s="1032"/>
    </row>
    <row r="414" spans="17:18">
      <c r="Q414" s="1032"/>
      <c r="R414" s="1032"/>
    </row>
    <row r="415" spans="17:18">
      <c r="Q415" s="1032"/>
      <c r="R415" s="1032"/>
    </row>
    <row r="416" spans="17:18">
      <c r="Q416" s="1032"/>
      <c r="R416" s="1032"/>
    </row>
    <row r="417" spans="17:18">
      <c r="Q417" s="1032"/>
      <c r="R417" s="1032"/>
    </row>
    <row r="418" spans="17:18">
      <c r="Q418" s="1032"/>
      <c r="R418" s="1032"/>
    </row>
    <row r="419" spans="17:18">
      <c r="Q419" s="1032"/>
      <c r="R419" s="1032"/>
    </row>
    <row r="420" spans="17:18">
      <c r="Q420" s="1032"/>
      <c r="R420" s="1032"/>
    </row>
    <row r="421" spans="17:18">
      <c r="Q421" s="1032"/>
      <c r="R421" s="1032"/>
    </row>
    <row r="422" spans="17:18">
      <c r="Q422" s="1032"/>
      <c r="R422" s="1032"/>
    </row>
    <row r="423" spans="17:18">
      <c r="Q423" s="1032"/>
      <c r="R423" s="1032"/>
    </row>
    <row r="424" spans="17:18">
      <c r="Q424" s="1032"/>
      <c r="R424" s="1032"/>
    </row>
    <row r="425" spans="17:18">
      <c r="Q425" s="1032"/>
      <c r="R425" s="1032"/>
    </row>
    <row r="426" spans="17:18">
      <c r="Q426" s="1032"/>
      <c r="R426" s="1032"/>
    </row>
    <row r="427" spans="17:18">
      <c r="Q427" s="1032"/>
      <c r="R427" s="1032"/>
    </row>
    <row r="428" spans="17:18">
      <c r="Q428" s="1032"/>
      <c r="R428" s="1032"/>
    </row>
    <row r="429" spans="17:18">
      <c r="Q429" s="1032"/>
      <c r="R429" s="1032"/>
    </row>
    <row r="430" spans="17:18">
      <c r="Q430" s="1032"/>
      <c r="R430" s="1032"/>
    </row>
    <row r="431" spans="17:18">
      <c r="Q431" s="1032"/>
      <c r="R431" s="1032"/>
    </row>
    <row r="432" spans="17:18">
      <c r="Q432" s="1032"/>
      <c r="R432" s="1032"/>
    </row>
    <row r="433" spans="17:18">
      <c r="Q433" s="1032"/>
      <c r="R433" s="1032"/>
    </row>
    <row r="434" spans="17:18">
      <c r="Q434" s="1032"/>
      <c r="R434" s="1032"/>
    </row>
    <row r="435" spans="17:18">
      <c r="Q435" s="1032"/>
      <c r="R435" s="1032"/>
    </row>
    <row r="436" spans="17:18">
      <c r="Q436" s="1032"/>
      <c r="R436" s="1032"/>
    </row>
    <row r="437" spans="17:18">
      <c r="Q437" s="1032"/>
      <c r="R437" s="1032"/>
    </row>
    <row r="438" spans="17:18">
      <c r="Q438" s="1032"/>
      <c r="R438" s="1032"/>
    </row>
    <row r="439" spans="17:18">
      <c r="Q439" s="1032"/>
      <c r="R439" s="1032"/>
    </row>
    <row r="440" spans="17:18">
      <c r="Q440" s="1032"/>
      <c r="R440" s="1032"/>
    </row>
    <row r="441" spans="17:18">
      <c r="Q441" s="1032"/>
      <c r="R441" s="1032"/>
    </row>
    <row r="442" spans="17:18">
      <c r="Q442" s="1032"/>
      <c r="R442" s="1032"/>
    </row>
    <row r="443" spans="17:18">
      <c r="Q443" s="1032"/>
      <c r="R443" s="1032"/>
    </row>
    <row r="444" spans="17:18">
      <c r="Q444" s="1032"/>
      <c r="R444" s="1032"/>
    </row>
    <row r="445" spans="17:18">
      <c r="Q445" s="1032"/>
      <c r="R445" s="1032"/>
    </row>
    <row r="446" spans="17:18">
      <c r="Q446" s="1032"/>
      <c r="R446" s="1032"/>
    </row>
    <row r="447" spans="17:18">
      <c r="Q447" s="1032"/>
      <c r="R447" s="1032"/>
    </row>
    <row r="448" spans="17:18">
      <c r="Q448" s="1032"/>
      <c r="R448" s="1032"/>
    </row>
    <row r="449" spans="17:18">
      <c r="Q449" s="1032"/>
      <c r="R449" s="1032"/>
    </row>
    <row r="450" spans="17:18">
      <c r="Q450" s="1032"/>
      <c r="R450" s="1032"/>
    </row>
    <row r="451" spans="17:18">
      <c r="Q451" s="1032"/>
      <c r="R451" s="1032"/>
    </row>
    <row r="452" spans="17:18">
      <c r="Q452" s="1032"/>
      <c r="R452" s="1032"/>
    </row>
    <row r="453" spans="17:18">
      <c r="Q453" s="1032"/>
      <c r="R453" s="1032"/>
    </row>
    <row r="454" spans="17:18">
      <c r="Q454" s="1032"/>
      <c r="R454" s="1032"/>
    </row>
    <row r="455" spans="17:18">
      <c r="Q455" s="1032"/>
      <c r="R455" s="1032"/>
    </row>
    <row r="456" spans="17:18">
      <c r="Q456" s="1032"/>
      <c r="R456" s="1032"/>
    </row>
    <row r="457" spans="17:18">
      <c r="Q457" s="1032"/>
      <c r="R457" s="1032"/>
    </row>
    <row r="458" spans="17:18">
      <c r="Q458" s="1032"/>
      <c r="R458" s="1032"/>
    </row>
    <row r="459" spans="17:18">
      <c r="Q459" s="1032"/>
      <c r="R459" s="1032"/>
    </row>
    <row r="460" spans="17:18">
      <c r="Q460" s="1032"/>
      <c r="R460" s="1032"/>
    </row>
    <row r="461" spans="17:18">
      <c r="Q461" s="1032"/>
      <c r="R461" s="1032"/>
    </row>
    <row r="462" spans="17:18">
      <c r="Q462" s="1032"/>
      <c r="R462" s="1032"/>
    </row>
    <row r="463" spans="17:18">
      <c r="Q463" s="1032"/>
      <c r="R463" s="1032"/>
    </row>
    <row r="464" spans="17:18">
      <c r="Q464" s="1032"/>
      <c r="R464" s="1032"/>
    </row>
    <row r="465" spans="17:18">
      <c r="Q465" s="1032"/>
      <c r="R465" s="1032"/>
    </row>
    <row r="466" spans="17:18">
      <c r="Q466" s="1032"/>
      <c r="R466" s="1032"/>
    </row>
    <row r="467" spans="17:18">
      <c r="Q467" s="1032"/>
      <c r="R467" s="1032"/>
    </row>
    <row r="468" spans="17:18">
      <c r="Q468" s="1032"/>
      <c r="R468" s="1032"/>
    </row>
    <row r="469" spans="17:18">
      <c r="Q469" s="1032"/>
      <c r="R469" s="1032"/>
    </row>
    <row r="470" spans="17:18">
      <c r="Q470" s="1032"/>
      <c r="R470" s="1032"/>
    </row>
    <row r="471" spans="17:18">
      <c r="Q471" s="1032"/>
      <c r="R471" s="1032"/>
    </row>
    <row r="472" spans="17:18">
      <c r="Q472" s="1032"/>
      <c r="R472" s="1032"/>
    </row>
    <row r="473" spans="17:18">
      <c r="Q473" s="1032"/>
      <c r="R473" s="1032"/>
    </row>
    <row r="474" spans="17:18">
      <c r="Q474" s="1032"/>
      <c r="R474" s="1032"/>
    </row>
    <row r="475" spans="17:18">
      <c r="Q475" s="1032"/>
      <c r="R475" s="1032"/>
    </row>
    <row r="476" spans="17:18">
      <c r="Q476" s="1032"/>
      <c r="R476" s="1032"/>
    </row>
    <row r="477" spans="17:18">
      <c r="Q477" s="1032"/>
      <c r="R477" s="1032"/>
    </row>
    <row r="478" spans="17:18">
      <c r="Q478" s="1032"/>
      <c r="R478" s="1032"/>
    </row>
    <row r="479" spans="17:18">
      <c r="Q479" s="1032"/>
      <c r="R479" s="1032"/>
    </row>
    <row r="480" spans="17:18">
      <c r="Q480" s="1032"/>
      <c r="R480" s="1032"/>
    </row>
    <row r="481" spans="17:18">
      <c r="Q481" s="1032"/>
      <c r="R481" s="1032"/>
    </row>
    <row r="482" spans="17:18">
      <c r="Q482" s="1032"/>
      <c r="R482" s="1032"/>
    </row>
    <row r="483" spans="17:18">
      <c r="Q483" s="1032"/>
      <c r="R483" s="1032"/>
    </row>
    <row r="484" spans="17:18">
      <c r="Q484" s="1032"/>
      <c r="R484" s="1032"/>
    </row>
    <row r="485" spans="17:18">
      <c r="Q485" s="1032"/>
      <c r="R485" s="1032"/>
    </row>
    <row r="486" spans="17:18">
      <c r="Q486" s="1032"/>
      <c r="R486" s="1032"/>
    </row>
    <row r="487" spans="17:18">
      <c r="Q487" s="1032"/>
      <c r="R487" s="1032"/>
    </row>
    <row r="488" spans="17:18">
      <c r="Q488" s="1032"/>
      <c r="R488" s="1032"/>
    </row>
    <row r="489" spans="17:18">
      <c r="Q489" s="1032"/>
      <c r="R489" s="1032"/>
    </row>
    <row r="490" spans="17:18">
      <c r="Q490" s="1032"/>
      <c r="R490" s="1032"/>
    </row>
    <row r="491" spans="17:18">
      <c r="Q491" s="1032"/>
      <c r="R491" s="1032"/>
    </row>
    <row r="492" spans="17:18">
      <c r="Q492" s="1032"/>
      <c r="R492" s="1032"/>
    </row>
    <row r="493" spans="17:18">
      <c r="Q493" s="1032"/>
      <c r="R493" s="1032"/>
    </row>
    <row r="494" spans="17:18">
      <c r="Q494" s="1032"/>
      <c r="R494" s="1032"/>
    </row>
    <row r="495" spans="17:18">
      <c r="Q495" s="1032"/>
      <c r="R495" s="1032"/>
    </row>
    <row r="496" spans="17:18">
      <c r="Q496" s="1032"/>
      <c r="R496" s="1032"/>
    </row>
    <row r="497" spans="17:18">
      <c r="Q497" s="1032"/>
      <c r="R497" s="1032"/>
    </row>
    <row r="498" spans="17:18">
      <c r="Q498" s="1032"/>
      <c r="R498" s="1032"/>
    </row>
    <row r="499" spans="17:18">
      <c r="Q499" s="1032"/>
      <c r="R499" s="1032"/>
    </row>
    <row r="500" spans="17:18">
      <c r="Q500" s="1032"/>
      <c r="R500" s="1032"/>
    </row>
    <row r="501" spans="17:18">
      <c r="Q501" s="1032"/>
      <c r="R501" s="1032"/>
    </row>
    <row r="502" spans="17:18">
      <c r="Q502" s="1032"/>
      <c r="R502" s="1032"/>
    </row>
    <row r="503" spans="17:18">
      <c r="Q503" s="1032"/>
      <c r="R503" s="1032"/>
    </row>
    <row r="504" spans="17:18">
      <c r="Q504" s="1032"/>
      <c r="R504" s="1032"/>
    </row>
    <row r="505" spans="17:18">
      <c r="Q505" s="1032"/>
      <c r="R505" s="1032"/>
    </row>
    <row r="506" spans="17:18">
      <c r="Q506" s="1032"/>
      <c r="R506" s="1032"/>
    </row>
    <row r="507" spans="17:18">
      <c r="Q507" s="1032"/>
      <c r="R507" s="1032"/>
    </row>
    <row r="508" spans="17:18">
      <c r="Q508" s="1032"/>
      <c r="R508" s="1032"/>
    </row>
    <row r="509" spans="17:18">
      <c r="Q509" s="1032"/>
      <c r="R509" s="1032"/>
    </row>
    <row r="510" spans="17:18">
      <c r="Q510" s="1032"/>
      <c r="R510" s="1032"/>
    </row>
    <row r="511" spans="17:18">
      <c r="Q511" s="1032"/>
      <c r="R511" s="1032"/>
    </row>
    <row r="512" spans="17:18">
      <c r="Q512" s="1032"/>
      <c r="R512" s="1032"/>
    </row>
    <row r="513" spans="17:18">
      <c r="Q513" s="1032"/>
      <c r="R513" s="1032"/>
    </row>
    <row r="514" spans="17:18">
      <c r="Q514" s="1032"/>
      <c r="R514" s="1032"/>
    </row>
    <row r="515" spans="17:18">
      <c r="Q515" s="1032"/>
      <c r="R515" s="1032"/>
    </row>
    <row r="516" spans="17:18">
      <c r="Q516" s="1032"/>
      <c r="R516" s="1032"/>
    </row>
    <row r="517" spans="17:18">
      <c r="Q517" s="1032"/>
      <c r="R517" s="1032"/>
    </row>
    <row r="518" spans="17:18">
      <c r="Q518" s="1032"/>
      <c r="R518" s="1032"/>
    </row>
    <row r="519" spans="17:18">
      <c r="Q519" s="1032"/>
      <c r="R519" s="1032"/>
    </row>
    <row r="520" spans="17:18">
      <c r="Q520" s="1032"/>
      <c r="R520" s="1032"/>
    </row>
    <row r="521" spans="17:18">
      <c r="Q521" s="1032"/>
      <c r="R521" s="1032"/>
    </row>
    <row r="522" spans="17:18">
      <c r="Q522" s="1032"/>
      <c r="R522" s="1032"/>
    </row>
    <row r="523" spans="17:18">
      <c r="Q523" s="1032"/>
      <c r="R523" s="1032"/>
    </row>
    <row r="524" spans="17:18">
      <c r="Q524" s="1032"/>
      <c r="R524" s="1032"/>
    </row>
    <row r="525" spans="17:18">
      <c r="Q525" s="1032"/>
      <c r="R525" s="1032"/>
    </row>
    <row r="526" spans="17:18">
      <c r="Q526" s="1032"/>
      <c r="R526" s="1032"/>
    </row>
    <row r="527" spans="17:18">
      <c r="Q527" s="1032"/>
      <c r="R527" s="1032"/>
    </row>
    <row r="528" spans="17:18">
      <c r="Q528" s="1032"/>
      <c r="R528" s="1032"/>
    </row>
    <row r="529" spans="17:18">
      <c r="Q529" s="1032"/>
      <c r="R529" s="1032"/>
    </row>
    <row r="530" spans="17:18">
      <c r="Q530" s="1032"/>
      <c r="R530" s="1032"/>
    </row>
    <row r="531" spans="17:18">
      <c r="Q531" s="1032"/>
      <c r="R531" s="1032"/>
    </row>
    <row r="532" spans="17:18">
      <c r="Q532" s="1032"/>
      <c r="R532" s="1032"/>
    </row>
    <row r="533" spans="17:18">
      <c r="Q533" s="1032"/>
      <c r="R533" s="1032"/>
    </row>
    <row r="534" spans="17:18">
      <c r="Q534" s="1032"/>
      <c r="R534" s="1032"/>
    </row>
    <row r="535" spans="17:18">
      <c r="Q535" s="1032"/>
      <c r="R535" s="1032"/>
    </row>
    <row r="536" spans="17:18">
      <c r="Q536" s="1032"/>
      <c r="R536" s="1032"/>
    </row>
    <row r="537" spans="17:18">
      <c r="Q537" s="1032"/>
      <c r="R537" s="1032"/>
    </row>
    <row r="538" spans="17:18">
      <c r="Q538" s="1032"/>
      <c r="R538" s="1032"/>
    </row>
    <row r="539" spans="17:18">
      <c r="Q539" s="1032"/>
      <c r="R539" s="1032"/>
    </row>
    <row r="540" spans="17:18">
      <c r="Q540" s="1032"/>
      <c r="R540" s="1032"/>
    </row>
    <row r="541" spans="17:18">
      <c r="Q541" s="1032"/>
      <c r="R541" s="1032"/>
    </row>
    <row r="542" spans="17:18">
      <c r="Q542" s="1032"/>
      <c r="R542" s="1032"/>
    </row>
    <row r="543" spans="17:18">
      <c r="Q543" s="1032"/>
      <c r="R543" s="1032"/>
    </row>
    <row r="544" spans="17:18">
      <c r="Q544" s="1032"/>
      <c r="R544" s="1032"/>
    </row>
    <row r="545" spans="17:18">
      <c r="Q545" s="1032"/>
      <c r="R545" s="1032"/>
    </row>
    <row r="546" spans="17:18">
      <c r="Q546" s="1032"/>
      <c r="R546" s="1032"/>
    </row>
    <row r="547" spans="17:18">
      <c r="Q547" s="1032"/>
      <c r="R547" s="1032"/>
    </row>
    <row r="548" spans="17:18">
      <c r="Q548" s="1032"/>
      <c r="R548" s="1032"/>
    </row>
    <row r="549" spans="17:18">
      <c r="Q549" s="1032"/>
      <c r="R549" s="1032"/>
    </row>
    <row r="550" spans="17:18">
      <c r="Q550" s="1032"/>
      <c r="R550" s="1032"/>
    </row>
    <row r="551" spans="17:18">
      <c r="Q551" s="1032"/>
      <c r="R551" s="1032"/>
    </row>
    <row r="552" spans="17:18">
      <c r="Q552" s="1032"/>
      <c r="R552" s="1032"/>
    </row>
    <row r="553" spans="17:18">
      <c r="Q553" s="1032"/>
      <c r="R553" s="1032"/>
    </row>
    <row r="554" spans="17:18">
      <c r="Q554" s="1032"/>
      <c r="R554" s="1032"/>
    </row>
    <row r="555" spans="17:18">
      <c r="Q555" s="1032"/>
      <c r="R555" s="1032"/>
    </row>
    <row r="556" spans="17:18">
      <c r="Q556" s="1032"/>
      <c r="R556" s="1032"/>
    </row>
    <row r="557" spans="17:18">
      <c r="Q557" s="1032"/>
      <c r="R557" s="1032"/>
    </row>
    <row r="558" spans="17:18">
      <c r="Q558" s="1032"/>
      <c r="R558" s="1032"/>
    </row>
    <row r="559" spans="17:18">
      <c r="Q559" s="1032"/>
      <c r="R559" s="1032"/>
    </row>
    <row r="560" spans="17:18">
      <c r="Q560" s="1032"/>
      <c r="R560" s="1032"/>
    </row>
    <row r="561" spans="17:18">
      <c r="Q561" s="1032"/>
      <c r="R561" s="1032"/>
    </row>
    <row r="562" spans="17:18">
      <c r="Q562" s="1032"/>
      <c r="R562" s="1032"/>
    </row>
    <row r="563" spans="17:18">
      <c r="Q563" s="1032"/>
      <c r="R563" s="1032"/>
    </row>
    <row r="564" spans="17:18">
      <c r="Q564" s="1032"/>
      <c r="R564" s="1032"/>
    </row>
    <row r="565" spans="17:18">
      <c r="Q565" s="1032"/>
      <c r="R565" s="1032"/>
    </row>
    <row r="566" spans="17:18">
      <c r="Q566" s="1032"/>
      <c r="R566" s="1032"/>
    </row>
    <row r="567" spans="17:18">
      <c r="Q567" s="1032"/>
      <c r="R567" s="1032"/>
    </row>
    <row r="568" spans="17:18">
      <c r="Q568" s="1032"/>
      <c r="R568" s="1032"/>
    </row>
    <row r="569" spans="17:18">
      <c r="Q569" s="1032"/>
      <c r="R569" s="1032"/>
    </row>
    <row r="570" spans="17:18">
      <c r="Q570" s="1032"/>
      <c r="R570" s="1032"/>
    </row>
    <row r="571" spans="17:18">
      <c r="Q571" s="1032"/>
      <c r="R571" s="1032"/>
    </row>
    <row r="572" spans="17:18">
      <c r="Q572" s="1032"/>
      <c r="R572" s="1032"/>
    </row>
    <row r="573" spans="17:18">
      <c r="Q573" s="1032"/>
      <c r="R573" s="1032"/>
    </row>
    <row r="574" spans="17:18">
      <c r="Q574" s="1032"/>
      <c r="R574" s="1032"/>
    </row>
    <row r="575" spans="17:18">
      <c r="Q575" s="1032"/>
      <c r="R575" s="1032"/>
    </row>
    <row r="576" spans="17:18">
      <c r="Q576" s="1032"/>
      <c r="R576" s="1032"/>
    </row>
    <row r="577" spans="17:18">
      <c r="Q577" s="1032"/>
      <c r="R577" s="1032"/>
    </row>
    <row r="578" spans="17:18">
      <c r="Q578" s="1032"/>
      <c r="R578" s="1032"/>
    </row>
    <row r="579" spans="17:18">
      <c r="Q579" s="1032"/>
      <c r="R579" s="1032"/>
    </row>
    <row r="580" spans="17:18">
      <c r="Q580" s="1032"/>
      <c r="R580" s="1032"/>
    </row>
    <row r="581" spans="17:18">
      <c r="Q581" s="1032"/>
      <c r="R581" s="1032"/>
    </row>
    <row r="582" spans="17:18">
      <c r="Q582" s="1032"/>
      <c r="R582" s="1032"/>
    </row>
    <row r="583" spans="17:18">
      <c r="Q583" s="1032"/>
      <c r="R583" s="1032"/>
    </row>
    <row r="584" spans="17:18">
      <c r="Q584" s="1032"/>
      <c r="R584" s="1032"/>
    </row>
    <row r="585" spans="17:18">
      <c r="Q585" s="1032"/>
      <c r="R585" s="1032"/>
    </row>
    <row r="586" spans="17:18">
      <c r="Q586" s="1032"/>
      <c r="R586" s="1032"/>
    </row>
    <row r="587" spans="17:18">
      <c r="Q587" s="1032"/>
      <c r="R587" s="1032"/>
    </row>
    <row r="588" spans="17:18">
      <c r="Q588" s="1032"/>
      <c r="R588" s="1032"/>
    </row>
    <row r="589" spans="17:18">
      <c r="Q589" s="1032"/>
      <c r="R589" s="1032"/>
    </row>
    <row r="590" spans="17:18">
      <c r="Q590" s="1032"/>
      <c r="R590" s="1032"/>
    </row>
    <row r="591" spans="17:18">
      <c r="Q591" s="1032"/>
      <c r="R591" s="1032"/>
    </row>
    <row r="592" spans="17:18">
      <c r="Q592" s="1032"/>
      <c r="R592" s="1032"/>
    </row>
    <row r="593" spans="17:18">
      <c r="Q593" s="1032"/>
      <c r="R593" s="1032"/>
    </row>
    <row r="594" spans="17:18">
      <c r="Q594" s="1032"/>
      <c r="R594" s="1032"/>
    </row>
    <row r="595" spans="17:18">
      <c r="Q595" s="1032"/>
      <c r="R595" s="1032"/>
    </row>
    <row r="596" spans="17:18">
      <c r="Q596" s="1032"/>
      <c r="R596" s="1032"/>
    </row>
    <row r="597" spans="17:18">
      <c r="Q597" s="1032"/>
      <c r="R597" s="1032"/>
    </row>
    <row r="598" spans="17:18">
      <c r="Q598" s="1032"/>
      <c r="R598" s="1032"/>
    </row>
    <row r="599" spans="17:18">
      <c r="Q599" s="1032"/>
      <c r="R599" s="1032"/>
    </row>
    <row r="600" spans="17:18">
      <c r="Q600" s="1032"/>
      <c r="R600" s="1032"/>
    </row>
    <row r="601" spans="17:18">
      <c r="Q601" s="1032"/>
      <c r="R601" s="1032"/>
    </row>
    <row r="602" spans="17:18">
      <c r="Q602" s="1032"/>
      <c r="R602" s="1032"/>
    </row>
    <row r="603" spans="17:18">
      <c r="Q603" s="1032"/>
      <c r="R603" s="1032"/>
    </row>
    <row r="604" spans="17:18">
      <c r="Q604" s="1032"/>
      <c r="R604" s="1032"/>
    </row>
    <row r="605" spans="17:18">
      <c r="Q605" s="1032"/>
      <c r="R605" s="1032"/>
    </row>
    <row r="606" spans="17:18">
      <c r="Q606" s="1032"/>
      <c r="R606" s="1032"/>
    </row>
    <row r="607" spans="17:18">
      <c r="Q607" s="1032"/>
      <c r="R607" s="1032"/>
    </row>
    <row r="608" spans="17:18">
      <c r="Q608" s="1032"/>
      <c r="R608" s="1032"/>
    </row>
    <row r="609" spans="17:18">
      <c r="Q609" s="1032"/>
      <c r="R609" s="1032"/>
    </row>
    <row r="610" spans="17:18">
      <c r="Q610" s="1032"/>
      <c r="R610" s="1032"/>
    </row>
    <row r="611" spans="17:18">
      <c r="Q611" s="1032"/>
      <c r="R611" s="1032"/>
    </row>
    <row r="612" spans="17:18">
      <c r="Q612" s="1032"/>
      <c r="R612" s="1032"/>
    </row>
    <row r="613" spans="17:18">
      <c r="Q613" s="1032"/>
      <c r="R613" s="1032"/>
    </row>
    <row r="614" spans="17:18">
      <c r="Q614" s="1032"/>
      <c r="R614" s="1032"/>
    </row>
    <row r="615" spans="17:18">
      <c r="Q615" s="1032"/>
      <c r="R615" s="1032"/>
    </row>
    <row r="616" spans="17:18">
      <c r="Q616" s="1032"/>
      <c r="R616" s="1032"/>
    </row>
    <row r="617" spans="17:18">
      <c r="Q617" s="1032"/>
      <c r="R617" s="1032"/>
    </row>
    <row r="618" spans="17:18">
      <c r="Q618" s="1032"/>
      <c r="R618" s="1032"/>
    </row>
    <row r="619" spans="17:18">
      <c r="Q619" s="1032"/>
      <c r="R619" s="1032"/>
    </row>
    <row r="620" spans="17:18">
      <c r="Q620" s="1032"/>
      <c r="R620" s="1032"/>
    </row>
    <row r="621" spans="17:18">
      <c r="Q621" s="1032"/>
      <c r="R621" s="1032"/>
    </row>
    <row r="622" spans="17:18">
      <c r="Q622" s="1032"/>
      <c r="R622" s="1032"/>
    </row>
    <row r="623" spans="17:18">
      <c r="Q623" s="1032"/>
      <c r="R623" s="1032"/>
    </row>
    <row r="624" spans="17:18">
      <c r="Q624" s="1032"/>
      <c r="R624" s="1032"/>
    </row>
    <row r="625" spans="17:18">
      <c r="Q625" s="1032"/>
      <c r="R625" s="1032"/>
    </row>
    <row r="626" spans="17:18">
      <c r="Q626" s="1032"/>
      <c r="R626" s="1032"/>
    </row>
    <row r="627" spans="17:18">
      <c r="Q627" s="1032"/>
      <c r="R627" s="1032"/>
    </row>
    <row r="628" spans="17:18">
      <c r="Q628" s="1032"/>
      <c r="R628" s="1032"/>
    </row>
    <row r="629" spans="17:18">
      <c r="Q629" s="1032"/>
      <c r="R629" s="1032"/>
    </row>
    <row r="630" spans="17:18">
      <c r="Q630" s="1032"/>
      <c r="R630" s="1032"/>
    </row>
    <row r="631" spans="17:18">
      <c r="Q631" s="1032"/>
      <c r="R631" s="1032"/>
    </row>
    <row r="632" spans="17:18">
      <c r="Q632" s="1032"/>
      <c r="R632" s="1032"/>
    </row>
    <row r="633" spans="17:18">
      <c r="Q633" s="1032"/>
      <c r="R633" s="1032"/>
    </row>
    <row r="634" spans="17:18">
      <c r="Q634" s="1032"/>
      <c r="R634" s="1032"/>
    </row>
    <row r="635" spans="17:18">
      <c r="Q635" s="1032"/>
      <c r="R635" s="1032"/>
    </row>
    <row r="636" spans="17:18">
      <c r="Q636" s="1032"/>
      <c r="R636" s="1032"/>
    </row>
    <row r="637" spans="17:18">
      <c r="Q637" s="1032"/>
      <c r="R637" s="1032"/>
    </row>
    <row r="638" spans="17:18">
      <c r="Q638" s="1032"/>
      <c r="R638" s="1032"/>
    </row>
    <row r="639" spans="17:18">
      <c r="Q639" s="1032"/>
      <c r="R639" s="1032"/>
    </row>
    <row r="640" spans="17:18">
      <c r="Q640" s="1032"/>
      <c r="R640" s="1032"/>
    </row>
    <row r="641" spans="17:18">
      <c r="Q641" s="1032"/>
      <c r="R641" s="1032"/>
    </row>
    <row r="642" spans="17:18">
      <c r="Q642" s="1032"/>
      <c r="R642" s="1032"/>
    </row>
    <row r="643" spans="17:18">
      <c r="Q643" s="1032"/>
      <c r="R643" s="1032"/>
    </row>
    <row r="644" spans="17:18">
      <c r="Q644" s="1032"/>
      <c r="R644" s="1032"/>
    </row>
    <row r="645" spans="17:18">
      <c r="Q645" s="1032"/>
      <c r="R645" s="1032"/>
    </row>
    <row r="646" spans="17:18">
      <c r="Q646" s="1032"/>
      <c r="R646" s="1032"/>
    </row>
    <row r="647" spans="17:18">
      <c r="Q647" s="1032"/>
      <c r="R647" s="1032"/>
    </row>
    <row r="648" spans="17:18">
      <c r="Q648" s="1032"/>
      <c r="R648" s="1032"/>
    </row>
    <row r="649" spans="17:18">
      <c r="Q649" s="1032"/>
      <c r="R649" s="1032"/>
    </row>
    <row r="650" spans="17:18">
      <c r="Q650" s="1032"/>
      <c r="R650" s="1032"/>
    </row>
    <row r="651" spans="17:18">
      <c r="Q651" s="1032"/>
      <c r="R651" s="1032"/>
    </row>
    <row r="652" spans="17:18">
      <c r="Q652" s="1032"/>
      <c r="R652" s="1032"/>
    </row>
    <row r="653" spans="17:18">
      <c r="Q653" s="1032"/>
      <c r="R653" s="1032"/>
    </row>
    <row r="654" spans="17:18">
      <c r="Q654" s="1032"/>
      <c r="R654" s="1032"/>
    </row>
    <row r="655" spans="17:18">
      <c r="Q655" s="1032"/>
      <c r="R655" s="1032"/>
    </row>
    <row r="656" spans="17:18">
      <c r="Q656" s="1032"/>
      <c r="R656" s="1032"/>
    </row>
    <row r="657" spans="17:18">
      <c r="Q657" s="1032"/>
      <c r="R657" s="1032"/>
    </row>
    <row r="658" spans="17:18">
      <c r="Q658" s="1032"/>
      <c r="R658" s="1032"/>
    </row>
    <row r="659" spans="17:18">
      <c r="Q659" s="1032"/>
      <c r="R659" s="1032"/>
    </row>
    <row r="660" spans="17:18">
      <c r="Q660" s="1032"/>
      <c r="R660" s="1032"/>
    </row>
    <row r="661" spans="17:18">
      <c r="Q661" s="1032"/>
      <c r="R661" s="1032"/>
    </row>
    <row r="662" spans="17:18">
      <c r="Q662" s="1032"/>
      <c r="R662" s="1032"/>
    </row>
    <row r="663" spans="17:18">
      <c r="Q663" s="1032"/>
      <c r="R663" s="1032"/>
    </row>
    <row r="664" spans="17:18">
      <c r="Q664" s="1032"/>
      <c r="R664" s="1032"/>
    </row>
    <row r="665" spans="17:18">
      <c r="Q665" s="1032"/>
      <c r="R665" s="1032"/>
    </row>
    <row r="666" spans="17:18">
      <c r="Q666" s="1032"/>
      <c r="R666" s="1032"/>
    </row>
    <row r="667" spans="17:18">
      <c r="Q667" s="1032"/>
      <c r="R667" s="1032"/>
    </row>
    <row r="668" spans="17:18">
      <c r="Q668" s="1032"/>
      <c r="R668" s="1032"/>
    </row>
    <row r="669" spans="17:18">
      <c r="Q669" s="1032"/>
      <c r="R669" s="1032"/>
    </row>
    <row r="670" spans="17:18">
      <c r="Q670" s="1032"/>
      <c r="R670" s="1032"/>
    </row>
    <row r="671" spans="17:18">
      <c r="Q671" s="1032"/>
      <c r="R671" s="1032"/>
    </row>
    <row r="672" spans="17:18">
      <c r="Q672" s="1032"/>
      <c r="R672" s="1032"/>
    </row>
    <row r="673" spans="17:18">
      <c r="Q673" s="1032"/>
      <c r="R673" s="1032"/>
    </row>
    <row r="674" spans="17:18">
      <c r="Q674" s="1032"/>
      <c r="R674" s="1032"/>
    </row>
    <row r="675" spans="17:18">
      <c r="Q675" s="1032"/>
      <c r="R675" s="1032"/>
    </row>
    <row r="676" spans="17:18">
      <c r="Q676" s="1032"/>
      <c r="R676" s="1032"/>
    </row>
    <row r="677" spans="17:18">
      <c r="Q677" s="1032"/>
      <c r="R677" s="1032"/>
    </row>
    <row r="678" spans="17:18">
      <c r="Q678" s="1032"/>
      <c r="R678" s="1032"/>
    </row>
    <row r="679" spans="17:18">
      <c r="Q679" s="1032"/>
      <c r="R679" s="1032"/>
    </row>
    <row r="680" spans="17:18">
      <c r="Q680" s="1032"/>
      <c r="R680" s="1032"/>
    </row>
    <row r="681" spans="17:18">
      <c r="Q681" s="1032"/>
      <c r="R681" s="1032"/>
    </row>
    <row r="682" spans="17:18">
      <c r="Q682" s="1032"/>
      <c r="R682" s="1032"/>
    </row>
    <row r="683" spans="17:18">
      <c r="Q683" s="1032"/>
      <c r="R683" s="1032"/>
    </row>
    <row r="684" spans="17:18">
      <c r="Q684" s="1032"/>
      <c r="R684" s="1032"/>
    </row>
    <row r="685" spans="17:18">
      <c r="Q685" s="1032"/>
      <c r="R685" s="1032"/>
    </row>
    <row r="686" spans="17:18">
      <c r="Q686" s="1032"/>
      <c r="R686" s="1032"/>
    </row>
    <row r="687" spans="17:18">
      <c r="Q687" s="1032"/>
      <c r="R687" s="1032"/>
    </row>
    <row r="688" spans="17:18">
      <c r="Q688" s="1032"/>
      <c r="R688" s="1032"/>
    </row>
    <row r="689" spans="17:18">
      <c r="Q689" s="1032"/>
      <c r="R689" s="1032"/>
    </row>
    <row r="690" spans="17:18">
      <c r="Q690" s="1032"/>
      <c r="R690" s="1032"/>
    </row>
    <row r="691" spans="17:18">
      <c r="Q691" s="1032"/>
      <c r="R691" s="1032"/>
    </row>
    <row r="692" spans="17:18">
      <c r="Q692" s="1032"/>
      <c r="R692" s="1032"/>
    </row>
    <row r="693" spans="17:18">
      <c r="Q693" s="1032"/>
      <c r="R693" s="1032"/>
    </row>
    <row r="694" spans="17:18">
      <c r="Q694" s="1032"/>
      <c r="R694" s="1032"/>
    </row>
    <row r="695" spans="17:18">
      <c r="Q695" s="1032"/>
      <c r="R695" s="1032"/>
    </row>
    <row r="696" spans="17:18">
      <c r="Q696" s="1032"/>
      <c r="R696" s="1032"/>
    </row>
    <row r="697" spans="17:18">
      <c r="Q697" s="1032"/>
      <c r="R697" s="1032"/>
    </row>
    <row r="698" spans="17:18">
      <c r="Q698" s="1032"/>
      <c r="R698" s="1032"/>
    </row>
    <row r="699" spans="17:18">
      <c r="Q699" s="1032"/>
      <c r="R699" s="1032"/>
    </row>
    <row r="700" spans="17:18">
      <c r="Q700" s="1032"/>
      <c r="R700" s="1032"/>
    </row>
    <row r="701" spans="17:18">
      <c r="Q701" s="1032"/>
      <c r="R701" s="1032"/>
    </row>
    <row r="702" spans="17:18">
      <c r="Q702" s="1032"/>
      <c r="R702" s="1032"/>
    </row>
    <row r="703" spans="17:18">
      <c r="Q703" s="1032"/>
      <c r="R703" s="1032"/>
    </row>
    <row r="704" spans="17:18">
      <c r="Q704" s="1032"/>
      <c r="R704" s="1032"/>
    </row>
    <row r="705" spans="17:18">
      <c r="Q705" s="1032"/>
      <c r="R705" s="1032"/>
    </row>
    <row r="706" spans="17:18">
      <c r="Q706" s="1032"/>
      <c r="R706" s="1032"/>
    </row>
    <row r="707" spans="17:18">
      <c r="Q707" s="1032"/>
      <c r="R707" s="1032"/>
    </row>
    <row r="708" spans="17:18">
      <c r="Q708" s="1032"/>
      <c r="R708" s="1032"/>
    </row>
    <row r="709" spans="17:18">
      <c r="Q709" s="1032"/>
      <c r="R709" s="1032"/>
    </row>
    <row r="710" spans="17:18">
      <c r="Q710" s="1032"/>
      <c r="R710" s="1032"/>
    </row>
    <row r="711" spans="17:18">
      <c r="Q711" s="1032"/>
      <c r="R711" s="1032"/>
    </row>
    <row r="712" spans="17:18">
      <c r="Q712" s="1032"/>
      <c r="R712" s="1032"/>
    </row>
    <row r="713" spans="17:18">
      <c r="Q713" s="1032"/>
      <c r="R713" s="1032"/>
    </row>
    <row r="714" spans="17:18">
      <c r="Q714" s="1032"/>
      <c r="R714" s="1032"/>
    </row>
    <row r="715" spans="17:18">
      <c r="Q715" s="1032"/>
      <c r="R715" s="1032"/>
    </row>
    <row r="716" spans="17:18">
      <c r="Q716" s="1032"/>
      <c r="R716" s="1032"/>
    </row>
    <row r="717" spans="17:18">
      <c r="Q717" s="1032"/>
      <c r="R717" s="1032"/>
    </row>
    <row r="718" spans="17:18">
      <c r="Q718" s="1032"/>
      <c r="R718" s="1032"/>
    </row>
    <row r="719" spans="17:18">
      <c r="Q719" s="1032"/>
      <c r="R719" s="1032"/>
    </row>
    <row r="720" spans="17:18">
      <c r="Q720" s="1032"/>
      <c r="R720" s="1032"/>
    </row>
    <row r="721" spans="17:18">
      <c r="Q721" s="1032"/>
      <c r="R721" s="1032"/>
    </row>
    <row r="722" spans="17:18">
      <c r="Q722" s="1032"/>
      <c r="R722" s="1032"/>
    </row>
    <row r="723" spans="17:18">
      <c r="Q723" s="1032"/>
      <c r="R723" s="1032"/>
    </row>
    <row r="724" spans="17:18">
      <c r="Q724" s="1032"/>
      <c r="R724" s="1032"/>
    </row>
    <row r="725" spans="17:18">
      <c r="Q725" s="1032"/>
      <c r="R725" s="1032"/>
    </row>
    <row r="726" spans="17:18">
      <c r="Q726" s="1032"/>
      <c r="R726" s="1032"/>
    </row>
    <row r="727" spans="17:18">
      <c r="Q727" s="1032"/>
      <c r="R727" s="1032"/>
    </row>
    <row r="728" spans="17:18">
      <c r="Q728" s="1032"/>
      <c r="R728" s="1032"/>
    </row>
    <row r="729" spans="17:18">
      <c r="Q729" s="1032"/>
      <c r="R729" s="1032"/>
    </row>
    <row r="730" spans="17:18">
      <c r="Q730" s="1032"/>
      <c r="R730" s="1032"/>
    </row>
    <row r="731" spans="17:18">
      <c r="Q731" s="1032"/>
      <c r="R731" s="1032"/>
    </row>
    <row r="732" spans="17:18">
      <c r="Q732" s="1032"/>
      <c r="R732" s="1032"/>
    </row>
    <row r="733" spans="17:18">
      <c r="Q733" s="1032"/>
      <c r="R733" s="1032"/>
    </row>
    <row r="734" spans="17:18">
      <c r="Q734" s="1032"/>
      <c r="R734" s="1032"/>
    </row>
    <row r="735" spans="17:18">
      <c r="Q735" s="1032"/>
      <c r="R735" s="1032"/>
    </row>
    <row r="736" spans="17:18">
      <c r="Q736" s="1032"/>
      <c r="R736" s="1032"/>
    </row>
    <row r="737" spans="17:18">
      <c r="Q737" s="1032"/>
      <c r="R737" s="1032"/>
    </row>
    <row r="738" spans="17:18">
      <c r="Q738" s="1032"/>
      <c r="R738" s="1032"/>
    </row>
    <row r="739" spans="17:18">
      <c r="Q739" s="1032"/>
      <c r="R739" s="1032"/>
    </row>
    <row r="740" spans="17:18">
      <c r="Q740" s="1032"/>
      <c r="R740" s="1032"/>
    </row>
    <row r="741" spans="17:18">
      <c r="Q741" s="1032"/>
      <c r="R741" s="1032"/>
    </row>
    <row r="742" spans="17:18">
      <c r="Q742" s="1032"/>
      <c r="R742" s="1032"/>
    </row>
    <row r="743" spans="17:18">
      <c r="Q743" s="1032"/>
      <c r="R743" s="1032"/>
    </row>
    <row r="744" spans="17:18">
      <c r="Q744" s="1032"/>
      <c r="R744" s="1032"/>
    </row>
    <row r="745" spans="17:18">
      <c r="Q745" s="1032"/>
      <c r="R745" s="1032"/>
    </row>
    <row r="746" spans="17:18">
      <c r="Q746" s="1032"/>
      <c r="R746" s="1032"/>
    </row>
    <row r="747" spans="17:18">
      <c r="Q747" s="1032"/>
      <c r="R747" s="1032"/>
    </row>
    <row r="748" spans="17:18">
      <c r="Q748" s="1032"/>
      <c r="R748" s="1032"/>
    </row>
    <row r="749" spans="17:18">
      <c r="Q749" s="1032"/>
      <c r="R749" s="1032"/>
    </row>
    <row r="750" spans="17:18">
      <c r="Q750" s="1032"/>
      <c r="R750" s="1032"/>
    </row>
    <row r="751" spans="17:18">
      <c r="Q751" s="1032"/>
      <c r="R751" s="1032"/>
    </row>
    <row r="752" spans="17:18">
      <c r="Q752" s="1032"/>
      <c r="R752" s="1032"/>
    </row>
    <row r="753" spans="17:18">
      <c r="Q753" s="1032"/>
      <c r="R753" s="1032"/>
    </row>
    <row r="754" spans="17:18">
      <c r="Q754" s="1032"/>
      <c r="R754" s="1032"/>
    </row>
    <row r="755" spans="17:18">
      <c r="Q755" s="1032"/>
      <c r="R755" s="1032"/>
    </row>
    <row r="756" spans="17:18">
      <c r="Q756" s="1032"/>
      <c r="R756" s="1032"/>
    </row>
    <row r="757" spans="17:18">
      <c r="Q757" s="1032"/>
      <c r="R757" s="1032"/>
    </row>
    <row r="758" spans="17:18">
      <c r="Q758" s="1032"/>
      <c r="R758" s="1032"/>
    </row>
    <row r="759" spans="17:18">
      <c r="Q759" s="1032"/>
      <c r="R759" s="1032"/>
    </row>
    <row r="760" spans="17:18">
      <c r="Q760" s="1032"/>
      <c r="R760" s="1032"/>
    </row>
    <row r="761" spans="17:18">
      <c r="Q761" s="1032"/>
      <c r="R761" s="1032"/>
    </row>
    <row r="762" spans="17:18">
      <c r="Q762" s="1032"/>
      <c r="R762" s="1032"/>
    </row>
    <row r="763" spans="17:18">
      <c r="Q763" s="1032"/>
      <c r="R763" s="1032"/>
    </row>
    <row r="764" spans="17:18">
      <c r="Q764" s="1032"/>
      <c r="R764" s="1032"/>
    </row>
    <row r="765" spans="17:18">
      <c r="Q765" s="1032"/>
      <c r="R765" s="1032"/>
    </row>
    <row r="766" spans="17:18">
      <c r="Q766" s="1032"/>
      <c r="R766" s="1032"/>
    </row>
    <row r="767" spans="17:18">
      <c r="Q767" s="1032"/>
      <c r="R767" s="1032"/>
    </row>
    <row r="768" spans="17:18">
      <c r="Q768" s="1032"/>
      <c r="R768" s="1032"/>
    </row>
    <row r="769" spans="17:18">
      <c r="Q769" s="1032"/>
      <c r="R769" s="1032"/>
    </row>
    <row r="770" spans="17:18">
      <c r="Q770" s="1032"/>
      <c r="R770" s="1032"/>
    </row>
    <row r="771" spans="17:18">
      <c r="Q771" s="1032"/>
      <c r="R771" s="1032"/>
    </row>
    <row r="772" spans="17:18">
      <c r="Q772" s="1032"/>
      <c r="R772" s="1032"/>
    </row>
    <row r="773" spans="17:18">
      <c r="Q773" s="1032"/>
      <c r="R773" s="1032"/>
    </row>
    <row r="774" spans="17:18">
      <c r="Q774" s="1032"/>
      <c r="R774" s="1032"/>
    </row>
    <row r="775" spans="17:18">
      <c r="Q775" s="1032"/>
      <c r="R775" s="1032"/>
    </row>
    <row r="776" spans="17:18">
      <c r="Q776" s="1032"/>
      <c r="R776" s="1032"/>
    </row>
    <row r="777" spans="17:18">
      <c r="Q777" s="1032"/>
      <c r="R777" s="1032"/>
    </row>
    <row r="778" spans="17:18">
      <c r="Q778" s="1032"/>
      <c r="R778" s="1032"/>
    </row>
    <row r="779" spans="17:18">
      <c r="Q779" s="1032"/>
      <c r="R779" s="1032"/>
    </row>
    <row r="780" spans="17:18">
      <c r="Q780" s="1032"/>
      <c r="R780" s="1032"/>
    </row>
    <row r="781" spans="17:18">
      <c r="Q781" s="1032"/>
      <c r="R781" s="1032"/>
    </row>
    <row r="782" spans="17:18">
      <c r="Q782" s="1032"/>
      <c r="R782" s="1032"/>
    </row>
    <row r="783" spans="17:18">
      <c r="Q783" s="1032"/>
      <c r="R783" s="1032"/>
    </row>
    <row r="784" spans="17:18">
      <c r="Q784" s="1032"/>
      <c r="R784" s="1032"/>
    </row>
    <row r="785" spans="17:18">
      <c r="Q785" s="1032"/>
      <c r="R785" s="1032"/>
    </row>
    <row r="786" spans="17:18">
      <c r="Q786" s="1032"/>
      <c r="R786" s="1032"/>
    </row>
    <row r="787" spans="17:18">
      <c r="Q787" s="1032"/>
      <c r="R787" s="1032"/>
    </row>
    <row r="788" spans="17:18">
      <c r="Q788" s="1032"/>
      <c r="R788" s="1032"/>
    </row>
    <row r="789" spans="17:18">
      <c r="Q789" s="1032"/>
      <c r="R789" s="1032"/>
    </row>
    <row r="790" spans="17:18">
      <c r="Q790" s="1032"/>
      <c r="R790" s="1032"/>
    </row>
    <row r="791" spans="17:18">
      <c r="Q791" s="1032"/>
      <c r="R791" s="1032"/>
    </row>
    <row r="792" spans="17:18">
      <c r="Q792" s="1032"/>
      <c r="R792" s="1032"/>
    </row>
    <row r="793" spans="17:18">
      <c r="Q793" s="1032"/>
      <c r="R793" s="1032"/>
    </row>
    <row r="794" spans="17:18">
      <c r="Q794" s="1032"/>
      <c r="R794" s="1032"/>
    </row>
    <row r="795" spans="17:18">
      <c r="Q795" s="1032"/>
      <c r="R795" s="1032"/>
    </row>
    <row r="796" spans="17:18">
      <c r="Q796" s="1032"/>
      <c r="R796" s="1032"/>
    </row>
    <row r="797" spans="17:18">
      <c r="Q797" s="1032"/>
      <c r="R797" s="1032"/>
    </row>
    <row r="798" spans="17:18">
      <c r="Q798" s="1032"/>
      <c r="R798" s="1032"/>
    </row>
    <row r="799" spans="17:18">
      <c r="Q799" s="1032"/>
      <c r="R799" s="1032"/>
    </row>
    <row r="800" spans="17:18">
      <c r="Q800" s="1032"/>
      <c r="R800" s="1032"/>
    </row>
    <row r="801" spans="17:18">
      <c r="Q801" s="1032"/>
      <c r="R801" s="1032"/>
    </row>
    <row r="802" spans="17:18">
      <c r="Q802" s="1032"/>
      <c r="R802" s="1032"/>
    </row>
    <row r="803" spans="17:18">
      <c r="Q803" s="1032"/>
      <c r="R803" s="1032"/>
    </row>
    <row r="804" spans="17:18">
      <c r="Q804" s="1032"/>
      <c r="R804" s="1032"/>
    </row>
    <row r="805" spans="17:18">
      <c r="Q805" s="1032"/>
      <c r="R805" s="1032"/>
    </row>
    <row r="806" spans="17:18">
      <c r="Q806" s="1032"/>
      <c r="R806" s="1032"/>
    </row>
    <row r="807" spans="17:18">
      <c r="Q807" s="1032"/>
      <c r="R807" s="1032"/>
    </row>
    <row r="808" spans="17:18">
      <c r="Q808" s="1032"/>
      <c r="R808" s="1032"/>
    </row>
    <row r="809" spans="17:18">
      <c r="Q809" s="1032"/>
      <c r="R809" s="1032"/>
    </row>
    <row r="810" spans="17:18">
      <c r="Q810" s="1032"/>
      <c r="R810" s="1032"/>
    </row>
    <row r="811" spans="17:18">
      <c r="Q811" s="1032"/>
      <c r="R811" s="1032"/>
    </row>
    <row r="812" spans="17:18">
      <c r="Q812" s="1032"/>
      <c r="R812" s="1032"/>
    </row>
    <row r="813" spans="17:18">
      <c r="Q813" s="1032"/>
      <c r="R813" s="1032"/>
    </row>
    <row r="814" spans="17:18">
      <c r="Q814" s="1032"/>
      <c r="R814" s="1032"/>
    </row>
    <row r="815" spans="17:18">
      <c r="Q815" s="1032"/>
      <c r="R815" s="1032"/>
    </row>
    <row r="816" spans="17:18">
      <c r="Q816" s="1032"/>
      <c r="R816" s="1032"/>
    </row>
    <row r="817" spans="17:18">
      <c r="Q817" s="1032"/>
      <c r="R817" s="1032"/>
    </row>
    <row r="818" spans="17:18">
      <c r="Q818" s="1032"/>
      <c r="R818" s="1032"/>
    </row>
    <row r="819" spans="17:18">
      <c r="Q819" s="1032"/>
      <c r="R819" s="1032"/>
    </row>
    <row r="820" spans="17:18">
      <c r="Q820" s="1032"/>
      <c r="R820" s="1032"/>
    </row>
    <row r="821" spans="17:18">
      <c r="Q821" s="1032"/>
      <c r="R821" s="1032"/>
    </row>
    <row r="822" spans="17:18">
      <c r="Q822" s="1032"/>
      <c r="R822" s="1032"/>
    </row>
    <row r="823" spans="17:18">
      <c r="Q823" s="1032"/>
      <c r="R823" s="1032"/>
    </row>
    <row r="824" spans="17:18">
      <c r="Q824" s="1032"/>
      <c r="R824" s="1032"/>
    </row>
    <row r="825" spans="17:18">
      <c r="Q825" s="1032"/>
      <c r="R825" s="1032"/>
    </row>
    <row r="826" spans="17:18">
      <c r="Q826" s="1032"/>
      <c r="R826" s="1032"/>
    </row>
    <row r="827" spans="17:18">
      <c r="Q827" s="1032"/>
      <c r="R827" s="1032"/>
    </row>
    <row r="828" spans="17:18">
      <c r="Q828" s="1032"/>
      <c r="R828" s="1032"/>
    </row>
    <row r="829" spans="17:18">
      <c r="Q829" s="1032"/>
      <c r="R829" s="1032"/>
    </row>
    <row r="830" spans="17:18">
      <c r="Q830" s="1032"/>
      <c r="R830" s="1032"/>
    </row>
    <row r="831" spans="17:18">
      <c r="Q831" s="1032"/>
      <c r="R831" s="1032"/>
    </row>
    <row r="832" spans="17:18">
      <c r="Q832" s="1032"/>
      <c r="R832" s="1032"/>
    </row>
    <row r="833" spans="17:18">
      <c r="Q833" s="1032"/>
      <c r="R833" s="1032"/>
    </row>
    <row r="834" spans="17:18">
      <c r="Q834" s="1032"/>
      <c r="R834" s="1032"/>
    </row>
    <row r="835" spans="17:18">
      <c r="Q835" s="1032"/>
      <c r="R835" s="1032"/>
    </row>
    <row r="836" spans="17:18">
      <c r="Q836" s="1032"/>
      <c r="R836" s="1032"/>
    </row>
    <row r="837" spans="17:18">
      <c r="Q837" s="1032"/>
      <c r="R837" s="1032"/>
    </row>
    <row r="838" spans="17:18">
      <c r="Q838" s="1032"/>
      <c r="R838" s="1032"/>
    </row>
    <row r="839" spans="17:18">
      <c r="Q839" s="1032"/>
      <c r="R839" s="1032"/>
    </row>
    <row r="840" spans="17:18">
      <c r="Q840" s="1032"/>
      <c r="R840" s="1032"/>
    </row>
    <row r="841" spans="17:18">
      <c r="Q841" s="1032"/>
      <c r="R841" s="1032"/>
    </row>
    <row r="842" spans="17:18">
      <c r="Q842" s="1032"/>
      <c r="R842" s="1032"/>
    </row>
    <row r="843" spans="17:18">
      <c r="Q843" s="1032"/>
      <c r="R843" s="1032"/>
    </row>
    <row r="844" spans="17:18">
      <c r="Q844" s="1032"/>
      <c r="R844" s="1032"/>
    </row>
    <row r="845" spans="17:18">
      <c r="Q845" s="1032"/>
      <c r="R845" s="1032"/>
    </row>
    <row r="846" spans="17:18">
      <c r="Q846" s="1032"/>
      <c r="R846" s="1032"/>
    </row>
    <row r="847" spans="17:18">
      <c r="Q847" s="1032"/>
      <c r="R847" s="1032"/>
    </row>
    <row r="848" spans="17:18">
      <c r="Q848" s="1032"/>
      <c r="R848" s="1032"/>
    </row>
    <row r="849" spans="17:18">
      <c r="Q849" s="1032"/>
      <c r="R849" s="1032"/>
    </row>
    <row r="850" spans="17:18">
      <c r="Q850" s="1032"/>
      <c r="R850" s="1032"/>
    </row>
    <row r="851" spans="17:18">
      <c r="Q851" s="1032"/>
      <c r="R851" s="1032"/>
    </row>
    <row r="852" spans="17:18">
      <c r="Q852" s="1032"/>
      <c r="R852" s="1032"/>
    </row>
    <row r="853" spans="17:18">
      <c r="Q853" s="1032"/>
      <c r="R853" s="1032"/>
    </row>
    <row r="854" spans="17:18">
      <c r="Q854" s="1032"/>
      <c r="R854" s="1032"/>
    </row>
    <row r="855" spans="17:18">
      <c r="Q855" s="1032"/>
      <c r="R855" s="1032"/>
    </row>
    <row r="856" spans="17:18">
      <c r="Q856" s="1032"/>
      <c r="R856" s="1032"/>
    </row>
    <row r="857" spans="17:18">
      <c r="Q857" s="1032"/>
      <c r="R857" s="1032"/>
    </row>
    <row r="858" spans="17:18">
      <c r="Q858" s="1032"/>
      <c r="R858" s="1032"/>
    </row>
    <row r="859" spans="17:18">
      <c r="Q859" s="1032"/>
      <c r="R859" s="1032"/>
    </row>
    <row r="860" spans="17:18">
      <c r="Q860" s="1032"/>
      <c r="R860" s="1032"/>
    </row>
    <row r="861" spans="17:18">
      <c r="Q861" s="1032"/>
      <c r="R861" s="1032"/>
    </row>
    <row r="862" spans="17:18">
      <c r="Q862" s="1032"/>
      <c r="R862" s="1032"/>
    </row>
    <row r="863" spans="17:18">
      <c r="Q863" s="1032"/>
      <c r="R863" s="1032"/>
    </row>
    <row r="864" spans="17:18">
      <c r="Q864" s="1032"/>
      <c r="R864" s="1032"/>
    </row>
    <row r="865" spans="17:18">
      <c r="Q865" s="1032"/>
      <c r="R865" s="1032"/>
    </row>
    <row r="866" spans="17:18">
      <c r="Q866" s="1032"/>
      <c r="R866" s="1032"/>
    </row>
    <row r="867" spans="17:18">
      <c r="Q867" s="1032"/>
      <c r="R867" s="1032"/>
    </row>
    <row r="868" spans="17:18">
      <c r="Q868" s="1032"/>
      <c r="R868" s="1032"/>
    </row>
    <row r="869" spans="17:18">
      <c r="Q869" s="1032"/>
      <c r="R869" s="1032"/>
    </row>
    <row r="870" spans="17:18">
      <c r="Q870" s="1032"/>
      <c r="R870" s="1032"/>
    </row>
    <row r="871" spans="17:18">
      <c r="Q871" s="1032"/>
      <c r="R871" s="1032"/>
    </row>
    <row r="872" spans="17:18">
      <c r="Q872" s="1032"/>
      <c r="R872" s="1032"/>
    </row>
    <row r="873" spans="17:18">
      <c r="Q873" s="1032"/>
      <c r="R873" s="1032"/>
    </row>
    <row r="874" spans="17:18">
      <c r="Q874" s="1032"/>
      <c r="R874" s="1032"/>
    </row>
    <row r="875" spans="17:18">
      <c r="Q875" s="1032"/>
      <c r="R875" s="1032"/>
    </row>
    <row r="876" spans="17:18">
      <c r="Q876" s="1032"/>
      <c r="R876" s="1032"/>
    </row>
    <row r="877" spans="17:18">
      <c r="Q877" s="1032"/>
      <c r="R877" s="1032"/>
    </row>
    <row r="878" spans="17:18">
      <c r="Q878" s="1032"/>
      <c r="R878" s="1032"/>
    </row>
    <row r="879" spans="17:18">
      <c r="Q879" s="1032"/>
      <c r="R879" s="1032"/>
    </row>
    <row r="880" spans="17:18">
      <c r="Q880" s="1032"/>
      <c r="R880" s="1032"/>
    </row>
    <row r="881" spans="17:18">
      <c r="Q881" s="1032"/>
      <c r="R881" s="1032"/>
    </row>
    <row r="882" spans="17:18">
      <c r="Q882" s="1032"/>
      <c r="R882" s="1032"/>
    </row>
    <row r="883" spans="17:18">
      <c r="Q883" s="1032"/>
      <c r="R883" s="1032"/>
    </row>
    <row r="884" spans="17:18">
      <c r="Q884" s="1032"/>
      <c r="R884" s="1032"/>
    </row>
    <row r="885" spans="17:18">
      <c r="Q885" s="1032"/>
      <c r="R885" s="1032"/>
    </row>
    <row r="886" spans="17:18">
      <c r="Q886" s="1032"/>
      <c r="R886" s="1032"/>
    </row>
    <row r="887" spans="17:18">
      <c r="Q887" s="1032"/>
      <c r="R887" s="1032"/>
    </row>
    <row r="888" spans="17:18">
      <c r="Q888" s="1032"/>
      <c r="R888" s="1032"/>
    </row>
    <row r="889" spans="17:18">
      <c r="Q889" s="1032"/>
      <c r="R889" s="1032"/>
    </row>
    <row r="890" spans="17:18">
      <c r="Q890" s="1032"/>
      <c r="R890" s="1032"/>
    </row>
    <row r="891" spans="17:18">
      <c r="Q891" s="1032"/>
      <c r="R891" s="1032"/>
    </row>
    <row r="892" spans="17:18">
      <c r="Q892" s="1032"/>
      <c r="R892" s="1032"/>
    </row>
    <row r="893" spans="17:18">
      <c r="Q893" s="1032"/>
      <c r="R893" s="1032"/>
    </row>
    <row r="894" spans="17:18">
      <c r="Q894" s="1032"/>
      <c r="R894" s="1032"/>
    </row>
    <row r="895" spans="17:18">
      <c r="Q895" s="1032"/>
      <c r="R895" s="1032"/>
    </row>
    <row r="896" spans="17:18">
      <c r="Q896" s="1032"/>
      <c r="R896" s="1032"/>
    </row>
    <row r="897" spans="17:18">
      <c r="Q897" s="1032"/>
      <c r="R897" s="1032"/>
    </row>
    <row r="898" spans="17:18">
      <c r="Q898" s="1032"/>
      <c r="R898" s="1032"/>
    </row>
    <row r="899" spans="17:18">
      <c r="Q899" s="1032"/>
      <c r="R899" s="1032"/>
    </row>
    <row r="900" spans="17:18">
      <c r="Q900" s="1032"/>
      <c r="R900" s="1032"/>
    </row>
    <row r="901" spans="17:18">
      <c r="Q901" s="1032"/>
      <c r="R901" s="1032"/>
    </row>
    <row r="902" spans="17:18">
      <c r="Q902" s="1032"/>
      <c r="R902" s="1032"/>
    </row>
    <row r="903" spans="17:18">
      <c r="Q903" s="1032"/>
      <c r="R903" s="1032"/>
    </row>
    <row r="904" spans="17:18">
      <c r="Q904" s="1032"/>
      <c r="R904" s="1032"/>
    </row>
    <row r="905" spans="17:18">
      <c r="Q905" s="1032"/>
      <c r="R905" s="1032"/>
    </row>
    <row r="906" spans="17:18">
      <c r="Q906" s="1032"/>
      <c r="R906" s="1032"/>
    </row>
    <row r="907" spans="17:18">
      <c r="Q907" s="1032"/>
      <c r="R907" s="1032"/>
    </row>
    <row r="908" spans="17:18">
      <c r="Q908" s="1032"/>
      <c r="R908" s="1032"/>
    </row>
    <row r="909" spans="17:18">
      <c r="Q909" s="1032"/>
      <c r="R909" s="1032"/>
    </row>
    <row r="910" spans="17:18">
      <c r="Q910" s="1032"/>
      <c r="R910" s="1032"/>
    </row>
    <row r="911" spans="17:18">
      <c r="Q911" s="1032"/>
      <c r="R911" s="1032"/>
    </row>
    <row r="912" spans="17:18">
      <c r="Q912" s="1032"/>
      <c r="R912" s="1032"/>
    </row>
    <row r="913" spans="17:18">
      <c r="Q913" s="1032"/>
      <c r="R913" s="1032"/>
    </row>
    <row r="914" spans="17:18">
      <c r="Q914" s="1032"/>
      <c r="R914" s="1032"/>
    </row>
    <row r="915" spans="17:18">
      <c r="Q915" s="1032"/>
      <c r="R915" s="1032"/>
    </row>
    <row r="916" spans="17:18">
      <c r="Q916" s="1032"/>
      <c r="R916" s="1032"/>
    </row>
    <row r="917" spans="17:18">
      <c r="Q917" s="1032"/>
      <c r="R917" s="1032"/>
    </row>
    <row r="918" spans="17:18">
      <c r="Q918" s="1032"/>
      <c r="R918" s="1032"/>
    </row>
    <row r="919" spans="17:18">
      <c r="Q919" s="1032"/>
      <c r="R919" s="1032"/>
    </row>
    <row r="920" spans="17:18">
      <c r="Q920" s="1032"/>
      <c r="R920" s="1032"/>
    </row>
    <row r="921" spans="17:18">
      <c r="Q921" s="1032"/>
      <c r="R921" s="1032"/>
    </row>
    <row r="922" spans="17:18">
      <c r="Q922" s="1032"/>
      <c r="R922" s="1032"/>
    </row>
    <row r="923" spans="17:18">
      <c r="Q923" s="1032"/>
      <c r="R923" s="1032"/>
    </row>
    <row r="924" spans="17:18">
      <c r="Q924" s="1032"/>
      <c r="R924" s="1032"/>
    </row>
    <row r="925" spans="17:18">
      <c r="Q925" s="1032"/>
      <c r="R925" s="1032"/>
    </row>
    <row r="926" spans="17:18">
      <c r="Q926" s="1032"/>
      <c r="R926" s="1032"/>
    </row>
    <row r="927" spans="17:18">
      <c r="Q927" s="1032"/>
      <c r="R927" s="1032"/>
    </row>
    <row r="928" spans="17:18">
      <c r="Q928" s="1032"/>
      <c r="R928" s="1032"/>
    </row>
    <row r="929" spans="17:18">
      <c r="Q929" s="1032"/>
      <c r="R929" s="1032"/>
    </row>
    <row r="930" spans="17:18">
      <c r="Q930" s="1032"/>
      <c r="R930" s="1032"/>
    </row>
    <row r="931" spans="17:18">
      <c r="Q931" s="1032"/>
      <c r="R931" s="1032"/>
    </row>
    <row r="932" spans="17:18">
      <c r="Q932" s="1032"/>
      <c r="R932" s="1032"/>
    </row>
    <row r="933" spans="17:18">
      <c r="Q933" s="1032"/>
      <c r="R933" s="1032"/>
    </row>
    <row r="934" spans="17:18">
      <c r="Q934" s="1032"/>
      <c r="R934" s="1032"/>
    </row>
    <row r="935" spans="17:18">
      <c r="Q935" s="1032"/>
      <c r="R935" s="1032"/>
    </row>
    <row r="936" spans="17:18">
      <c r="Q936" s="1032"/>
      <c r="R936" s="1032"/>
    </row>
    <row r="937" spans="17:18">
      <c r="Q937" s="1032"/>
      <c r="R937" s="1032"/>
    </row>
    <row r="938" spans="17:18">
      <c r="Q938" s="1032"/>
      <c r="R938" s="1032"/>
    </row>
    <row r="939" spans="17:18">
      <c r="Q939" s="1032"/>
      <c r="R939" s="1032"/>
    </row>
    <row r="940" spans="17:18">
      <c r="Q940" s="1032"/>
      <c r="R940" s="1032"/>
    </row>
    <row r="941" spans="17:18">
      <c r="Q941" s="1032"/>
      <c r="R941" s="1032"/>
    </row>
    <row r="942" spans="17:18">
      <c r="Q942" s="1032"/>
      <c r="R942" s="1032"/>
    </row>
    <row r="943" spans="17:18">
      <c r="Q943" s="1032"/>
      <c r="R943" s="1032"/>
    </row>
    <row r="944" spans="17:18">
      <c r="Q944" s="1032"/>
      <c r="R944" s="1032"/>
    </row>
    <row r="945" spans="17:18">
      <c r="Q945" s="1032"/>
      <c r="R945" s="1032"/>
    </row>
    <row r="946" spans="17:18">
      <c r="Q946" s="1032"/>
      <c r="R946" s="1032"/>
    </row>
    <row r="947" spans="17:18">
      <c r="Q947" s="1032"/>
      <c r="R947" s="1032"/>
    </row>
    <row r="948" spans="17:18">
      <c r="Q948" s="1032"/>
      <c r="R948" s="1032"/>
    </row>
    <row r="949" spans="17:18">
      <c r="Q949" s="1032"/>
      <c r="R949" s="1032"/>
    </row>
    <row r="950" spans="17:18">
      <c r="Q950" s="1032"/>
      <c r="R950" s="1032"/>
    </row>
    <row r="951" spans="17:18">
      <c r="Q951" s="1032"/>
      <c r="R951" s="1032"/>
    </row>
    <row r="952" spans="17:18">
      <c r="Q952" s="1032"/>
      <c r="R952" s="1032"/>
    </row>
    <row r="953" spans="17:18">
      <c r="Q953" s="1032"/>
      <c r="R953" s="1032"/>
    </row>
    <row r="954" spans="17:18">
      <c r="Q954" s="1032"/>
      <c r="R954" s="1032"/>
    </row>
    <row r="955" spans="17:18">
      <c r="Q955" s="1032"/>
      <c r="R955" s="1032"/>
    </row>
    <row r="956" spans="17:18">
      <c r="Q956" s="1032"/>
      <c r="R956" s="1032"/>
    </row>
    <row r="957" spans="17:18">
      <c r="Q957" s="1032"/>
      <c r="R957" s="1032"/>
    </row>
    <row r="958" spans="17:18">
      <c r="Q958" s="1032"/>
      <c r="R958" s="1032"/>
    </row>
    <row r="959" spans="17:18">
      <c r="Q959" s="1032"/>
      <c r="R959" s="1032"/>
    </row>
    <row r="960" spans="17:18">
      <c r="Q960" s="1032"/>
      <c r="R960" s="1032"/>
    </row>
    <row r="961" spans="17:18">
      <c r="Q961" s="1032"/>
      <c r="R961" s="1032"/>
    </row>
    <row r="962" spans="17:18">
      <c r="Q962" s="1032"/>
      <c r="R962" s="1032"/>
    </row>
    <row r="963" spans="17:18">
      <c r="Q963" s="1032"/>
      <c r="R963" s="1032"/>
    </row>
    <row r="964" spans="17:18">
      <c r="Q964" s="1032"/>
      <c r="R964" s="1032"/>
    </row>
    <row r="965" spans="17:18">
      <c r="Q965" s="1032"/>
      <c r="R965" s="1032"/>
    </row>
    <row r="966" spans="17:18">
      <c r="Q966" s="1032"/>
      <c r="R966" s="1032"/>
    </row>
    <row r="967" spans="17:18">
      <c r="Q967" s="1032"/>
      <c r="R967" s="1032"/>
    </row>
    <row r="968" spans="17:18">
      <c r="Q968" s="1032"/>
      <c r="R968" s="1032"/>
    </row>
    <row r="969" spans="17:18">
      <c r="Q969" s="1032"/>
      <c r="R969" s="1032"/>
    </row>
    <row r="970" spans="17:18">
      <c r="Q970" s="1032"/>
      <c r="R970" s="1032"/>
    </row>
    <row r="971" spans="17:18">
      <c r="Q971" s="1032"/>
      <c r="R971" s="1032"/>
    </row>
    <row r="972" spans="17:18">
      <c r="Q972" s="1032"/>
      <c r="R972" s="1032"/>
    </row>
    <row r="973" spans="17:18">
      <c r="Q973" s="1032"/>
      <c r="R973" s="1032"/>
    </row>
    <row r="974" spans="17:18">
      <c r="Q974" s="1032"/>
      <c r="R974" s="1032"/>
    </row>
    <row r="975" spans="17:18">
      <c r="Q975" s="1032"/>
      <c r="R975" s="1032"/>
    </row>
    <row r="976" spans="17:18">
      <c r="Q976" s="1032"/>
      <c r="R976" s="1032"/>
    </row>
    <row r="977" spans="17:18">
      <c r="Q977" s="1032"/>
      <c r="R977" s="1032"/>
    </row>
    <row r="978" spans="17:18">
      <c r="Q978" s="1032"/>
      <c r="R978" s="1032"/>
    </row>
    <row r="979" spans="17:18">
      <c r="Q979" s="1032"/>
      <c r="R979" s="1032"/>
    </row>
    <row r="980" spans="17:18">
      <c r="Q980" s="1032"/>
      <c r="R980" s="1032"/>
    </row>
    <row r="981" spans="17:18">
      <c r="Q981" s="1032"/>
      <c r="R981" s="1032"/>
    </row>
    <row r="982" spans="17:18">
      <c r="Q982" s="1032"/>
      <c r="R982" s="1032"/>
    </row>
    <row r="983" spans="17:18">
      <c r="Q983" s="1032"/>
      <c r="R983" s="1032"/>
    </row>
    <row r="984" spans="17:18">
      <c r="Q984" s="1032"/>
      <c r="R984" s="1032"/>
    </row>
    <row r="985" spans="17:18">
      <c r="Q985" s="1032"/>
      <c r="R985" s="1032"/>
    </row>
    <row r="986" spans="17:18">
      <c r="Q986" s="1032"/>
      <c r="R986" s="1032"/>
    </row>
    <row r="987" spans="17:18">
      <c r="Q987" s="1032"/>
      <c r="R987" s="1032"/>
    </row>
    <row r="988" spans="17:18">
      <c r="Q988" s="1032"/>
      <c r="R988" s="1032"/>
    </row>
    <row r="989" spans="17:18">
      <c r="Q989" s="1032"/>
      <c r="R989" s="1032"/>
    </row>
    <row r="990" spans="17:18">
      <c r="Q990" s="1032"/>
      <c r="R990" s="1032"/>
    </row>
    <row r="991" spans="17:18">
      <c r="Q991" s="1032"/>
      <c r="R991" s="1032"/>
    </row>
    <row r="992" spans="17:18">
      <c r="Q992" s="1032"/>
      <c r="R992" s="1032"/>
    </row>
    <row r="993" spans="17:18">
      <c r="Q993" s="1032"/>
      <c r="R993" s="1032"/>
    </row>
    <row r="994" spans="17:18">
      <c r="Q994" s="1032"/>
      <c r="R994" s="1032"/>
    </row>
    <row r="995" spans="17:18">
      <c r="Q995" s="1032"/>
      <c r="R995" s="1032"/>
    </row>
    <row r="996" spans="17:18">
      <c r="Q996" s="1032"/>
      <c r="R996" s="1032"/>
    </row>
    <row r="997" spans="17:18">
      <c r="Q997" s="1032"/>
      <c r="R997" s="1032"/>
    </row>
    <row r="998" spans="17:18">
      <c r="Q998" s="1032"/>
      <c r="R998" s="1032"/>
    </row>
    <row r="999" spans="17:18">
      <c r="Q999" s="1032"/>
      <c r="R999" s="1032"/>
    </row>
    <row r="1000" spans="17:18">
      <c r="Q1000" s="1032"/>
      <c r="R1000" s="1032"/>
    </row>
    <row r="1001" spans="17:18">
      <c r="Q1001" s="1032"/>
      <c r="R1001" s="1032"/>
    </row>
    <row r="1002" spans="17:18">
      <c r="Q1002" s="1032"/>
      <c r="R1002" s="1032"/>
    </row>
    <row r="1003" spans="17:18">
      <c r="Q1003" s="1032"/>
      <c r="R1003" s="1032"/>
    </row>
    <row r="1004" spans="17:18">
      <c r="Q1004" s="1032"/>
      <c r="R1004" s="1032"/>
    </row>
    <row r="1005" spans="17:18">
      <c r="Q1005" s="1032"/>
      <c r="R1005" s="1032"/>
    </row>
    <row r="1006" spans="17:18">
      <c r="Q1006" s="1032"/>
      <c r="R1006" s="1032"/>
    </row>
    <row r="1007" spans="17:18">
      <c r="Q1007" s="1032"/>
      <c r="R1007" s="1032"/>
    </row>
    <row r="1008" spans="17:18">
      <c r="Q1008" s="1032"/>
      <c r="R1008" s="1032"/>
    </row>
  </sheetData>
  <sheetProtection sheet="1"/>
  <customSheetViews>
    <customSheetView guid="{A57FB75A-A9C6-4363-92C4-C633F764E6EC}" scale="80" showGridLines="0" outlineSymbols="0" showRuler="0">
      <pane ySplit="4" topLeftCell="A14" activePane="bottomLeft" state="frozen"/>
      <selection pane="bottomLeft" activeCell="N27" sqref="N27"/>
      <colBreaks count="1" manualBreakCount="1">
        <brk id="23" max="1048575" man="1"/>
      </colBreaks>
      <pageMargins left="0" right="0" top="0" bottom="0" header="0" footer="0"/>
      <pageSetup paperSize="9" scale="64" orientation="landscape" horizontalDpi="4294967293"/>
      <headerFooter alignWithMargins="0">
        <oddHeader>&amp;LVorschauMusterAdamy&amp;RSeite 2</oddHeader>
        <oddFooter>&amp;R&amp;D</oddFooter>
      </headerFooter>
    </customSheetView>
    <customSheetView guid="{FC62AB03-1E1B-40DD-97B7-FC10FADA3A15}" scale="80" showPageBreaks="1" showGridLines="0" outlineSymbols="0" printArea="1">
      <pane ySplit="4" topLeftCell="A5" activePane="bottomLeft" state="frozen"/>
      <selection pane="bottomLeft" activeCell="N46" sqref="N46"/>
      <colBreaks count="2" manualBreakCount="2">
        <brk id="20" max="39" man="1"/>
        <brk id="23" max="1048575" man="1"/>
      </colBreaks>
      <pageMargins left="0" right="0" top="0" bottom="0" header="0" footer="0"/>
      <pageSetup paperSize="9" scale="64" orientation="landscape" horizontalDpi="4294967293" r:id="rId1"/>
      <headerFooter alignWithMargins="0">
        <oddHeader>&amp;LVorschauMusterAdamy&amp;RSeite 2</oddHeader>
        <oddFooter>&amp;R&amp;D</oddFooter>
      </headerFooter>
    </customSheetView>
  </customSheetViews>
  <mergeCells count="17">
    <mergeCell ref="R2:R3"/>
    <mergeCell ref="C31:H31"/>
    <mergeCell ref="M36:O36"/>
    <mergeCell ref="M37:O37"/>
    <mergeCell ref="C35:Q35"/>
    <mergeCell ref="Q2:Q3"/>
    <mergeCell ref="B28:C28"/>
    <mergeCell ref="L28:N28"/>
    <mergeCell ref="B29:C29"/>
    <mergeCell ref="L29:N29"/>
    <mergeCell ref="A2:A3"/>
    <mergeCell ref="A5:A20"/>
    <mergeCell ref="H1:J1"/>
    <mergeCell ref="M43:O43"/>
    <mergeCell ref="M41:O41"/>
    <mergeCell ref="M38:N38"/>
    <mergeCell ref="B1:D1"/>
  </mergeCells>
  <phoneticPr fontId="0" type="noConversion"/>
  <conditionalFormatting sqref="Q21 C21:O21 Q23:Q26 B23:O24">
    <cfRule type="cellIs" dxfId="2" priority="1" stopIfTrue="1" operator="lessThan">
      <formula>0</formula>
    </cfRule>
  </conditionalFormatting>
  <pageMargins left="0.94488188976377963" right="0.94488188976377963" top="1.0236220472440944" bottom="0.98425196850393704" header="0.49" footer="0.62"/>
  <pageSetup paperSize="9" scale="49" orientation="landscape" horizontalDpi="4294967293" r:id="rId2"/>
  <headerFooter alignWithMargins="0">
    <oddHeader>&amp;CSeite &amp;P</oddHeader>
    <oddFooter>&amp;LDie Vorlage dieser Datei wurde zur Verfügung gestellt durch die Wirtschafts-Senioren Hannover&amp;R&amp;D</oddFooter>
  </headerFooter>
  <colBreaks count="1" manualBreakCount="1">
    <brk id="23" max="1048575" man="1"/>
  </colBreaks>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86DD-1692-4213-AEF3-5BCC7C945673}">
  <sheetPr>
    <tabColor indexed="13"/>
    <pageSetUpPr autoPageBreaks="0"/>
  </sheetPr>
  <dimension ref="A1:AE1010"/>
  <sheetViews>
    <sheetView showGridLines="0" tabSelected="1" showRuler="0" showOutlineSymbols="0" zoomScaleNormal="100" zoomScaleSheetLayoutView="70" zoomScalePageLayoutView="50" workbookViewId="0">
      <selection activeCell="W10" sqref="W10"/>
    </sheetView>
  </sheetViews>
  <sheetFormatPr defaultColWidth="11.42578125" defaultRowHeight="15" outlineLevelRow="4" outlineLevelCol="2"/>
  <cols>
    <col min="1" max="1" width="5.7109375" style="961" customWidth="1"/>
    <col min="2" max="2" width="33" style="1100" customWidth="1"/>
    <col min="3" max="3" width="9.140625" style="1100" customWidth="1" outlineLevel="1"/>
    <col min="4" max="4" width="9.5703125" style="1100" customWidth="1" outlineLevel="1"/>
    <col min="5" max="5" width="9.85546875" style="1100" customWidth="1" outlineLevel="2"/>
    <col min="6" max="6" width="7.85546875" style="1100" customWidth="1" outlineLevel="2"/>
    <col min="7" max="7" width="8.7109375" style="1100" customWidth="1" outlineLevel="2"/>
    <col min="8" max="8" width="8.85546875" style="1100" customWidth="1" outlineLevel="2"/>
    <col min="9" max="9" width="9.85546875" style="1101" customWidth="1" outlineLevel="1"/>
    <col min="10" max="10" width="9.28515625" style="1100" customWidth="1" outlineLevel="1"/>
    <col min="11" max="11" width="8.28515625" style="1100" customWidth="1" outlineLevel="1"/>
    <col min="12" max="12" width="9.7109375" style="1100" customWidth="1" outlineLevel="1"/>
    <col min="13" max="13" width="9.28515625" style="1100" customWidth="1" outlineLevel="1"/>
    <col min="14" max="14" width="9.7109375" style="1100" customWidth="1" outlineLevel="1"/>
    <col min="15" max="15" width="9.5703125" style="1102" customWidth="1"/>
    <col min="16" max="16" width="9.7109375" style="1103" customWidth="1"/>
    <col min="17" max="17" width="10" style="1100" customWidth="1"/>
    <col min="18" max="18" width="52.7109375" style="1033" customWidth="1"/>
    <col min="19" max="19" width="4.85546875" style="923" customWidth="1"/>
    <col min="20" max="21" width="7.7109375" style="923" customWidth="1"/>
    <col min="22" max="23" width="4.28515625" style="923" customWidth="1" outlineLevel="1"/>
    <col min="24" max="35" width="4.28515625" style="923" customWidth="1"/>
    <col min="36" max="46" width="11.42578125" style="923"/>
    <col min="47" max="47" width="4.28515625" style="923" customWidth="1"/>
    <col min="48" max="16384" width="11.42578125" style="923"/>
  </cols>
  <sheetData>
    <row r="1" spans="1:19" ht="32.25" customHeight="1" thickTop="1" thickBot="1">
      <c r="A1" s="911"/>
      <c r="B1" s="2237" t="s">
        <v>300</v>
      </c>
      <c r="C1" s="2241"/>
      <c r="D1" s="2241"/>
      <c r="E1" s="2046">
        <f>ZusammenführErgebn!E3</f>
        <v>2027</v>
      </c>
      <c r="F1" s="2045"/>
      <c r="G1" s="2045"/>
      <c r="H1" s="2237" t="str">
        <f>Deckblatt!C5</f>
        <v>Max Mustermann</v>
      </c>
      <c r="I1" s="2237"/>
      <c r="J1" s="2237"/>
      <c r="K1" s="2045"/>
      <c r="L1" s="2045"/>
      <c r="M1" s="2045"/>
      <c r="N1" s="2045"/>
      <c r="O1" s="2045"/>
      <c r="P1" s="1091"/>
      <c r="Q1" s="913"/>
      <c r="R1" s="1035"/>
      <c r="S1" s="674"/>
    </row>
    <row r="2" spans="1:19" ht="18.75" customHeight="1">
      <c r="A2" s="2245" t="s">
        <v>225</v>
      </c>
      <c r="B2" s="918" t="s">
        <v>226</v>
      </c>
      <c r="C2" s="876" t="str">
        <f>'Ertragsv. 2025'!C2</f>
        <v>Jan.</v>
      </c>
      <c r="D2" s="877" t="str">
        <f>'Ertragsv. 2025'!D2</f>
        <v>Febr.</v>
      </c>
      <c r="E2" s="877" t="str">
        <f>'Ertragsv. 2025'!E2</f>
        <v>März</v>
      </c>
      <c r="F2" s="877" t="str">
        <f>'Ertragsv. 2025'!F2</f>
        <v>April</v>
      </c>
      <c r="G2" s="877" t="str">
        <f>'Ertragsv. 2025'!G2</f>
        <v>Mai</v>
      </c>
      <c r="H2" s="878" t="str">
        <f>'Ertragsv. 2025'!H2</f>
        <v>Juni</v>
      </c>
      <c r="I2" s="877" t="str">
        <f>'Ertragsv. 2025'!I2</f>
        <v>Juli</v>
      </c>
      <c r="J2" s="877" t="str">
        <f>'Ertragsv. 2025'!J2</f>
        <v>Aug.</v>
      </c>
      <c r="K2" s="877" t="str">
        <f>'Ertragsv. 2025'!K2</f>
        <v>Sept.</v>
      </c>
      <c r="L2" s="877" t="str">
        <f>'Ertragsv. 2025'!L2</f>
        <v>Okt.</v>
      </c>
      <c r="M2" s="877" t="str">
        <f>'Ertragsv. 2025'!M2</f>
        <v>Nov.</v>
      </c>
      <c r="N2" s="877" t="str">
        <f>'Ertragsv. 2025'!N2</f>
        <v>Dez.</v>
      </c>
      <c r="O2" s="2041" t="s">
        <v>227</v>
      </c>
      <c r="P2" s="1039" t="s">
        <v>178</v>
      </c>
      <c r="Q2" s="2243" t="s">
        <v>228</v>
      </c>
      <c r="R2" s="2215" t="s">
        <v>229</v>
      </c>
      <c r="S2" s="676"/>
    </row>
    <row r="3" spans="1:19" ht="40.9" customHeight="1" outlineLevel="2">
      <c r="A3" s="2246"/>
      <c r="B3" s="924" t="s">
        <v>230</v>
      </c>
      <c r="C3" s="1044">
        <f>'UmstzPlan 1.-3.Jahr'!E57</f>
        <v>0</v>
      </c>
      <c r="D3" s="926">
        <f>'UmstzPlan 1.-3.Jahr'!G57</f>
        <v>0</v>
      </c>
      <c r="E3" s="926">
        <f>'UmstzPlan 1.-3.Jahr'!I57</f>
        <v>0</v>
      </c>
      <c r="F3" s="926">
        <f>'UmstzPlan 1.-3.Jahr'!K57</f>
        <v>0</v>
      </c>
      <c r="G3" s="926">
        <f>'UmstzPlan 1.-3.Jahr'!M57</f>
        <v>0</v>
      </c>
      <c r="H3" s="926">
        <f>'UmstzPlan 1.-3.Jahr'!O57</f>
        <v>0</v>
      </c>
      <c r="I3" s="926">
        <f>'UmstzPlan 1.-3.Jahr'!Q57</f>
        <v>0</v>
      </c>
      <c r="J3" s="926">
        <f>'UmstzPlan 1.-3.Jahr'!S57</f>
        <v>0</v>
      </c>
      <c r="K3" s="926">
        <f>'UmstzPlan 1.-3.Jahr'!U57</f>
        <v>0</v>
      </c>
      <c r="L3" s="926">
        <f>'UmstzPlan 1.-3.Jahr'!W57</f>
        <v>0</v>
      </c>
      <c r="M3" s="926">
        <f>'UmstzPlan 1.-3.Jahr'!Y57</f>
        <v>0</v>
      </c>
      <c r="N3" s="926">
        <f>'UmstzPlan 1.-3.Jahr'!AA57</f>
        <v>0</v>
      </c>
      <c r="O3" s="927">
        <f>SUM(C3:N3)</f>
        <v>0</v>
      </c>
      <c r="P3" s="1382">
        <v>100</v>
      </c>
      <c r="Q3" s="2244"/>
      <c r="R3" s="2216"/>
      <c r="S3" s="676"/>
    </row>
    <row r="4" spans="1:19" ht="15" customHeight="1" outlineLevel="4">
      <c r="A4" s="608">
        <v>0.12</v>
      </c>
      <c r="B4" s="928" t="s">
        <v>231</v>
      </c>
      <c r="C4" s="1047">
        <f>C3*$A$4</f>
        <v>0</v>
      </c>
      <c r="D4" s="1048">
        <f t="shared" ref="D4:N4" si="0">D3*$A$4</f>
        <v>0</v>
      </c>
      <c r="E4" s="1048">
        <f t="shared" si="0"/>
        <v>0</v>
      </c>
      <c r="F4" s="1048">
        <f t="shared" si="0"/>
        <v>0</v>
      </c>
      <c r="G4" s="1048">
        <f t="shared" si="0"/>
        <v>0</v>
      </c>
      <c r="H4" s="1048">
        <f t="shared" si="0"/>
        <v>0</v>
      </c>
      <c r="I4" s="1048">
        <f t="shared" si="0"/>
        <v>0</v>
      </c>
      <c r="J4" s="1048">
        <f t="shared" si="0"/>
        <v>0</v>
      </c>
      <c r="K4" s="1048">
        <f t="shared" si="0"/>
        <v>0</v>
      </c>
      <c r="L4" s="1048">
        <f t="shared" si="0"/>
        <v>0</v>
      </c>
      <c r="M4" s="1048">
        <f t="shared" si="0"/>
        <v>0</v>
      </c>
      <c r="N4" s="1048">
        <f t="shared" si="0"/>
        <v>0</v>
      </c>
      <c r="O4" s="930">
        <f>SUM(C4:N4)</f>
        <v>0</v>
      </c>
      <c r="P4" s="1092" t="e">
        <f>O4/$O$3%</f>
        <v>#DIV/0!</v>
      </c>
      <c r="Q4" s="40"/>
      <c r="R4" s="498"/>
      <c r="S4" s="676"/>
    </row>
    <row r="5" spans="1:19" ht="15" customHeight="1" outlineLevel="4">
      <c r="A5" s="2236"/>
      <c r="B5" s="924" t="s">
        <v>233</v>
      </c>
      <c r="C5" s="1049"/>
      <c r="D5" s="932"/>
      <c r="E5" s="932"/>
      <c r="F5" s="932"/>
      <c r="G5" s="932"/>
      <c r="H5" s="932"/>
      <c r="I5" s="932"/>
      <c r="J5" s="932"/>
      <c r="K5" s="932"/>
      <c r="L5" s="932"/>
      <c r="M5" s="932"/>
      <c r="N5" s="932"/>
      <c r="O5" s="933"/>
      <c r="P5" s="1092"/>
      <c r="Q5" s="40"/>
      <c r="R5" s="499"/>
      <c r="S5" s="676"/>
    </row>
    <row r="6" spans="1:19" ht="15" customHeight="1" outlineLevel="4">
      <c r="A6" s="2236"/>
      <c r="B6" s="934" t="s">
        <v>234</v>
      </c>
      <c r="C6" s="68">
        <v>0</v>
      </c>
      <c r="D6" s="63">
        <v>0</v>
      </c>
      <c r="E6" s="63">
        <v>0</v>
      </c>
      <c r="F6" s="63">
        <v>0</v>
      </c>
      <c r="G6" s="63">
        <v>0</v>
      </c>
      <c r="H6" s="63">
        <v>0</v>
      </c>
      <c r="I6" s="63">
        <v>0</v>
      </c>
      <c r="J6" s="63">
        <v>0</v>
      </c>
      <c r="K6" s="63">
        <v>0</v>
      </c>
      <c r="L6" s="63">
        <v>0</v>
      </c>
      <c r="M6" s="63">
        <v>0</v>
      </c>
      <c r="N6" s="64">
        <v>0</v>
      </c>
      <c r="O6" s="933">
        <f>SUM(C6:N6)</f>
        <v>0</v>
      </c>
      <c r="P6" s="1092" t="e">
        <f t="shared" ref="P6:P29" si="1">O6/$O$3%</f>
        <v>#DIV/0!</v>
      </c>
      <c r="Q6" s="40"/>
      <c r="R6" s="500" t="s">
        <v>235</v>
      </c>
      <c r="S6" s="676"/>
    </row>
    <row r="7" spans="1:19" ht="15" customHeight="1" outlineLevel="4">
      <c r="A7" s="2236"/>
      <c r="B7" s="934" t="s">
        <v>124</v>
      </c>
      <c r="C7" s="68">
        <v>0</v>
      </c>
      <c r="D7" s="63">
        <v>0</v>
      </c>
      <c r="E7" s="63">
        <v>0</v>
      </c>
      <c r="F7" s="63">
        <v>0</v>
      </c>
      <c r="G7" s="63">
        <v>0</v>
      </c>
      <c r="H7" s="63">
        <v>0</v>
      </c>
      <c r="I7" s="63">
        <v>0</v>
      </c>
      <c r="J7" s="63">
        <v>0</v>
      </c>
      <c r="K7" s="63">
        <v>0</v>
      </c>
      <c r="L7" s="63">
        <v>0</v>
      </c>
      <c r="M7" s="63">
        <v>0</v>
      </c>
      <c r="N7" s="64">
        <v>0</v>
      </c>
      <c r="O7" s="933">
        <f>SUM(C7:N7)</f>
        <v>0</v>
      </c>
      <c r="P7" s="1092" t="e">
        <f t="shared" si="1"/>
        <v>#DIV/0!</v>
      </c>
      <c r="Q7" s="40"/>
      <c r="R7" s="500" t="s">
        <v>236</v>
      </c>
      <c r="S7" s="676"/>
    </row>
    <row r="8" spans="1:19" ht="15" customHeight="1" outlineLevel="4">
      <c r="A8" s="2236"/>
      <c r="B8" s="934" t="s">
        <v>237</v>
      </c>
      <c r="C8" s="68">
        <v>0</v>
      </c>
      <c r="D8" s="63">
        <v>0</v>
      </c>
      <c r="E8" s="63">
        <v>0</v>
      </c>
      <c r="F8" s="63">
        <v>0</v>
      </c>
      <c r="G8" s="63">
        <v>0</v>
      </c>
      <c r="H8" s="63">
        <v>0</v>
      </c>
      <c r="I8" s="63">
        <v>0</v>
      </c>
      <c r="J8" s="63">
        <v>0</v>
      </c>
      <c r="K8" s="63">
        <v>0</v>
      </c>
      <c r="L8" s="63">
        <v>0</v>
      </c>
      <c r="M8" s="63">
        <v>0</v>
      </c>
      <c r="N8" s="64">
        <v>0</v>
      </c>
      <c r="O8" s="933">
        <f>SUM(C8:N8)</f>
        <v>0</v>
      </c>
      <c r="P8" s="1092" t="e">
        <f t="shared" si="1"/>
        <v>#DIV/0!</v>
      </c>
      <c r="Q8" s="40"/>
      <c r="R8" s="500" t="s">
        <v>238</v>
      </c>
      <c r="S8" s="676"/>
    </row>
    <row r="9" spans="1:19" ht="16.5" customHeight="1" outlineLevel="4">
      <c r="A9" s="2236"/>
      <c r="B9" s="928" t="s">
        <v>239</v>
      </c>
      <c r="C9" s="1050">
        <f>Finanz_AfA_Investitionen!$H28</f>
        <v>0</v>
      </c>
      <c r="D9" s="936">
        <f>Finanz_AfA_Investitionen!$H28</f>
        <v>0</v>
      </c>
      <c r="E9" s="936">
        <f>Finanz_AfA_Investitionen!$H28</f>
        <v>0</v>
      </c>
      <c r="F9" s="936">
        <f>Finanz_AfA_Investitionen!$H28</f>
        <v>0</v>
      </c>
      <c r="G9" s="936">
        <f>Finanz_AfA_Investitionen!$H28</f>
        <v>0</v>
      </c>
      <c r="H9" s="936">
        <f>Finanz_AfA_Investitionen!$H28</f>
        <v>0</v>
      </c>
      <c r="I9" s="936">
        <f>Finanz_AfA_Investitionen!$H28</f>
        <v>0</v>
      </c>
      <c r="J9" s="936">
        <f>Finanz_AfA_Investitionen!$H28</f>
        <v>0</v>
      </c>
      <c r="K9" s="936">
        <f>Finanz_AfA_Investitionen!$H28</f>
        <v>0</v>
      </c>
      <c r="L9" s="936">
        <f>Finanz_AfA_Investitionen!$H28</f>
        <v>0</v>
      </c>
      <c r="M9" s="936">
        <f>Finanz_AfA_Investitionen!$H28</f>
        <v>0</v>
      </c>
      <c r="N9" s="936">
        <f>Finanz_AfA_Investitionen!$H28</f>
        <v>0</v>
      </c>
      <c r="O9" s="933">
        <f>SUM(C9:N9)</f>
        <v>0</v>
      </c>
      <c r="P9" s="1092" t="e">
        <f t="shared" si="1"/>
        <v>#DIV/0!</v>
      </c>
      <c r="Q9" s="40"/>
      <c r="R9" s="500"/>
      <c r="S9" s="676"/>
    </row>
    <row r="10" spans="1:19" ht="16.5" customHeight="1" outlineLevel="3">
      <c r="A10" s="2236"/>
      <c r="B10" s="934" t="s">
        <v>240</v>
      </c>
      <c r="C10" s="68"/>
      <c r="D10" s="63"/>
      <c r="E10" s="63"/>
      <c r="F10" s="63"/>
      <c r="G10" s="63"/>
      <c r="H10" s="63"/>
      <c r="I10" s="63"/>
      <c r="J10" s="63"/>
      <c r="K10" s="63"/>
      <c r="L10" s="63"/>
      <c r="M10" s="63"/>
      <c r="N10" s="64"/>
      <c r="O10" s="933">
        <f t="shared" ref="O10:O22" si="2">SUM(C10:N10)</f>
        <v>0</v>
      </c>
      <c r="P10" s="1092" t="e">
        <f t="shared" si="1"/>
        <v>#DIV/0!</v>
      </c>
      <c r="Q10" s="40"/>
      <c r="R10" s="500"/>
      <c r="S10" s="676"/>
    </row>
    <row r="11" spans="1:19" ht="16.5" customHeight="1" outlineLevel="3">
      <c r="A11" s="2236"/>
      <c r="B11" s="934" t="s">
        <v>242</v>
      </c>
      <c r="C11" s="68"/>
      <c r="D11" s="63"/>
      <c r="E11" s="63"/>
      <c r="F11" s="63"/>
      <c r="G11" s="63"/>
      <c r="H11" s="63"/>
      <c r="I11" s="63"/>
      <c r="J11" s="63"/>
      <c r="K11" s="63"/>
      <c r="L11" s="63"/>
      <c r="M11" s="63"/>
      <c r="N11" s="64"/>
      <c r="O11" s="933">
        <f t="shared" si="2"/>
        <v>0</v>
      </c>
      <c r="P11" s="1092" t="e">
        <f t="shared" si="1"/>
        <v>#DIV/0!</v>
      </c>
      <c r="Q11" s="40"/>
      <c r="R11" s="500"/>
      <c r="S11" s="676"/>
    </row>
    <row r="12" spans="1:19" ht="16.5" customHeight="1" outlineLevel="3">
      <c r="A12" s="2236"/>
      <c r="B12" s="934" t="s">
        <v>243</v>
      </c>
      <c r="C12" s="68"/>
      <c r="D12" s="63"/>
      <c r="E12" s="63"/>
      <c r="F12" s="63"/>
      <c r="G12" s="63"/>
      <c r="H12" s="63"/>
      <c r="I12" s="63"/>
      <c r="J12" s="63"/>
      <c r="K12" s="63"/>
      <c r="L12" s="63"/>
      <c r="M12" s="63"/>
      <c r="N12" s="64"/>
      <c r="O12" s="933">
        <f t="shared" si="2"/>
        <v>0</v>
      </c>
      <c r="P12" s="1092" t="e">
        <f t="shared" si="1"/>
        <v>#DIV/0!</v>
      </c>
      <c r="Q12" s="40"/>
      <c r="R12" s="500"/>
      <c r="S12" s="676"/>
    </row>
    <row r="13" spans="1:19" ht="16.5" customHeight="1" outlineLevel="3">
      <c r="A13" s="2236"/>
      <c r="B13" s="934" t="s">
        <v>244</v>
      </c>
      <c r="C13" s="68"/>
      <c r="D13" s="63"/>
      <c r="E13" s="63"/>
      <c r="F13" s="63"/>
      <c r="G13" s="63"/>
      <c r="H13" s="63"/>
      <c r="I13" s="63"/>
      <c r="J13" s="63"/>
      <c r="K13" s="63"/>
      <c r="L13" s="63"/>
      <c r="M13" s="63"/>
      <c r="N13" s="64"/>
      <c r="O13" s="933">
        <f t="shared" si="2"/>
        <v>0</v>
      </c>
      <c r="P13" s="1092" t="e">
        <f t="shared" si="1"/>
        <v>#DIV/0!</v>
      </c>
      <c r="Q13" s="40"/>
      <c r="R13" s="500" t="s">
        <v>301</v>
      </c>
      <c r="S13" s="676"/>
    </row>
    <row r="14" spans="1:19" ht="16.5" customHeight="1" outlineLevel="3">
      <c r="A14" s="2236"/>
      <c r="B14" s="934" t="s">
        <v>125</v>
      </c>
      <c r="C14" s="68"/>
      <c r="D14" s="63"/>
      <c r="E14" s="63"/>
      <c r="F14" s="63"/>
      <c r="G14" s="63"/>
      <c r="H14" s="63"/>
      <c r="I14" s="63"/>
      <c r="J14" s="63"/>
      <c r="K14" s="63"/>
      <c r="L14" s="63"/>
      <c r="M14" s="63"/>
      <c r="N14" s="64"/>
      <c r="O14" s="933">
        <f t="shared" si="2"/>
        <v>0</v>
      </c>
      <c r="P14" s="1092" t="e">
        <f t="shared" si="1"/>
        <v>#DIV/0!</v>
      </c>
      <c r="Q14" s="40"/>
      <c r="R14" s="500"/>
      <c r="S14" s="676"/>
    </row>
    <row r="15" spans="1:19" ht="16.5" customHeight="1" outlineLevel="3">
      <c r="A15" s="2236"/>
      <c r="B15" s="934" t="s">
        <v>247</v>
      </c>
      <c r="C15" s="68"/>
      <c r="D15" s="63"/>
      <c r="E15" s="63"/>
      <c r="F15" s="63"/>
      <c r="G15" s="63"/>
      <c r="H15" s="63"/>
      <c r="I15" s="63"/>
      <c r="J15" s="63"/>
      <c r="K15" s="63"/>
      <c r="L15" s="63"/>
      <c r="M15" s="63"/>
      <c r="N15" s="64"/>
      <c r="O15" s="933">
        <f t="shared" si="2"/>
        <v>0</v>
      </c>
      <c r="P15" s="1092" t="e">
        <f t="shared" si="1"/>
        <v>#DIV/0!</v>
      </c>
      <c r="Q15" s="40"/>
      <c r="R15" s="500"/>
      <c r="S15" s="676"/>
    </row>
    <row r="16" spans="1:19" ht="16.5" customHeight="1" outlineLevel="3">
      <c r="A16" s="2236"/>
      <c r="B16" s="934" t="s">
        <v>248</v>
      </c>
      <c r="C16" s="69"/>
      <c r="D16" s="66"/>
      <c r="E16" s="66"/>
      <c r="F16" s="66"/>
      <c r="G16" s="66"/>
      <c r="H16" s="66"/>
      <c r="I16" s="66"/>
      <c r="J16" s="66"/>
      <c r="K16" s="66"/>
      <c r="L16" s="66"/>
      <c r="M16" s="66"/>
      <c r="N16" s="67"/>
      <c r="O16" s="933">
        <f t="shared" si="2"/>
        <v>0</v>
      </c>
      <c r="P16" s="1092" t="e">
        <f t="shared" si="1"/>
        <v>#DIV/0!</v>
      </c>
      <c r="Q16" s="40"/>
      <c r="R16" s="500"/>
      <c r="S16" s="676"/>
    </row>
    <row r="17" spans="1:19" ht="16.5" customHeight="1" outlineLevel="3">
      <c r="A17" s="2236"/>
      <c r="B17" s="934" t="s">
        <v>249</v>
      </c>
      <c r="C17" s="1051">
        <f>Finanz_AfA_Investitionen!$I$38-Finanz_AfA_Investitionen!I37+'Mikrostarter Geschäftsplan'!D46</f>
        <v>0</v>
      </c>
      <c r="D17" s="1051">
        <f>Finanz_AfA_Investitionen!$I$38-Finanz_AfA_Investitionen!I37+'Mikrostarter Geschäftsplan'!D47</f>
        <v>0</v>
      </c>
      <c r="E17" s="1051">
        <f>Finanz_AfA_Investitionen!$I$38-Finanz_AfA_Investitionen!I37+'Mikrostarter Geschäftsplan'!D48</f>
        <v>0</v>
      </c>
      <c r="F17" s="1051">
        <f>Finanz_AfA_Investitionen!$I$38-Finanz_AfA_Investitionen!I37+'Mikrostarter Geschäftsplan'!D49</f>
        <v>0</v>
      </c>
      <c r="G17" s="1051">
        <f>Finanz_AfA_Investitionen!$I$38-Finanz_AfA_Investitionen!I37+'Mikrostarter Geschäftsplan'!D50</f>
        <v>0</v>
      </c>
      <c r="H17" s="1051">
        <f>Finanz_AfA_Investitionen!$I$38-Finanz_AfA_Investitionen!I37+'Mikrostarter Geschäftsplan'!D51</f>
        <v>0</v>
      </c>
      <c r="I17" s="1051">
        <f>Finanz_AfA_Investitionen!$I$38-Finanz_AfA_Investitionen!I37+'Mikrostarter Geschäftsplan'!D52</f>
        <v>0</v>
      </c>
      <c r="J17" s="1051">
        <f>Finanz_AfA_Investitionen!$I$38-Finanz_AfA_Investitionen!I37+'Mikrostarter Geschäftsplan'!D53</f>
        <v>0</v>
      </c>
      <c r="K17" s="1051">
        <f>Finanz_AfA_Investitionen!$I$38-Finanz_AfA_Investitionen!I37+'Mikrostarter Geschäftsplan'!D54</f>
        <v>0</v>
      </c>
      <c r="L17" s="1051">
        <f>Finanz_AfA_Investitionen!$I$38-Finanz_AfA_Investitionen!I37+'Mikrostarter Geschäftsplan'!D55</f>
        <v>0</v>
      </c>
      <c r="M17" s="1051">
        <f>Finanz_AfA_Investitionen!$I$38-Finanz_AfA_Investitionen!I37+'Mikrostarter Geschäftsplan'!D56</f>
        <v>0</v>
      </c>
      <c r="N17" s="1051">
        <f>Finanz_AfA_Investitionen!$I$38-Finanz_AfA_Investitionen!I37+'Mikrostarter Geschäftsplan'!D57</f>
        <v>0</v>
      </c>
      <c r="O17" s="933">
        <f t="shared" si="2"/>
        <v>0</v>
      </c>
      <c r="P17" s="1092" t="e">
        <f t="shared" si="1"/>
        <v>#DIV/0!</v>
      </c>
      <c r="Q17" s="40"/>
      <c r="R17" s="500"/>
      <c r="S17" s="676"/>
    </row>
    <row r="18" spans="1:19" ht="16.5" customHeight="1" outlineLevel="3">
      <c r="A18" s="2236"/>
      <c r="B18" s="934" t="s">
        <v>251</v>
      </c>
      <c r="C18" s="1051">
        <f>ArbStd_MA!$I$112+ArbStd_MA!$I$117</f>
        <v>0</v>
      </c>
      <c r="D18" s="929">
        <f>ArbStd_MA!$I$112+ArbStd_MA!$I$117</f>
        <v>0</v>
      </c>
      <c r="E18" s="929">
        <f>ArbStd_MA!$I$112+ArbStd_MA!$I$117</f>
        <v>0</v>
      </c>
      <c r="F18" s="929">
        <f>ArbStd_MA!$I$112+ArbStd_MA!$I$117</f>
        <v>0</v>
      </c>
      <c r="G18" s="929">
        <f>ArbStd_MA!$I$112+ArbStd_MA!$I$117</f>
        <v>0</v>
      </c>
      <c r="H18" s="929">
        <f>ArbStd_MA!$I$112+ArbStd_MA!$I$117</f>
        <v>0</v>
      </c>
      <c r="I18" s="929">
        <f>ArbStd_MA!$I$112+ArbStd_MA!$I$117</f>
        <v>0</v>
      </c>
      <c r="J18" s="929">
        <f>ArbStd_MA!$I$112+ArbStd_MA!$I$117</f>
        <v>0</v>
      </c>
      <c r="K18" s="929">
        <f>ArbStd_MA!$I$112+ArbStd_MA!$I$117</f>
        <v>0</v>
      </c>
      <c r="L18" s="929">
        <f>ArbStd_MA!$I$112+ArbStd_MA!$I$117</f>
        <v>0</v>
      </c>
      <c r="M18" s="929">
        <f>ArbStd_MA!$I$112+ArbStd_MA!$I$117</f>
        <v>0</v>
      </c>
      <c r="N18" s="929">
        <f>ArbStd_MA!$I$112+ArbStd_MA!$I$117</f>
        <v>0</v>
      </c>
      <c r="O18" s="933">
        <f t="shared" si="2"/>
        <v>0</v>
      </c>
      <c r="P18" s="1092" t="e">
        <f t="shared" si="1"/>
        <v>#DIV/0!</v>
      </c>
      <c r="Q18" s="40"/>
      <c r="R18" s="500"/>
      <c r="S18" s="676"/>
    </row>
    <row r="19" spans="1:19" ht="16.5" customHeight="1" outlineLevel="3">
      <c r="A19" s="2247"/>
      <c r="B19" s="928"/>
      <c r="C19" s="1051"/>
      <c r="D19" s="929"/>
      <c r="E19" s="929"/>
      <c r="F19" s="929"/>
      <c r="G19" s="929"/>
      <c r="H19" s="929"/>
      <c r="I19" s="929"/>
      <c r="J19" s="929"/>
      <c r="K19" s="929"/>
      <c r="L19" s="929"/>
      <c r="M19" s="929"/>
      <c r="N19" s="929"/>
      <c r="O19" s="933"/>
      <c r="P19" s="1092" t="e">
        <f t="shared" si="1"/>
        <v>#DIV/0!</v>
      </c>
      <c r="Q19" s="40"/>
      <c r="R19" s="500"/>
      <c r="S19" s="676"/>
    </row>
    <row r="20" spans="1:19" ht="22.5" customHeight="1" outlineLevel="3">
      <c r="A20" s="2247"/>
      <c r="B20" s="924" t="s">
        <v>130</v>
      </c>
      <c r="C20" s="1093">
        <f>SUM(C4:C19)</f>
        <v>0</v>
      </c>
      <c r="D20" s="938">
        <f>SUM(D4:D19)</f>
        <v>0</v>
      </c>
      <c r="E20" s="938">
        <f>SUM(E4:E19)</f>
        <v>0</v>
      </c>
      <c r="F20" s="938">
        <f t="shared" ref="F20:N20" si="3">SUM(F4:F19)</f>
        <v>0</v>
      </c>
      <c r="G20" s="938">
        <f t="shared" si="3"/>
        <v>0</v>
      </c>
      <c r="H20" s="938">
        <f t="shared" si="3"/>
        <v>0</v>
      </c>
      <c r="I20" s="938">
        <f t="shared" si="3"/>
        <v>0</v>
      </c>
      <c r="J20" s="938">
        <f t="shared" si="3"/>
        <v>0</v>
      </c>
      <c r="K20" s="938">
        <f t="shared" si="3"/>
        <v>0</v>
      </c>
      <c r="L20" s="938">
        <f t="shared" si="3"/>
        <v>0</v>
      </c>
      <c r="M20" s="938">
        <f t="shared" si="3"/>
        <v>0</v>
      </c>
      <c r="N20" s="938">
        <f t="shared" si="3"/>
        <v>0</v>
      </c>
      <c r="O20" s="927">
        <f t="shared" si="2"/>
        <v>0</v>
      </c>
      <c r="P20" s="1092" t="e">
        <f t="shared" si="1"/>
        <v>#DIV/0!</v>
      </c>
      <c r="Q20" s="41"/>
      <c r="R20" s="501"/>
      <c r="S20" s="676"/>
    </row>
    <row r="21" spans="1:19" ht="22.5" customHeight="1" outlineLevel="2">
      <c r="A21" s="937"/>
      <c r="B21" s="940" t="s">
        <v>253</v>
      </c>
      <c r="C21" s="1052">
        <f t="shared" ref="C21:N21" si="4">C3-C20</f>
        <v>0</v>
      </c>
      <c r="D21" s="941">
        <f t="shared" si="4"/>
        <v>0</v>
      </c>
      <c r="E21" s="941">
        <f t="shared" si="4"/>
        <v>0</v>
      </c>
      <c r="F21" s="941">
        <f t="shared" si="4"/>
        <v>0</v>
      </c>
      <c r="G21" s="941">
        <f t="shared" si="4"/>
        <v>0</v>
      </c>
      <c r="H21" s="941">
        <f t="shared" si="4"/>
        <v>0</v>
      </c>
      <c r="I21" s="941">
        <f t="shared" si="4"/>
        <v>0</v>
      </c>
      <c r="J21" s="941">
        <f t="shared" si="4"/>
        <v>0</v>
      </c>
      <c r="K21" s="941">
        <f t="shared" si="4"/>
        <v>0</v>
      </c>
      <c r="L21" s="941">
        <f t="shared" si="4"/>
        <v>0</v>
      </c>
      <c r="M21" s="941">
        <f t="shared" si="4"/>
        <v>0</v>
      </c>
      <c r="N21" s="941">
        <f t="shared" si="4"/>
        <v>0</v>
      </c>
      <c r="O21" s="942">
        <f t="shared" si="2"/>
        <v>0</v>
      </c>
      <c r="P21" s="1092" t="e">
        <f t="shared" si="1"/>
        <v>#DIV/0!</v>
      </c>
      <c r="Q21" s="42"/>
      <c r="R21" s="501"/>
      <c r="S21" s="676"/>
    </row>
    <row r="22" spans="1:19" ht="22.5" customHeight="1" outlineLevel="1">
      <c r="A22" s="937"/>
      <c r="B22" s="928" t="s">
        <v>254</v>
      </c>
      <c r="C22" s="1051">
        <f>Finanz_AfA_Investitionen!F28</f>
        <v>0</v>
      </c>
      <c r="D22" s="929">
        <f>Finanz_AfA_Investitionen!F28</f>
        <v>0</v>
      </c>
      <c r="E22" s="929">
        <f>Finanz_AfA_Investitionen!F28</f>
        <v>0</v>
      </c>
      <c r="F22" s="929">
        <f>Finanz_AfA_Investitionen!F28</f>
        <v>0</v>
      </c>
      <c r="G22" s="929">
        <f>Finanz_AfA_Investitionen!F28</f>
        <v>0</v>
      </c>
      <c r="H22" s="929">
        <f>Finanz_AfA_Investitionen!F28</f>
        <v>0</v>
      </c>
      <c r="I22" s="929">
        <f>Finanz_AfA_Investitionen!F28</f>
        <v>0</v>
      </c>
      <c r="J22" s="929">
        <f>Finanz_AfA_Investitionen!F28</f>
        <v>0</v>
      </c>
      <c r="K22" s="929">
        <f>Finanz_AfA_Investitionen!F28</f>
        <v>0</v>
      </c>
      <c r="L22" s="929">
        <f>Finanz_AfA_Investitionen!F28</f>
        <v>0</v>
      </c>
      <c r="M22" s="929">
        <f>Finanz_AfA_Investitionen!F28</f>
        <v>0</v>
      </c>
      <c r="N22" s="929">
        <f>Finanz_AfA_Investitionen!F28</f>
        <v>0</v>
      </c>
      <c r="O22" s="927">
        <f t="shared" si="2"/>
        <v>0</v>
      </c>
      <c r="P22" s="1092" t="e">
        <f t="shared" si="1"/>
        <v>#DIV/0!</v>
      </c>
      <c r="Q22" s="40"/>
      <c r="R22" s="501"/>
      <c r="S22" s="676"/>
    </row>
    <row r="23" spans="1:19" ht="22.5" customHeight="1" outlineLevel="1" thickBot="1">
      <c r="A23" s="937"/>
      <c r="B23" s="1053" t="s">
        <v>133</v>
      </c>
      <c r="C23" s="1054">
        <f>C21-C22</f>
        <v>0</v>
      </c>
      <c r="D23" s="946">
        <f t="shared" ref="D23:N23" si="5">D21-D22</f>
        <v>0</v>
      </c>
      <c r="E23" s="946">
        <f t="shared" si="5"/>
        <v>0</v>
      </c>
      <c r="F23" s="946">
        <f t="shared" si="5"/>
        <v>0</v>
      </c>
      <c r="G23" s="946">
        <f t="shared" si="5"/>
        <v>0</v>
      </c>
      <c r="H23" s="946">
        <f t="shared" si="5"/>
        <v>0</v>
      </c>
      <c r="I23" s="946">
        <f t="shared" si="5"/>
        <v>0</v>
      </c>
      <c r="J23" s="946">
        <f t="shared" si="5"/>
        <v>0</v>
      </c>
      <c r="K23" s="946">
        <f t="shared" si="5"/>
        <v>0</v>
      </c>
      <c r="L23" s="946">
        <f t="shared" si="5"/>
        <v>0</v>
      </c>
      <c r="M23" s="946">
        <f t="shared" si="5"/>
        <v>0</v>
      </c>
      <c r="N23" s="946">
        <f t="shared" si="5"/>
        <v>0</v>
      </c>
      <c r="O23" s="946">
        <f>O21-O22</f>
        <v>0</v>
      </c>
      <c r="P23" s="1092" t="e">
        <f t="shared" si="1"/>
        <v>#DIV/0!</v>
      </c>
      <c r="Q23" s="41"/>
      <c r="R23" s="501"/>
      <c r="S23" s="676"/>
    </row>
    <row r="24" spans="1:19" ht="22.5" customHeight="1" outlineLevel="1" thickTop="1" thickBot="1">
      <c r="A24" s="937"/>
      <c r="B24" s="1055" t="s">
        <v>255</v>
      </c>
      <c r="C24" s="1056">
        <f>'Ertragsv. 2027'!C23</f>
        <v>0</v>
      </c>
      <c r="D24" s="1057">
        <f>C24+D23</f>
        <v>0</v>
      </c>
      <c r="E24" s="1057">
        <f t="shared" ref="E24:N24" si="6">D24+E23</f>
        <v>0</v>
      </c>
      <c r="F24" s="1057">
        <f t="shared" si="6"/>
        <v>0</v>
      </c>
      <c r="G24" s="1057">
        <f t="shared" si="6"/>
        <v>0</v>
      </c>
      <c r="H24" s="1057">
        <f t="shared" si="6"/>
        <v>0</v>
      </c>
      <c r="I24" s="1057">
        <f t="shared" si="6"/>
        <v>0</v>
      </c>
      <c r="J24" s="1057">
        <f t="shared" si="6"/>
        <v>0</v>
      </c>
      <c r="K24" s="1057">
        <f t="shared" si="6"/>
        <v>0</v>
      </c>
      <c r="L24" s="1057">
        <f t="shared" si="6"/>
        <v>0</v>
      </c>
      <c r="M24" s="1057">
        <f t="shared" si="6"/>
        <v>0</v>
      </c>
      <c r="N24" s="1057">
        <f t="shared" si="6"/>
        <v>0</v>
      </c>
      <c r="O24" s="949"/>
      <c r="P24" s="1092" t="e">
        <f t="shared" si="1"/>
        <v>#DIV/0!</v>
      </c>
      <c r="Q24" s="41"/>
      <c r="R24" s="501"/>
      <c r="S24" s="676"/>
    </row>
    <row r="25" spans="1:19" ht="22.5" customHeight="1" outlineLevel="1" thickTop="1">
      <c r="A25" s="937"/>
      <c r="B25" s="950" t="s">
        <v>256</v>
      </c>
      <c r="C25" s="1058">
        <f>IF($K$32=1,C23*$I$32,IF($K$32=2,C23*$I$33))</f>
        <v>0</v>
      </c>
      <c r="D25" s="1058">
        <f t="shared" ref="D25:N25" si="7">IF($K$32=1,D23*$I$32,IF($K$32=2,D23*$I$33))</f>
        <v>0</v>
      </c>
      <c r="E25" s="1058">
        <f t="shared" si="7"/>
        <v>0</v>
      </c>
      <c r="F25" s="1058">
        <f t="shared" si="7"/>
        <v>0</v>
      </c>
      <c r="G25" s="1058">
        <f t="shared" si="7"/>
        <v>0</v>
      </c>
      <c r="H25" s="1058">
        <f t="shared" si="7"/>
        <v>0</v>
      </c>
      <c r="I25" s="1058">
        <f t="shared" si="7"/>
        <v>0</v>
      </c>
      <c r="J25" s="1058">
        <f t="shared" si="7"/>
        <v>0</v>
      </c>
      <c r="K25" s="1058">
        <f t="shared" si="7"/>
        <v>0</v>
      </c>
      <c r="L25" s="1058">
        <f t="shared" si="7"/>
        <v>0</v>
      </c>
      <c r="M25" s="1058">
        <f t="shared" si="7"/>
        <v>0</v>
      </c>
      <c r="N25" s="1058">
        <f t="shared" si="7"/>
        <v>0</v>
      </c>
      <c r="O25" s="930">
        <f>SUM(C25:N25)</f>
        <v>0</v>
      </c>
      <c r="P25" s="1092" t="e">
        <f t="shared" si="1"/>
        <v>#DIV/0!</v>
      </c>
      <c r="Q25" s="41"/>
      <c r="R25" s="501"/>
      <c r="S25" s="676"/>
    </row>
    <row r="26" spans="1:19" ht="22.5" customHeight="1" outlineLevel="1" thickBot="1">
      <c r="A26" s="937"/>
      <c r="B26" s="1053" t="s">
        <v>257</v>
      </c>
      <c r="C26" s="1054">
        <f>C23-C25</f>
        <v>0</v>
      </c>
      <c r="D26" s="946">
        <f t="shared" ref="D26:N26" si="8">D23-D25</f>
        <v>0</v>
      </c>
      <c r="E26" s="946">
        <f t="shared" si="8"/>
        <v>0</v>
      </c>
      <c r="F26" s="946">
        <f t="shared" si="8"/>
        <v>0</v>
      </c>
      <c r="G26" s="946">
        <f t="shared" si="8"/>
        <v>0</v>
      </c>
      <c r="H26" s="946">
        <f t="shared" si="8"/>
        <v>0</v>
      </c>
      <c r="I26" s="946">
        <f t="shared" si="8"/>
        <v>0</v>
      </c>
      <c r="J26" s="946">
        <f t="shared" si="8"/>
        <v>0</v>
      </c>
      <c r="K26" s="946">
        <f t="shared" si="8"/>
        <v>0</v>
      </c>
      <c r="L26" s="946">
        <f t="shared" si="8"/>
        <v>0</v>
      </c>
      <c r="M26" s="946">
        <f t="shared" si="8"/>
        <v>0</v>
      </c>
      <c r="N26" s="946">
        <f t="shared" si="8"/>
        <v>0</v>
      </c>
      <c r="O26" s="946">
        <f>SUM(C26:N26)</f>
        <v>0</v>
      </c>
      <c r="P26" s="1092" t="e">
        <f t="shared" si="1"/>
        <v>#DIV/0!</v>
      </c>
      <c r="Q26" s="41"/>
      <c r="R26" s="502"/>
      <c r="S26" s="676"/>
    </row>
    <row r="27" spans="1:19" ht="22.5" customHeight="1" outlineLevel="1" thickTop="1">
      <c r="A27" s="937"/>
      <c r="B27" s="950" t="s">
        <v>258</v>
      </c>
      <c r="C27" s="1059">
        <f>M43</f>
        <v>0</v>
      </c>
      <c r="D27" s="951">
        <f>M43</f>
        <v>0</v>
      </c>
      <c r="E27" s="951">
        <f>M43</f>
        <v>0</v>
      </c>
      <c r="F27" s="951">
        <f>M43</f>
        <v>0</v>
      </c>
      <c r="G27" s="951">
        <f>M43</f>
        <v>0</v>
      </c>
      <c r="H27" s="951">
        <f>M43</f>
        <v>0</v>
      </c>
      <c r="I27" s="951">
        <f>M43</f>
        <v>0</v>
      </c>
      <c r="J27" s="951">
        <f>M43</f>
        <v>0</v>
      </c>
      <c r="K27" s="951">
        <f>M43</f>
        <v>0</v>
      </c>
      <c r="L27" s="951">
        <f>M43</f>
        <v>0</v>
      </c>
      <c r="M27" s="951">
        <f>M43</f>
        <v>0</v>
      </c>
      <c r="N27" s="951">
        <f>M43</f>
        <v>0</v>
      </c>
      <c r="O27" s="953">
        <f>SUM(C27:N27)</f>
        <v>0</v>
      </c>
      <c r="P27" s="1092" t="e">
        <f t="shared" si="1"/>
        <v>#DIV/0!</v>
      </c>
      <c r="Q27" s="43"/>
      <c r="R27" s="501"/>
      <c r="S27" s="676"/>
    </row>
    <row r="28" spans="1:19" ht="22.5" customHeight="1" outlineLevel="1">
      <c r="A28" s="937"/>
      <c r="B28" s="2229" t="s">
        <v>259</v>
      </c>
      <c r="C28" s="2230"/>
      <c r="D28" s="954"/>
      <c r="E28" s="955"/>
      <c r="F28" s="955"/>
      <c r="G28" s="955"/>
      <c r="H28" s="956"/>
      <c r="I28" s="955"/>
      <c r="J28" s="955"/>
      <c r="K28" s="955"/>
      <c r="L28" s="2212" t="s">
        <v>260</v>
      </c>
      <c r="M28" s="2213"/>
      <c r="N28" s="2214"/>
      <c r="O28" s="1060">
        <f>(O20-O4+O22)*Q42</f>
        <v>0</v>
      </c>
      <c r="P28" s="1092" t="e">
        <f t="shared" si="1"/>
        <v>#DIV/0!</v>
      </c>
      <c r="Q28" s="43"/>
      <c r="R28" s="501"/>
      <c r="S28" s="676"/>
    </row>
    <row r="29" spans="1:19" ht="22.5" customHeight="1" thickBot="1">
      <c r="A29" s="937"/>
      <c r="B29" s="2231" t="s">
        <v>261</v>
      </c>
      <c r="C29" s="2232"/>
      <c r="D29" s="958"/>
      <c r="E29" s="959"/>
      <c r="F29" s="959"/>
      <c r="G29" s="959"/>
      <c r="H29" s="959"/>
      <c r="I29" s="959"/>
      <c r="J29" s="959"/>
      <c r="K29" s="959"/>
      <c r="L29" s="2209" t="s">
        <v>262</v>
      </c>
      <c r="M29" s="2210"/>
      <c r="N29" s="2211"/>
      <c r="O29" s="1061">
        <f>O4*Q41</f>
        <v>0</v>
      </c>
      <c r="P29" s="1092" t="e">
        <f t="shared" si="1"/>
        <v>#DIV/0!</v>
      </c>
      <c r="Q29" s="503"/>
      <c r="R29" s="504"/>
      <c r="S29" s="676"/>
    </row>
    <row r="30" spans="1:19" ht="22.5" customHeight="1" thickBot="1">
      <c r="A30" s="937"/>
      <c r="B30" s="2069"/>
      <c r="C30" s="2069"/>
      <c r="D30" s="2069"/>
      <c r="E30" s="2069"/>
      <c r="F30" s="2069"/>
      <c r="G30" s="2069"/>
      <c r="H30" s="2069"/>
      <c r="I30" s="2069"/>
      <c r="J30" s="2069"/>
      <c r="K30" s="2069"/>
      <c r="L30" s="2069"/>
      <c r="M30" s="2069"/>
      <c r="N30" s="2069"/>
      <c r="O30" s="2069"/>
      <c r="P30" s="2069"/>
      <c r="Q30" s="2069"/>
      <c r="R30" s="967"/>
      <c r="S30" s="676"/>
    </row>
    <row r="31" spans="1:19" ht="22.5" customHeight="1">
      <c r="A31" s="937"/>
      <c r="B31" s="1094" t="s">
        <v>263</v>
      </c>
      <c r="C31" s="2224" t="s">
        <v>264</v>
      </c>
      <c r="D31" s="2225"/>
      <c r="E31" s="2224"/>
      <c r="F31" s="2225"/>
      <c r="G31" s="2224"/>
      <c r="H31" s="2225"/>
      <c r="I31" s="605">
        <f>C32+E32</f>
        <v>0.14770000000000003</v>
      </c>
      <c r="J31" s="967"/>
      <c r="K31" s="967"/>
      <c r="L31" s="967"/>
      <c r="M31" s="967"/>
      <c r="N31" s="967"/>
      <c r="O31" s="967"/>
      <c r="P31" s="967"/>
      <c r="Q31" s="967"/>
      <c r="R31" s="967"/>
      <c r="S31" s="676"/>
    </row>
    <row r="32" spans="1:19" ht="22.5" customHeight="1">
      <c r="A32" s="937"/>
      <c r="B32" s="970" t="s">
        <v>265</v>
      </c>
      <c r="C32" s="24">
        <v>0.14000000000000001</v>
      </c>
      <c r="D32" s="1803" t="s">
        <v>266</v>
      </c>
      <c r="E32" s="972">
        <f>C32*5.5%</f>
        <v>7.7000000000000011E-3</v>
      </c>
      <c r="F32" s="971" t="s">
        <v>267</v>
      </c>
      <c r="G32" s="24">
        <v>0.1</v>
      </c>
      <c r="H32" s="973" t="s">
        <v>268</v>
      </c>
      <c r="I32" s="606">
        <f>C32+E32+G32</f>
        <v>0.24770000000000003</v>
      </c>
      <c r="J32" s="967"/>
      <c r="K32" s="917">
        <v>1</v>
      </c>
      <c r="L32" s="967"/>
      <c r="M32" s="967"/>
      <c r="N32" s="967"/>
      <c r="O32" s="967"/>
      <c r="P32" s="967"/>
      <c r="Q32" s="967"/>
      <c r="R32" s="967"/>
      <c r="S32" s="676"/>
    </row>
    <row r="33" spans="1:31" ht="22.5" customHeight="1" thickBot="1">
      <c r="A33" s="937"/>
      <c r="B33" s="977" t="s">
        <v>269</v>
      </c>
      <c r="C33" s="604">
        <v>0.15</v>
      </c>
      <c r="D33" s="978" t="s">
        <v>270</v>
      </c>
      <c r="E33" s="979">
        <f>C33*5.5%</f>
        <v>8.2500000000000004E-3</v>
      </c>
      <c r="F33" s="978" t="s">
        <v>267</v>
      </c>
      <c r="G33" s="604">
        <v>0.14000000000000001</v>
      </c>
      <c r="H33" s="980" t="s">
        <v>268</v>
      </c>
      <c r="I33" s="607">
        <f>C33+E33+G33</f>
        <v>0.29825000000000002</v>
      </c>
      <c r="J33" s="967"/>
      <c r="K33" s="967"/>
      <c r="L33" s="967"/>
      <c r="M33" s="967"/>
      <c r="N33" s="967"/>
      <c r="O33" s="967"/>
      <c r="P33" s="967"/>
      <c r="Q33" s="967"/>
      <c r="R33" s="967"/>
      <c r="S33" s="676"/>
    </row>
    <row r="34" spans="1:31" ht="22.5" customHeight="1" thickBot="1">
      <c r="A34" s="937"/>
      <c r="B34" s="2069"/>
      <c r="C34" s="2069"/>
      <c r="D34" s="2069"/>
      <c r="E34" s="2069"/>
      <c r="F34" s="2069"/>
      <c r="G34" s="2069"/>
      <c r="H34" s="2069"/>
      <c r="I34" s="2069"/>
      <c r="J34" s="2069"/>
      <c r="K34" s="2069"/>
      <c r="L34" s="2069"/>
      <c r="M34" s="967"/>
      <c r="N34" s="967"/>
      <c r="O34" s="967"/>
      <c r="P34" s="967"/>
      <c r="Q34" s="967"/>
      <c r="R34" s="2069"/>
      <c r="S34" s="676"/>
    </row>
    <row r="35" spans="1:31" ht="53.25" customHeight="1">
      <c r="A35" s="937"/>
      <c r="B35" s="994" t="s">
        <v>271</v>
      </c>
      <c r="C35" s="2222" t="s">
        <v>302</v>
      </c>
      <c r="D35" s="2222"/>
      <c r="E35" s="2222"/>
      <c r="F35" s="2222"/>
      <c r="G35" s="2222"/>
      <c r="H35" s="2222"/>
      <c r="I35" s="2222"/>
      <c r="J35" s="2222"/>
      <c r="K35" s="2222"/>
      <c r="L35" s="2222"/>
      <c r="M35" s="2222"/>
      <c r="N35" s="2222"/>
      <c r="O35" s="2222"/>
      <c r="P35" s="2222"/>
      <c r="Q35" s="2223"/>
      <c r="R35" s="2069"/>
      <c r="S35" s="676"/>
    </row>
    <row r="36" spans="1:31" ht="22.5" customHeight="1">
      <c r="A36" s="937"/>
      <c r="B36" s="996"/>
      <c r="C36" s="1066" t="s">
        <v>273</v>
      </c>
      <c r="D36" s="1066" t="s">
        <v>274</v>
      </c>
      <c r="E36" s="1066" t="s">
        <v>275</v>
      </c>
      <c r="F36" s="1066" t="s">
        <v>276</v>
      </c>
      <c r="G36" s="1066" t="s">
        <v>277</v>
      </c>
      <c r="H36" s="1066" t="s">
        <v>278</v>
      </c>
      <c r="I36" s="1066" t="s">
        <v>279</v>
      </c>
      <c r="J36" s="1066" t="s">
        <v>280</v>
      </c>
      <c r="K36" s="1066" t="s">
        <v>281</v>
      </c>
      <c r="L36" s="1067"/>
      <c r="M36" s="2242" t="s">
        <v>283</v>
      </c>
      <c r="N36" s="2242"/>
      <c r="O36" s="2242"/>
      <c r="P36" s="1068"/>
      <c r="Q36" s="1069"/>
      <c r="R36" s="967"/>
      <c r="S36" s="676"/>
    </row>
    <row r="37" spans="1:31" ht="22.5" customHeight="1">
      <c r="A37" s="976"/>
      <c r="B37" s="1003" t="s">
        <v>283</v>
      </c>
      <c r="C37" s="619">
        <f>Privatentnahmen!H35</f>
        <v>0</v>
      </c>
      <c r="D37" s="619">
        <f>(O20+O22)/12</f>
        <v>0</v>
      </c>
      <c r="E37" s="619">
        <f>(O3/12)*Q37</f>
        <v>0</v>
      </c>
      <c r="F37" s="619">
        <f>Finanz_AfA_Investitionen!C31*Q38/12</f>
        <v>0</v>
      </c>
      <c r="G37" s="619">
        <f>O25/12</f>
        <v>0</v>
      </c>
      <c r="H37" s="619">
        <f>O3/12*Q39</f>
        <v>0</v>
      </c>
      <c r="I37" s="619">
        <f>O3/12*Q40</f>
        <v>0</v>
      </c>
      <c r="J37" s="619">
        <f>O29/12</f>
        <v>0</v>
      </c>
      <c r="K37" s="619">
        <f>IF(O4&gt;1,(O28/12),IF(O4&lt;1,0))</f>
        <v>0</v>
      </c>
      <c r="L37" s="619"/>
      <c r="M37" s="2234">
        <f>SUM(C37:K37)</f>
        <v>0</v>
      </c>
      <c r="N37" s="2234"/>
      <c r="O37" s="2234"/>
      <c r="P37" s="1070" t="s">
        <v>284</v>
      </c>
      <c r="Q37" s="603">
        <v>0.03</v>
      </c>
      <c r="R37" s="985"/>
      <c r="S37" s="676"/>
    </row>
    <row r="38" spans="1:31" ht="22.5" customHeight="1">
      <c r="A38" s="976"/>
      <c r="B38" s="1006"/>
      <c r="C38" s="1072" t="s">
        <v>273</v>
      </c>
      <c r="D38" s="1072" t="s">
        <v>285</v>
      </c>
      <c r="E38" s="1072" t="s">
        <v>275</v>
      </c>
      <c r="F38" s="1072" t="s">
        <v>276</v>
      </c>
      <c r="G38" s="1072" t="s">
        <v>277</v>
      </c>
      <c r="H38" s="1072" t="s">
        <v>278</v>
      </c>
      <c r="I38" s="1072" t="s">
        <v>286</v>
      </c>
      <c r="J38" s="1072" t="s">
        <v>280</v>
      </c>
      <c r="K38" s="1072" t="s">
        <v>281</v>
      </c>
      <c r="L38" s="619">
        <f>IF(ArbStd_MA!$I$33&gt;=1,ArbStd_MA!$I$33,IF(ArbStd_MA!$I$33&lt;=1,ArbStd_MA!$H$23))</f>
        <v>144</v>
      </c>
      <c r="M38" s="2239" t="s">
        <v>287</v>
      </c>
      <c r="N38" s="2240"/>
      <c r="O38" s="1008"/>
      <c r="P38" s="1070" t="s">
        <v>288</v>
      </c>
      <c r="Q38" s="603">
        <v>0.1</v>
      </c>
      <c r="R38" s="985"/>
      <c r="S38" s="676"/>
    </row>
    <row r="39" spans="1:31" ht="22.5" customHeight="1">
      <c r="A39" s="976"/>
      <c r="B39" s="1003" t="s">
        <v>289</v>
      </c>
      <c r="C39" s="619">
        <f>Privatentnahmen!H35</f>
        <v>0</v>
      </c>
      <c r="D39" s="619">
        <f>(O20-O4+O22)/12</f>
        <v>0</v>
      </c>
      <c r="E39" s="619"/>
      <c r="F39" s="619"/>
      <c r="G39" s="619">
        <f>C39*I31</f>
        <v>0</v>
      </c>
      <c r="H39" s="619"/>
      <c r="I39" s="619"/>
      <c r="J39" s="1010"/>
      <c r="K39" s="1010"/>
      <c r="L39" s="619">
        <f>IF(ArbStd_MA!$I$33&gt;=1,ArbStd_MA!$I$33,IF(ArbStd_MA!$I$33&lt;=1,ArbStd_MA!$H$23))</f>
        <v>144</v>
      </c>
      <c r="M39" s="1011">
        <f>(C39+D39+G39+K39)/L39/ArbStd_MA!H49</f>
        <v>0</v>
      </c>
      <c r="N39" s="967"/>
      <c r="O39" s="967"/>
      <c r="P39" s="1070" t="s">
        <v>290</v>
      </c>
      <c r="Q39" s="603">
        <v>0.05</v>
      </c>
      <c r="R39" s="1071"/>
      <c r="S39" s="676"/>
    </row>
    <row r="40" spans="1:31" ht="27" customHeight="1">
      <c r="A40" s="976"/>
      <c r="B40" s="1003" t="s">
        <v>93</v>
      </c>
      <c r="C40" s="619">
        <f>Privatentnahmen!H35</f>
        <v>0</v>
      </c>
      <c r="D40" s="619">
        <f>D39</f>
        <v>0</v>
      </c>
      <c r="E40" s="619">
        <f>(O3/12)*Q37</f>
        <v>0</v>
      </c>
      <c r="F40" s="619">
        <f>F37</f>
        <v>0</v>
      </c>
      <c r="G40" s="619">
        <f>O25/12</f>
        <v>0</v>
      </c>
      <c r="H40" s="619">
        <f>O3/12*Q39</f>
        <v>0</v>
      </c>
      <c r="I40" s="619">
        <f>I37</f>
        <v>0</v>
      </c>
      <c r="J40" s="1010"/>
      <c r="K40" s="1010"/>
      <c r="L40" s="619">
        <f>IF(ArbStd_MA!$I$33&gt;=1,ArbStd_MA!$I$33,IF(ArbStd_MA!$I$33&lt;=1,ArbStd_MA!$H$23))</f>
        <v>144</v>
      </c>
      <c r="M40" s="1011">
        <f>(C40+D40+E40+F40+G40+H40+I40+J40+K40)/L40/ArbStd_MA!H49</f>
        <v>0</v>
      </c>
      <c r="N40" s="967"/>
      <c r="O40" s="967"/>
      <c r="P40" s="1070" t="s">
        <v>291</v>
      </c>
      <c r="Q40" s="603">
        <v>0.02</v>
      </c>
      <c r="R40" s="1071"/>
      <c r="S40" s="676"/>
    </row>
    <row r="41" spans="1:31" ht="25.5" customHeight="1">
      <c r="A41" s="976"/>
      <c r="B41" s="1003" t="s">
        <v>292</v>
      </c>
      <c r="C41" s="1073"/>
      <c r="D41" s="1073"/>
      <c r="E41" s="1073"/>
      <c r="F41" s="1073"/>
      <c r="G41" s="1073"/>
      <c r="H41" s="1073"/>
      <c r="I41" s="1073"/>
      <c r="J41" s="1073"/>
      <c r="K41" s="1073"/>
      <c r="L41" s="1074"/>
      <c r="M41" s="2228" t="e">
        <f>ROUND((M40-M39)/M39*100,1)&amp; " %"</f>
        <v>#DIV/0!</v>
      </c>
      <c r="N41" s="2228"/>
      <c r="O41" s="2228"/>
      <c r="P41" s="1858" t="s">
        <v>293</v>
      </c>
      <c r="Q41" s="1860">
        <v>0.1</v>
      </c>
      <c r="R41" s="1071"/>
      <c r="S41" s="676"/>
    </row>
    <row r="42" spans="1:31" ht="25.5" customHeight="1">
      <c r="A42" s="976"/>
      <c r="B42" s="1510" t="s">
        <v>294</v>
      </c>
      <c r="C42" s="1513">
        <f t="shared" ref="C42:I42" si="9">C40</f>
        <v>0</v>
      </c>
      <c r="D42" s="1513">
        <f t="shared" si="9"/>
        <v>0</v>
      </c>
      <c r="E42" s="1513">
        <f t="shared" si="9"/>
        <v>0</v>
      </c>
      <c r="F42" s="1513">
        <f t="shared" si="9"/>
        <v>0</v>
      </c>
      <c r="G42" s="1513">
        <f t="shared" si="9"/>
        <v>0</v>
      </c>
      <c r="H42" s="1513">
        <f t="shared" si="9"/>
        <v>0</v>
      </c>
      <c r="I42" s="1513">
        <f t="shared" si="9"/>
        <v>0</v>
      </c>
      <c r="J42" s="1513">
        <f>J37</f>
        <v>0</v>
      </c>
      <c r="K42" s="1513">
        <f>K37</f>
        <v>0</v>
      </c>
      <c r="L42" s="1514"/>
      <c r="M42" s="1014">
        <f>IF(O4&lt;1,0,(C42+D42+E42+F42+G42+H42+I42+J42+K42)*100*12/O4)</f>
        <v>0</v>
      </c>
      <c r="N42" s="1512"/>
      <c r="O42" s="1512"/>
      <c r="P42" s="1859" t="s">
        <v>295</v>
      </c>
      <c r="Q42" s="1861">
        <v>0.1</v>
      </c>
      <c r="R42" s="1071"/>
      <c r="S42" s="676"/>
    </row>
    <row r="43" spans="1:31" ht="27" customHeight="1" thickBot="1">
      <c r="A43" s="976"/>
      <c r="B43" s="1019" t="s">
        <v>296</v>
      </c>
      <c r="C43" s="1020">
        <f>Privatentnahmen!H35</f>
        <v>0</v>
      </c>
      <c r="D43" s="1021"/>
      <c r="E43" s="1020">
        <f>E40</f>
        <v>0</v>
      </c>
      <c r="F43" s="1020">
        <f>F40</f>
        <v>0</v>
      </c>
      <c r="G43" s="1021"/>
      <c r="H43" s="1020"/>
      <c r="I43" s="1021"/>
      <c r="J43" s="1021"/>
      <c r="K43" s="1021"/>
      <c r="L43" s="1075"/>
      <c r="M43" s="2238">
        <f>C43+E43+F43+H43</f>
        <v>0</v>
      </c>
      <c r="N43" s="2238"/>
      <c r="O43" s="2238"/>
      <c r="P43" s="1076"/>
      <c r="Q43" s="1077"/>
      <c r="R43" s="1071"/>
      <c r="S43" s="676"/>
    </row>
    <row r="44" spans="1:31" thickBot="1">
      <c r="A44" s="677"/>
      <c r="B44" s="678"/>
      <c r="C44" s="678"/>
      <c r="D44" s="678"/>
      <c r="E44" s="678"/>
      <c r="F44" s="678"/>
      <c r="G44" s="678"/>
      <c r="H44" s="678"/>
      <c r="I44" s="679"/>
      <c r="J44" s="678"/>
      <c r="K44" s="678"/>
      <c r="L44" s="678"/>
      <c r="M44" s="678"/>
      <c r="N44" s="678"/>
      <c r="O44" s="678"/>
      <c r="P44" s="678"/>
      <c r="Q44" s="678"/>
      <c r="R44" s="1095"/>
      <c r="S44" s="680"/>
      <c r="AC44" s="1026"/>
      <c r="AD44" s="1026"/>
      <c r="AE44" s="1026"/>
    </row>
    <row r="45" spans="1:31" thickTop="1">
      <c r="A45" s="923"/>
      <c r="B45" s="923"/>
      <c r="C45" s="923"/>
      <c r="D45" s="923"/>
      <c r="E45" s="923"/>
      <c r="F45" s="923"/>
      <c r="G45" s="923"/>
      <c r="H45" s="923"/>
      <c r="I45" s="1096"/>
      <c r="J45" s="1026"/>
      <c r="K45" s="1026"/>
      <c r="L45" s="1026"/>
      <c r="M45" s="1026"/>
      <c r="N45" s="1026"/>
      <c r="O45" s="1026"/>
      <c r="P45" s="1026"/>
      <c r="Q45" s="1026"/>
      <c r="R45" s="987"/>
      <c r="AC45" s="1026"/>
      <c r="AD45" s="1026"/>
      <c r="AE45" s="1026"/>
    </row>
    <row r="46" spans="1:31">
      <c r="A46" s="1046"/>
      <c r="B46" s="923"/>
      <c r="C46" s="923"/>
      <c r="D46" s="923"/>
      <c r="E46" s="923"/>
      <c r="F46" s="923"/>
      <c r="G46" s="923"/>
      <c r="H46" s="923"/>
      <c r="I46" s="1096"/>
      <c r="J46" s="1026"/>
      <c r="K46" s="1026"/>
      <c r="L46" s="1026"/>
      <c r="M46" s="1026"/>
      <c r="N46" s="1026"/>
      <c r="O46" s="1026"/>
      <c r="P46" s="1026"/>
      <c r="Q46" s="1026"/>
      <c r="R46" s="1084"/>
      <c r="AC46" s="1026"/>
      <c r="AD46" s="1026"/>
      <c r="AE46" s="1026"/>
    </row>
    <row r="47" spans="1:31">
      <c r="A47" s="1046"/>
      <c r="B47" s="923"/>
      <c r="C47" s="923"/>
      <c r="D47" s="923"/>
      <c r="E47" s="923"/>
      <c r="F47" s="923"/>
      <c r="G47" s="923"/>
      <c r="H47" s="923"/>
      <c r="I47" s="923"/>
      <c r="J47" s="923"/>
      <c r="K47" s="923"/>
      <c r="L47" s="923"/>
      <c r="M47" s="923"/>
      <c r="N47" s="1026"/>
      <c r="O47" s="1026"/>
      <c r="P47" s="1026"/>
      <c r="Q47" s="1026"/>
      <c r="R47" s="1084"/>
      <c r="AC47" s="1026"/>
      <c r="AD47" s="1026"/>
      <c r="AE47" s="1026"/>
    </row>
    <row r="48" spans="1:31">
      <c r="A48" s="1046"/>
      <c r="B48" s="923"/>
      <c r="C48" s="923"/>
      <c r="D48" s="923"/>
      <c r="E48" s="923"/>
      <c r="F48" s="923"/>
      <c r="G48" s="923"/>
      <c r="H48" s="923"/>
      <c r="I48" s="923"/>
      <c r="J48" s="923"/>
      <c r="K48" s="923"/>
      <c r="L48" s="923"/>
      <c r="M48" s="1026"/>
      <c r="N48" s="1026"/>
      <c r="O48" s="1026"/>
      <c r="P48" s="1026"/>
      <c r="Q48" s="1026"/>
      <c r="R48" s="1084"/>
      <c r="AC48" s="1026"/>
      <c r="AD48" s="1026"/>
      <c r="AE48" s="1026"/>
    </row>
    <row r="49" spans="1:31">
      <c r="B49" s="923"/>
      <c r="C49" s="923"/>
      <c r="D49" s="923"/>
      <c r="E49" s="923"/>
      <c r="F49" s="923"/>
      <c r="G49" s="923"/>
      <c r="H49" s="923"/>
      <c r="I49" s="923"/>
      <c r="J49" s="923"/>
      <c r="K49" s="923"/>
      <c r="L49" s="923"/>
      <c r="M49" s="1026"/>
      <c r="N49" s="1026"/>
      <c r="O49" s="1026"/>
      <c r="P49" s="1026"/>
      <c r="Q49" s="1026"/>
      <c r="R49" s="1084"/>
      <c r="AC49" s="1026"/>
      <c r="AD49" s="1026"/>
      <c r="AE49" s="1026"/>
    </row>
    <row r="50" spans="1:31">
      <c r="B50" s="923"/>
      <c r="C50" s="923"/>
      <c r="D50" s="923"/>
      <c r="E50" s="923"/>
      <c r="F50" s="923"/>
      <c r="G50" s="923"/>
      <c r="H50" s="923"/>
      <c r="I50" s="923"/>
      <c r="J50" s="923"/>
      <c r="K50" s="923"/>
      <c r="L50" s="923"/>
      <c r="M50" s="1026"/>
      <c r="N50" s="1026"/>
      <c r="O50" s="1026"/>
      <c r="P50" s="1026"/>
      <c r="Q50" s="1026"/>
      <c r="R50" s="1084"/>
      <c r="AC50" s="1026"/>
      <c r="AD50" s="1026"/>
      <c r="AE50" s="1026"/>
    </row>
    <row r="51" spans="1:31">
      <c r="B51" s="1026"/>
      <c r="C51" s="1026"/>
      <c r="D51" s="1026"/>
      <c r="E51" s="1026"/>
      <c r="F51" s="1026"/>
      <c r="G51" s="923"/>
      <c r="H51" s="1026"/>
      <c r="I51" s="1026"/>
      <c r="J51" s="1097"/>
      <c r="K51" s="1097"/>
      <c r="L51" s="1097"/>
      <c r="M51" s="1026"/>
      <c r="N51" s="1026"/>
      <c r="O51" s="1026"/>
      <c r="P51" s="1026"/>
      <c r="Q51" s="1026"/>
      <c r="R51" s="1084"/>
    </row>
    <row r="52" spans="1:31">
      <c r="A52" s="917"/>
      <c r="B52" s="1026"/>
      <c r="C52" s="1026"/>
      <c r="D52" s="1026"/>
      <c r="E52" s="1026"/>
      <c r="F52" s="1026"/>
      <c r="G52" s="923"/>
      <c r="H52" s="1026"/>
      <c r="I52" s="1026"/>
      <c r="J52" s="1097"/>
      <c r="K52" s="1097"/>
      <c r="L52" s="1097"/>
      <c r="M52" s="1026"/>
      <c r="N52" s="1026"/>
      <c r="O52" s="1026"/>
      <c r="P52" s="1026"/>
      <c r="Q52" s="1026"/>
      <c r="R52" s="1084"/>
    </row>
    <row r="53" spans="1:31">
      <c r="A53" s="917"/>
      <c r="B53" s="1026"/>
      <c r="C53" s="1026"/>
      <c r="D53" s="1026"/>
      <c r="E53" s="1026"/>
      <c r="F53" s="1026"/>
      <c r="G53" s="923"/>
      <c r="H53" s="1026"/>
      <c r="I53" s="1026"/>
      <c r="J53" s="1097"/>
      <c r="K53" s="1097"/>
      <c r="L53" s="1097"/>
      <c r="M53" s="1026"/>
      <c r="N53" s="1026"/>
      <c r="O53" s="1026"/>
      <c r="P53" s="1026"/>
      <c r="Q53" s="1026"/>
      <c r="R53" s="923"/>
    </row>
    <row r="54" spans="1:31">
      <c r="A54" s="917"/>
      <c r="B54" s="1026"/>
      <c r="C54" s="1026"/>
      <c r="D54" s="1026"/>
      <c r="E54" s="1026"/>
      <c r="F54" s="1026"/>
      <c r="G54" s="923"/>
      <c r="H54" s="1026"/>
      <c r="I54" s="1026"/>
      <c r="J54" s="1097"/>
      <c r="K54" s="1097"/>
      <c r="L54" s="1097"/>
      <c r="M54" s="1026"/>
      <c r="N54" s="1026"/>
      <c r="O54" s="1026"/>
      <c r="P54" s="1026"/>
      <c r="Q54" s="1026"/>
      <c r="R54" s="923"/>
    </row>
    <row r="55" spans="1:31">
      <c r="A55" s="917"/>
      <c r="B55" s="1026"/>
      <c r="C55" s="1026"/>
      <c r="D55" s="1026"/>
      <c r="E55" s="1026"/>
      <c r="F55" s="1026"/>
      <c r="G55" s="923"/>
      <c r="H55" s="1026"/>
      <c r="I55" s="1026"/>
      <c r="J55" s="1097"/>
      <c r="K55" s="1097"/>
      <c r="L55" s="1097"/>
      <c r="M55" s="1026"/>
      <c r="N55" s="1026"/>
      <c r="O55" s="1026"/>
      <c r="P55" s="1026"/>
      <c r="Q55" s="1026"/>
      <c r="R55" s="923"/>
    </row>
    <row r="56" spans="1:31">
      <c r="A56" s="917"/>
      <c r="B56" s="1026"/>
      <c r="C56" s="1026"/>
      <c r="D56" s="1026"/>
      <c r="E56" s="1026"/>
      <c r="F56" s="1026"/>
      <c r="G56" s="923"/>
      <c r="H56" s="1026"/>
      <c r="I56" s="1026"/>
      <c r="J56" s="1097"/>
      <c r="K56" s="1097"/>
      <c r="L56" s="1097"/>
      <c r="M56" s="1026"/>
      <c r="N56" s="1026"/>
      <c r="O56" s="1026"/>
      <c r="P56" s="1026"/>
      <c r="Q56" s="1026"/>
      <c r="R56" s="923"/>
    </row>
    <row r="57" spans="1:31">
      <c r="A57" s="917"/>
      <c r="B57" s="1026"/>
      <c r="C57" s="1026"/>
      <c r="D57" s="1026"/>
      <c r="E57" s="1026"/>
      <c r="F57" s="1026"/>
      <c r="G57" s="923"/>
      <c r="H57" s="1026"/>
      <c r="I57" s="1026"/>
      <c r="J57" s="1097"/>
      <c r="K57" s="1097"/>
      <c r="L57" s="1097"/>
      <c r="M57" s="1026"/>
      <c r="N57" s="1026"/>
      <c r="O57" s="1026"/>
      <c r="P57" s="1026"/>
      <c r="Q57" s="1026"/>
      <c r="R57" s="923"/>
    </row>
    <row r="58" spans="1:31">
      <c r="A58" s="917"/>
      <c r="B58" s="1026"/>
      <c r="C58" s="1026"/>
      <c r="D58" s="1026"/>
      <c r="E58" s="1026"/>
      <c r="F58" s="1026"/>
      <c r="G58" s="923"/>
      <c r="H58" s="1026"/>
      <c r="I58" s="1026"/>
      <c r="J58" s="1097"/>
      <c r="K58" s="1097"/>
      <c r="L58" s="1097"/>
      <c r="M58" s="1026"/>
      <c r="N58" s="1026"/>
      <c r="O58" s="1026"/>
      <c r="P58" s="1026"/>
      <c r="Q58" s="1026"/>
      <c r="R58" s="923"/>
    </row>
    <row r="59" spans="1:31">
      <c r="A59" s="917"/>
      <c r="B59" s="1026"/>
      <c r="C59" s="1026"/>
      <c r="D59" s="1026"/>
      <c r="E59" s="1026"/>
      <c r="F59" s="1026"/>
      <c r="G59" s="923"/>
      <c r="H59" s="1026"/>
      <c r="I59" s="1026"/>
      <c r="J59" s="1097"/>
      <c r="K59" s="1097"/>
      <c r="L59" s="1097"/>
      <c r="M59" s="1026"/>
      <c r="N59" s="1026"/>
      <c r="O59" s="1026"/>
      <c r="P59" s="1026"/>
      <c r="Q59" s="1026"/>
      <c r="R59" s="923"/>
    </row>
    <row r="60" spans="1:31">
      <c r="A60" s="917"/>
      <c r="B60" s="1026"/>
      <c r="C60" s="1026"/>
      <c r="D60" s="1026"/>
      <c r="E60" s="1026"/>
      <c r="F60" s="1026"/>
      <c r="G60" s="923"/>
      <c r="H60" s="1026"/>
      <c r="I60" s="1026"/>
      <c r="J60" s="1097"/>
      <c r="K60" s="1097"/>
      <c r="L60" s="1097"/>
      <c r="M60" s="1026"/>
      <c r="N60" s="1026"/>
      <c r="O60" s="1026"/>
      <c r="P60" s="1026"/>
      <c r="Q60" s="1026"/>
      <c r="R60" s="923"/>
    </row>
    <row r="61" spans="1:31">
      <c r="A61" s="917"/>
      <c r="B61" s="1026"/>
      <c r="C61" s="1026"/>
      <c r="D61" s="1026"/>
      <c r="E61" s="1026"/>
      <c r="F61" s="1026"/>
      <c r="G61" s="923"/>
      <c r="H61" s="1026"/>
      <c r="I61" s="1026"/>
      <c r="J61" s="1097"/>
      <c r="K61" s="1097"/>
      <c r="L61" s="1097"/>
      <c r="M61" s="1026"/>
      <c r="N61" s="1026"/>
      <c r="O61" s="1026"/>
      <c r="P61" s="1026"/>
      <c r="Q61" s="1026"/>
      <c r="R61" s="923"/>
    </row>
    <row r="62" spans="1:31">
      <c r="A62" s="917"/>
      <c r="B62" s="1026"/>
      <c r="C62" s="1026"/>
      <c r="D62" s="1026"/>
      <c r="E62" s="1026"/>
      <c r="F62" s="1026"/>
      <c r="G62" s="1026"/>
      <c r="H62" s="1026"/>
      <c r="I62" s="1096"/>
      <c r="J62" s="1026"/>
      <c r="K62" s="1026"/>
      <c r="L62" s="1026"/>
      <c r="M62" s="1026"/>
      <c r="N62" s="1026"/>
      <c r="O62" s="1026"/>
      <c r="P62" s="1026"/>
      <c r="Q62" s="1026"/>
      <c r="R62" s="923"/>
      <c r="AC62" s="1026"/>
      <c r="AD62" s="1026"/>
      <c r="AE62" s="1026"/>
    </row>
    <row r="63" spans="1:31">
      <c r="A63" s="917"/>
      <c r="B63" s="1026"/>
      <c r="C63" s="1026"/>
      <c r="D63" s="1026"/>
      <c r="E63" s="1026"/>
      <c r="F63" s="1026"/>
      <c r="G63" s="1026"/>
      <c r="H63" s="1026"/>
      <c r="I63" s="1096"/>
      <c r="J63" s="1026"/>
      <c r="K63" s="1026"/>
      <c r="L63" s="1026"/>
      <c r="M63" s="1026"/>
      <c r="N63" s="1026"/>
      <c r="O63" s="1026"/>
      <c r="P63" s="1026"/>
      <c r="Q63" s="1026"/>
      <c r="R63" s="923"/>
    </row>
    <row r="64" spans="1:31">
      <c r="A64" s="917"/>
      <c r="B64" s="1026"/>
      <c r="C64" s="1026"/>
      <c r="D64" s="1026"/>
      <c r="E64" s="1026"/>
      <c r="F64" s="1026"/>
      <c r="G64" s="1026"/>
      <c r="H64" s="1026"/>
      <c r="I64" s="1096"/>
      <c r="J64" s="1026"/>
      <c r="K64" s="1026"/>
      <c r="L64" s="1026"/>
      <c r="M64" s="1026"/>
      <c r="N64" s="1026"/>
      <c r="O64" s="1098"/>
      <c r="P64" s="1026"/>
      <c r="Q64" s="1026"/>
      <c r="R64" s="917"/>
    </row>
    <row r="65" spans="1:18">
      <c r="A65" s="917"/>
      <c r="B65" s="1026"/>
      <c r="C65" s="1026"/>
      <c r="D65" s="1026"/>
      <c r="E65" s="1026"/>
      <c r="F65" s="1026"/>
      <c r="G65" s="1026"/>
      <c r="H65" s="1026"/>
      <c r="I65" s="1096"/>
      <c r="J65" s="1026"/>
      <c r="K65" s="1026"/>
      <c r="L65" s="1026"/>
      <c r="M65" s="1026"/>
      <c r="N65" s="1026"/>
      <c r="O65" s="1098"/>
      <c r="P65" s="1026"/>
      <c r="Q65" s="1026"/>
      <c r="R65" s="917"/>
    </row>
    <row r="66" spans="1:18">
      <c r="A66" s="917"/>
      <c r="B66" s="1026"/>
      <c r="C66" s="1026"/>
      <c r="D66" s="1026"/>
      <c r="E66" s="1026"/>
      <c r="F66" s="1026"/>
      <c r="G66" s="1026"/>
      <c r="H66" s="1026"/>
      <c r="I66" s="1096"/>
      <c r="J66" s="1026"/>
      <c r="K66" s="1026"/>
      <c r="L66" s="1026"/>
      <c r="M66" s="1026"/>
      <c r="N66" s="1026"/>
      <c r="O66" s="1098"/>
      <c r="P66" s="1026"/>
      <c r="Q66" s="1026"/>
      <c r="R66" s="917"/>
    </row>
    <row r="67" spans="1:18">
      <c r="A67" s="917"/>
      <c r="B67" s="1026"/>
      <c r="C67" s="1026"/>
      <c r="D67" s="1026"/>
      <c r="E67" s="1026"/>
      <c r="F67" s="1026"/>
      <c r="G67" s="1026"/>
      <c r="H67" s="1026"/>
      <c r="I67" s="1096"/>
      <c r="J67" s="1026"/>
      <c r="K67" s="1026"/>
      <c r="L67" s="1026"/>
      <c r="M67" s="1026"/>
      <c r="N67" s="1026"/>
      <c r="O67" s="1098"/>
      <c r="P67" s="1026"/>
      <c r="Q67" s="1026"/>
      <c r="R67" s="1032"/>
    </row>
    <row r="68" spans="1:18">
      <c r="A68" s="917"/>
      <c r="B68" s="1026"/>
      <c r="C68" s="1026"/>
      <c r="D68" s="1026"/>
      <c r="E68" s="1026"/>
      <c r="F68" s="1026"/>
      <c r="G68" s="1026"/>
      <c r="H68" s="1026"/>
      <c r="I68" s="1096"/>
      <c r="J68" s="1026"/>
      <c r="K68" s="1026"/>
      <c r="L68" s="1026"/>
      <c r="M68" s="1026"/>
      <c r="N68" s="1026"/>
      <c r="O68" s="1098"/>
      <c r="P68" s="1026"/>
      <c r="Q68" s="1026"/>
      <c r="R68" s="1032"/>
    </row>
    <row r="69" spans="1:18">
      <c r="A69" s="917"/>
      <c r="B69" s="1026"/>
      <c r="C69" s="1026"/>
      <c r="D69" s="1026"/>
      <c r="E69" s="1026"/>
      <c r="F69" s="1026"/>
      <c r="G69" s="1026"/>
      <c r="H69" s="1026"/>
      <c r="I69" s="1096"/>
      <c r="J69" s="1026"/>
      <c r="K69" s="1026"/>
      <c r="L69" s="1026"/>
      <c r="M69" s="1026"/>
      <c r="N69" s="1026"/>
      <c r="O69" s="1098"/>
      <c r="P69" s="1026"/>
      <c r="Q69" s="1026"/>
      <c r="R69" s="1032"/>
    </row>
    <row r="70" spans="1:18">
      <c r="A70" s="917"/>
      <c r="B70" s="1026"/>
      <c r="C70" s="1026"/>
      <c r="D70" s="1026"/>
      <c r="E70" s="1026"/>
      <c r="F70" s="1026"/>
      <c r="G70" s="1026"/>
      <c r="H70" s="1026"/>
      <c r="I70" s="1096"/>
      <c r="J70" s="1026"/>
      <c r="K70" s="1026"/>
      <c r="L70" s="1026"/>
      <c r="M70" s="1026"/>
      <c r="N70" s="1026"/>
      <c r="O70" s="1098"/>
      <c r="P70" s="1026"/>
      <c r="Q70" s="1026"/>
      <c r="R70" s="1032"/>
    </row>
    <row r="71" spans="1:18">
      <c r="A71" s="917"/>
      <c r="B71" s="1026"/>
      <c r="C71" s="1026"/>
      <c r="D71" s="1026"/>
      <c r="E71" s="1026"/>
      <c r="F71" s="1026"/>
      <c r="G71" s="1026"/>
      <c r="H71" s="1026"/>
      <c r="I71" s="1096"/>
      <c r="J71" s="1026"/>
      <c r="K71" s="1026"/>
      <c r="L71" s="1026"/>
      <c r="M71" s="1026"/>
      <c r="N71" s="1026"/>
      <c r="O71" s="1098"/>
      <c r="P71" s="1026"/>
      <c r="Q71" s="1026"/>
      <c r="R71" s="1032"/>
    </row>
    <row r="72" spans="1:18">
      <c r="A72" s="917"/>
      <c r="B72" s="1026"/>
      <c r="C72" s="1026"/>
      <c r="D72" s="1026"/>
      <c r="E72" s="1026"/>
      <c r="F72" s="1026"/>
      <c r="G72" s="1026"/>
      <c r="H72" s="1026"/>
      <c r="I72" s="1096"/>
      <c r="J72" s="1026"/>
      <c r="K72" s="1026"/>
      <c r="L72" s="1026"/>
      <c r="M72" s="1026"/>
      <c r="N72" s="1026"/>
      <c r="O72" s="1098"/>
      <c r="P72" s="1099"/>
      <c r="Q72" s="1026"/>
      <c r="R72" s="1032"/>
    </row>
    <row r="73" spans="1:18">
      <c r="A73" s="917"/>
      <c r="B73" s="1026"/>
      <c r="C73" s="1026"/>
      <c r="D73" s="1026"/>
      <c r="E73" s="1026"/>
      <c r="F73" s="1026"/>
      <c r="G73" s="1026"/>
      <c r="H73" s="1026"/>
      <c r="I73" s="1096"/>
      <c r="J73" s="1026"/>
      <c r="K73" s="1026"/>
      <c r="L73" s="1026"/>
      <c r="M73" s="1026"/>
      <c r="N73" s="1026"/>
      <c r="O73" s="1098"/>
      <c r="P73" s="1099"/>
      <c r="Q73" s="1026"/>
      <c r="R73" s="1032"/>
    </row>
    <row r="74" spans="1:18">
      <c r="A74" s="1089"/>
      <c r="B74" s="1026"/>
      <c r="C74" s="1026"/>
      <c r="D74" s="1026"/>
      <c r="E74" s="1026"/>
      <c r="F74" s="1026"/>
      <c r="G74" s="1026"/>
      <c r="H74" s="1026"/>
      <c r="I74" s="1096"/>
      <c r="J74" s="1026"/>
      <c r="K74" s="1026"/>
      <c r="L74" s="1026"/>
      <c r="M74" s="1026"/>
      <c r="N74" s="1026"/>
      <c r="O74" s="1098"/>
      <c r="P74" s="1099"/>
      <c r="Q74" s="1026"/>
      <c r="R74" s="1032"/>
    </row>
    <row r="75" spans="1:18">
      <c r="A75" s="1026"/>
      <c r="K75" s="1026"/>
      <c r="L75" s="1026"/>
      <c r="M75" s="1026"/>
      <c r="N75" s="1026"/>
      <c r="O75" s="1098"/>
      <c r="P75" s="1099"/>
      <c r="Q75" s="1026"/>
      <c r="R75" s="1032"/>
    </row>
    <row r="76" spans="1:18">
      <c r="A76" s="1026"/>
      <c r="K76" s="1026"/>
      <c r="L76" s="1026"/>
      <c r="M76" s="1026"/>
      <c r="N76" s="1026"/>
      <c r="O76" s="1098"/>
      <c r="P76" s="1099"/>
      <c r="Q76" s="1026"/>
      <c r="R76" s="1032"/>
    </row>
    <row r="77" spans="1:18">
      <c r="A77" s="1026"/>
      <c r="K77" s="1026"/>
      <c r="L77" s="1026"/>
      <c r="M77" s="1026"/>
      <c r="N77" s="1026"/>
      <c r="O77" s="1098"/>
      <c r="P77" s="1099"/>
      <c r="Q77" s="1026"/>
      <c r="R77" s="1032"/>
    </row>
    <row r="78" spans="1:18">
      <c r="A78" s="1026"/>
      <c r="K78" s="1026"/>
      <c r="L78" s="1026"/>
      <c r="M78" s="1026"/>
      <c r="N78" s="1026"/>
      <c r="O78" s="1098"/>
      <c r="P78" s="1099"/>
      <c r="Q78" s="1026"/>
      <c r="R78" s="1032"/>
    </row>
    <row r="79" spans="1:18">
      <c r="A79" s="1026"/>
      <c r="K79" s="1026"/>
      <c r="L79" s="1026"/>
      <c r="M79" s="1026"/>
      <c r="N79" s="1026"/>
      <c r="O79" s="1098"/>
      <c r="P79" s="1099"/>
      <c r="Q79" s="1026"/>
      <c r="R79" s="1032"/>
    </row>
    <row r="80" spans="1:18">
      <c r="A80" s="1026"/>
      <c r="K80" s="1026"/>
      <c r="L80" s="1026"/>
      <c r="M80" s="1026"/>
      <c r="N80" s="1026"/>
      <c r="O80" s="1098"/>
      <c r="P80" s="1099"/>
      <c r="Q80" s="1026"/>
      <c r="R80" s="1032"/>
    </row>
    <row r="81" spans="1:18">
      <c r="A81" s="1026"/>
      <c r="K81" s="1026"/>
      <c r="L81" s="1026"/>
      <c r="M81" s="1026"/>
      <c r="N81" s="1026"/>
      <c r="O81" s="1098"/>
      <c r="P81" s="1099"/>
      <c r="Q81" s="1026"/>
      <c r="R81" s="1032"/>
    </row>
    <row r="82" spans="1:18">
      <c r="A82" s="1090"/>
      <c r="R82" s="1032"/>
    </row>
    <row r="83" spans="1:18">
      <c r="A83" s="1090"/>
      <c r="R83" s="1032"/>
    </row>
    <row r="84" spans="1:18">
      <c r="A84" s="916"/>
      <c r="R84" s="1032"/>
    </row>
    <row r="85" spans="1:18">
      <c r="A85" s="916"/>
      <c r="R85" s="1032"/>
    </row>
    <row r="86" spans="1:18">
      <c r="A86" s="916"/>
      <c r="R86" s="1032"/>
    </row>
    <row r="87" spans="1:18">
      <c r="A87" s="916"/>
      <c r="R87" s="1032"/>
    </row>
    <row r="88" spans="1:18">
      <c r="A88" s="916"/>
      <c r="R88" s="1032"/>
    </row>
    <row r="89" spans="1:18">
      <c r="A89" s="916"/>
      <c r="R89" s="1032"/>
    </row>
    <row r="90" spans="1:18">
      <c r="A90" s="916"/>
      <c r="R90" s="1032"/>
    </row>
    <row r="91" spans="1:18">
      <c r="A91" s="916"/>
      <c r="R91" s="1032"/>
    </row>
    <row r="92" spans="1:18">
      <c r="R92" s="1032"/>
    </row>
    <row r="93" spans="1:18">
      <c r="R93" s="1032"/>
    </row>
    <row r="94" spans="1:18">
      <c r="R94" s="1032"/>
    </row>
    <row r="95" spans="1:18">
      <c r="R95" s="1032"/>
    </row>
    <row r="96" spans="1:18">
      <c r="R96" s="1032"/>
    </row>
    <row r="97" spans="18:18">
      <c r="R97" s="1032"/>
    </row>
    <row r="98" spans="18:18">
      <c r="R98" s="1032"/>
    </row>
    <row r="99" spans="18:18">
      <c r="R99" s="1032"/>
    </row>
    <row r="100" spans="18:18">
      <c r="R100" s="1032"/>
    </row>
    <row r="101" spans="18:18">
      <c r="R101" s="1032"/>
    </row>
    <row r="102" spans="18:18">
      <c r="R102" s="1032"/>
    </row>
    <row r="103" spans="18:18">
      <c r="R103" s="1032"/>
    </row>
    <row r="104" spans="18:18">
      <c r="R104" s="1032"/>
    </row>
    <row r="105" spans="18:18">
      <c r="R105" s="1032"/>
    </row>
    <row r="106" spans="18:18">
      <c r="R106" s="1032"/>
    </row>
    <row r="107" spans="18:18">
      <c r="R107" s="1032"/>
    </row>
    <row r="108" spans="18:18">
      <c r="R108" s="1032"/>
    </row>
    <row r="109" spans="18:18">
      <c r="R109" s="1032"/>
    </row>
    <row r="110" spans="18:18">
      <c r="R110" s="1032"/>
    </row>
    <row r="111" spans="18:18">
      <c r="R111" s="1032"/>
    </row>
    <row r="112" spans="18:18">
      <c r="R112" s="1032"/>
    </row>
    <row r="113" spans="18:18">
      <c r="R113" s="1032"/>
    </row>
    <row r="114" spans="18:18">
      <c r="R114" s="1032"/>
    </row>
    <row r="115" spans="18:18">
      <c r="R115" s="1032"/>
    </row>
    <row r="116" spans="18:18">
      <c r="R116" s="1032"/>
    </row>
    <row r="117" spans="18:18">
      <c r="R117" s="1032"/>
    </row>
    <row r="118" spans="18:18">
      <c r="R118" s="1032"/>
    </row>
    <row r="119" spans="18:18">
      <c r="R119" s="1032"/>
    </row>
    <row r="120" spans="18:18">
      <c r="R120" s="1032"/>
    </row>
    <row r="121" spans="18:18">
      <c r="R121" s="1032"/>
    </row>
    <row r="122" spans="18:18">
      <c r="R122" s="1032"/>
    </row>
    <row r="123" spans="18:18">
      <c r="R123" s="1032"/>
    </row>
    <row r="124" spans="18:18">
      <c r="R124" s="1032"/>
    </row>
    <row r="125" spans="18:18">
      <c r="R125" s="1032"/>
    </row>
    <row r="126" spans="18:18">
      <c r="R126" s="1032"/>
    </row>
    <row r="127" spans="18:18">
      <c r="R127" s="1032"/>
    </row>
    <row r="128" spans="18:18">
      <c r="R128" s="1032"/>
    </row>
    <row r="129" spans="18:18">
      <c r="R129" s="1032"/>
    </row>
    <row r="130" spans="18:18">
      <c r="R130" s="1032"/>
    </row>
    <row r="131" spans="18:18">
      <c r="R131" s="1032"/>
    </row>
    <row r="132" spans="18:18">
      <c r="R132" s="1032"/>
    </row>
    <row r="133" spans="18:18">
      <c r="R133" s="1032"/>
    </row>
    <row r="134" spans="18:18">
      <c r="R134" s="1032"/>
    </row>
    <row r="135" spans="18:18">
      <c r="R135" s="1032"/>
    </row>
    <row r="136" spans="18:18">
      <c r="R136" s="1032"/>
    </row>
    <row r="137" spans="18:18">
      <c r="R137" s="1032"/>
    </row>
    <row r="138" spans="18:18">
      <c r="R138" s="1032"/>
    </row>
    <row r="139" spans="18:18">
      <c r="R139" s="1032"/>
    </row>
    <row r="140" spans="18:18">
      <c r="R140" s="1032"/>
    </row>
    <row r="141" spans="18:18">
      <c r="R141" s="1032"/>
    </row>
    <row r="142" spans="18:18">
      <c r="R142" s="1032"/>
    </row>
    <row r="143" spans="18:18">
      <c r="R143" s="1032"/>
    </row>
    <row r="144" spans="18:18">
      <c r="R144" s="1032"/>
    </row>
    <row r="145" spans="18:18">
      <c r="R145" s="1032"/>
    </row>
    <row r="146" spans="18:18">
      <c r="R146" s="1032"/>
    </row>
    <row r="147" spans="18:18">
      <c r="R147" s="1032"/>
    </row>
    <row r="148" spans="18:18">
      <c r="R148" s="1032"/>
    </row>
    <row r="149" spans="18:18">
      <c r="R149" s="1032"/>
    </row>
    <row r="150" spans="18:18">
      <c r="R150" s="1032"/>
    </row>
    <row r="151" spans="18:18">
      <c r="R151" s="1032"/>
    </row>
    <row r="152" spans="18:18">
      <c r="R152" s="1032"/>
    </row>
    <row r="153" spans="18:18">
      <c r="R153" s="1032"/>
    </row>
    <row r="154" spans="18:18">
      <c r="R154" s="1032"/>
    </row>
    <row r="155" spans="18:18">
      <c r="R155" s="1032"/>
    </row>
    <row r="156" spans="18:18">
      <c r="R156" s="1032"/>
    </row>
    <row r="157" spans="18:18">
      <c r="R157" s="1032"/>
    </row>
    <row r="158" spans="18:18">
      <c r="R158" s="1032"/>
    </row>
    <row r="159" spans="18:18">
      <c r="R159" s="1032"/>
    </row>
    <row r="160" spans="18:18">
      <c r="R160" s="1032"/>
    </row>
    <row r="161" spans="18:18">
      <c r="R161" s="1032"/>
    </row>
    <row r="162" spans="18:18">
      <c r="R162" s="1032"/>
    </row>
    <row r="163" spans="18:18">
      <c r="R163" s="1032"/>
    </row>
    <row r="164" spans="18:18">
      <c r="R164" s="1032"/>
    </row>
    <row r="165" spans="18:18">
      <c r="R165" s="1032"/>
    </row>
    <row r="166" spans="18:18">
      <c r="R166" s="1032"/>
    </row>
    <row r="167" spans="18:18">
      <c r="R167" s="1032"/>
    </row>
    <row r="168" spans="18:18">
      <c r="R168" s="1032"/>
    </row>
    <row r="169" spans="18:18">
      <c r="R169" s="1032"/>
    </row>
    <row r="170" spans="18:18">
      <c r="R170" s="1032"/>
    </row>
    <row r="171" spans="18:18">
      <c r="R171" s="1032"/>
    </row>
    <row r="172" spans="18:18">
      <c r="R172" s="1032"/>
    </row>
    <row r="173" spans="18:18">
      <c r="R173" s="1032"/>
    </row>
    <row r="174" spans="18:18">
      <c r="R174" s="1032"/>
    </row>
    <row r="175" spans="18:18">
      <c r="R175" s="1032"/>
    </row>
    <row r="176" spans="18:18">
      <c r="R176" s="1032"/>
    </row>
    <row r="177" spans="18:18">
      <c r="R177" s="1032"/>
    </row>
    <row r="178" spans="18:18">
      <c r="R178" s="1032"/>
    </row>
    <row r="179" spans="18:18">
      <c r="R179" s="1032"/>
    </row>
    <row r="180" spans="18:18">
      <c r="R180" s="1032"/>
    </row>
    <row r="181" spans="18:18">
      <c r="R181" s="1032"/>
    </row>
    <row r="182" spans="18:18">
      <c r="R182" s="1032"/>
    </row>
    <row r="183" spans="18:18">
      <c r="R183" s="1032"/>
    </row>
    <row r="184" spans="18:18">
      <c r="R184" s="1032"/>
    </row>
    <row r="185" spans="18:18">
      <c r="R185" s="1032"/>
    </row>
    <row r="186" spans="18:18">
      <c r="R186" s="1032"/>
    </row>
    <row r="187" spans="18:18">
      <c r="R187" s="1032"/>
    </row>
    <row r="188" spans="18:18">
      <c r="R188" s="1032"/>
    </row>
    <row r="189" spans="18:18">
      <c r="R189" s="1032"/>
    </row>
    <row r="190" spans="18:18">
      <c r="R190" s="1032"/>
    </row>
    <row r="191" spans="18:18">
      <c r="R191" s="1032"/>
    </row>
    <row r="192" spans="18:18">
      <c r="R192" s="1032"/>
    </row>
    <row r="193" spans="18:18">
      <c r="R193" s="1032"/>
    </row>
    <row r="194" spans="18:18">
      <c r="R194" s="1032"/>
    </row>
    <row r="195" spans="18:18">
      <c r="R195" s="1032"/>
    </row>
    <row r="196" spans="18:18">
      <c r="R196" s="1032"/>
    </row>
    <row r="197" spans="18:18">
      <c r="R197" s="1032"/>
    </row>
    <row r="198" spans="18:18">
      <c r="R198" s="1032"/>
    </row>
    <row r="199" spans="18:18">
      <c r="R199" s="1032"/>
    </row>
    <row r="200" spans="18:18">
      <c r="R200" s="1032"/>
    </row>
    <row r="201" spans="18:18">
      <c r="R201" s="1032"/>
    </row>
    <row r="202" spans="18:18">
      <c r="R202" s="1032"/>
    </row>
    <row r="203" spans="18:18">
      <c r="R203" s="1032"/>
    </row>
    <row r="204" spans="18:18">
      <c r="R204" s="1032"/>
    </row>
    <row r="205" spans="18:18">
      <c r="R205" s="1032"/>
    </row>
    <row r="206" spans="18:18">
      <c r="R206" s="1032"/>
    </row>
    <row r="207" spans="18:18">
      <c r="R207" s="1032"/>
    </row>
    <row r="208" spans="18:18">
      <c r="R208" s="1032"/>
    </row>
    <row r="209" spans="18:18">
      <c r="R209" s="1032"/>
    </row>
    <row r="210" spans="18:18">
      <c r="R210" s="1032"/>
    </row>
    <row r="211" spans="18:18">
      <c r="R211" s="1032"/>
    </row>
    <row r="212" spans="18:18">
      <c r="R212" s="1032"/>
    </row>
    <row r="213" spans="18:18">
      <c r="R213" s="1032"/>
    </row>
    <row r="214" spans="18:18">
      <c r="R214" s="1032"/>
    </row>
    <row r="215" spans="18:18">
      <c r="R215" s="1032"/>
    </row>
    <row r="216" spans="18:18">
      <c r="R216" s="1032"/>
    </row>
    <row r="217" spans="18:18">
      <c r="R217" s="1032"/>
    </row>
    <row r="218" spans="18:18">
      <c r="R218" s="1032"/>
    </row>
    <row r="219" spans="18:18">
      <c r="R219" s="1032"/>
    </row>
    <row r="220" spans="18:18">
      <c r="R220" s="1032"/>
    </row>
    <row r="221" spans="18:18">
      <c r="R221" s="1032"/>
    </row>
    <row r="222" spans="18:18">
      <c r="R222" s="1032"/>
    </row>
    <row r="223" spans="18:18">
      <c r="R223" s="1032"/>
    </row>
    <row r="224" spans="18:18">
      <c r="R224" s="1032"/>
    </row>
    <row r="225" spans="18:18">
      <c r="R225" s="1032"/>
    </row>
    <row r="226" spans="18:18">
      <c r="R226" s="1032"/>
    </row>
    <row r="227" spans="18:18">
      <c r="R227" s="1032"/>
    </row>
    <row r="228" spans="18:18">
      <c r="R228" s="1032"/>
    </row>
    <row r="229" spans="18:18">
      <c r="R229" s="1032"/>
    </row>
    <row r="230" spans="18:18">
      <c r="R230" s="1032"/>
    </row>
    <row r="231" spans="18:18">
      <c r="R231" s="1032"/>
    </row>
    <row r="232" spans="18:18">
      <c r="R232" s="1032"/>
    </row>
    <row r="233" spans="18:18">
      <c r="R233" s="1032"/>
    </row>
    <row r="234" spans="18:18">
      <c r="R234" s="1032"/>
    </row>
    <row r="235" spans="18:18">
      <c r="R235" s="1032"/>
    </row>
    <row r="236" spans="18:18">
      <c r="R236" s="1032"/>
    </row>
    <row r="237" spans="18:18">
      <c r="R237" s="1032"/>
    </row>
    <row r="238" spans="18:18">
      <c r="R238" s="1032"/>
    </row>
    <row r="239" spans="18:18">
      <c r="R239" s="1032"/>
    </row>
    <row r="240" spans="18:18">
      <c r="R240" s="1032"/>
    </row>
    <row r="241" spans="18:18">
      <c r="R241" s="1032"/>
    </row>
    <row r="242" spans="18:18">
      <c r="R242" s="1032"/>
    </row>
    <row r="243" spans="18:18">
      <c r="R243" s="1032"/>
    </row>
    <row r="244" spans="18:18">
      <c r="R244" s="1032"/>
    </row>
    <row r="245" spans="18:18">
      <c r="R245" s="1032"/>
    </row>
    <row r="246" spans="18:18">
      <c r="R246" s="1032"/>
    </row>
    <row r="247" spans="18:18">
      <c r="R247" s="1032"/>
    </row>
    <row r="248" spans="18:18">
      <c r="R248" s="1032"/>
    </row>
    <row r="249" spans="18:18">
      <c r="R249" s="1032"/>
    </row>
    <row r="250" spans="18:18">
      <c r="R250" s="1032"/>
    </row>
    <row r="251" spans="18:18">
      <c r="R251" s="1032"/>
    </row>
    <row r="252" spans="18:18">
      <c r="R252" s="1032"/>
    </row>
    <row r="253" spans="18:18">
      <c r="R253" s="1032"/>
    </row>
    <row r="254" spans="18:18">
      <c r="R254" s="1032"/>
    </row>
    <row r="255" spans="18:18">
      <c r="R255" s="1032"/>
    </row>
    <row r="256" spans="18:18">
      <c r="R256" s="1032"/>
    </row>
    <row r="257" spans="18:18">
      <c r="R257" s="1032"/>
    </row>
    <row r="258" spans="18:18">
      <c r="R258" s="1032"/>
    </row>
    <row r="259" spans="18:18">
      <c r="R259" s="1032"/>
    </row>
    <row r="260" spans="18:18">
      <c r="R260" s="1032"/>
    </row>
    <row r="261" spans="18:18">
      <c r="R261" s="1032"/>
    </row>
    <row r="262" spans="18:18">
      <c r="R262" s="1032"/>
    </row>
    <row r="263" spans="18:18">
      <c r="R263" s="1032"/>
    </row>
    <row r="264" spans="18:18">
      <c r="R264" s="1032"/>
    </row>
    <row r="265" spans="18:18">
      <c r="R265" s="1032"/>
    </row>
    <row r="266" spans="18:18">
      <c r="R266" s="1032"/>
    </row>
    <row r="267" spans="18:18">
      <c r="R267" s="1032"/>
    </row>
    <row r="268" spans="18:18">
      <c r="R268" s="1032"/>
    </row>
    <row r="269" spans="18:18">
      <c r="R269" s="1032"/>
    </row>
    <row r="270" spans="18:18">
      <c r="R270" s="1032"/>
    </row>
    <row r="271" spans="18:18">
      <c r="R271" s="1032"/>
    </row>
    <row r="272" spans="18:18">
      <c r="R272" s="1032"/>
    </row>
    <row r="273" spans="18:18">
      <c r="R273" s="1032"/>
    </row>
    <row r="274" spans="18:18">
      <c r="R274" s="1032"/>
    </row>
    <row r="275" spans="18:18">
      <c r="R275" s="1032"/>
    </row>
    <row r="276" spans="18:18">
      <c r="R276" s="1032"/>
    </row>
    <row r="277" spans="18:18">
      <c r="R277" s="1032"/>
    </row>
    <row r="278" spans="18:18">
      <c r="R278" s="1032"/>
    </row>
    <row r="279" spans="18:18">
      <c r="R279" s="1032"/>
    </row>
    <row r="280" spans="18:18">
      <c r="R280" s="1032"/>
    </row>
    <row r="281" spans="18:18">
      <c r="R281" s="1032"/>
    </row>
    <row r="282" spans="18:18">
      <c r="R282" s="1032"/>
    </row>
    <row r="283" spans="18:18">
      <c r="R283" s="1032"/>
    </row>
    <row r="284" spans="18:18">
      <c r="R284" s="1032"/>
    </row>
    <row r="285" spans="18:18">
      <c r="R285" s="1032"/>
    </row>
    <row r="286" spans="18:18">
      <c r="R286" s="1032"/>
    </row>
    <row r="287" spans="18:18">
      <c r="R287" s="1032"/>
    </row>
    <row r="288" spans="18:18">
      <c r="R288" s="1032"/>
    </row>
    <row r="289" spans="18:18">
      <c r="R289" s="1032"/>
    </row>
    <row r="290" spans="18:18">
      <c r="R290" s="1032"/>
    </row>
    <row r="291" spans="18:18">
      <c r="R291" s="1032"/>
    </row>
    <row r="292" spans="18:18">
      <c r="R292" s="1032"/>
    </row>
    <row r="293" spans="18:18">
      <c r="R293" s="1032"/>
    </row>
    <row r="294" spans="18:18">
      <c r="R294" s="1032"/>
    </row>
    <row r="295" spans="18:18">
      <c r="R295" s="1032"/>
    </row>
    <row r="296" spans="18:18">
      <c r="R296" s="1032"/>
    </row>
    <row r="297" spans="18:18">
      <c r="R297" s="1032"/>
    </row>
    <row r="298" spans="18:18">
      <c r="R298" s="1032"/>
    </row>
    <row r="299" spans="18:18">
      <c r="R299" s="1032"/>
    </row>
    <row r="300" spans="18:18">
      <c r="R300" s="1032"/>
    </row>
    <row r="301" spans="18:18">
      <c r="R301" s="1032"/>
    </row>
    <row r="302" spans="18:18">
      <c r="R302" s="1032"/>
    </row>
    <row r="303" spans="18:18">
      <c r="R303" s="1032"/>
    </row>
    <row r="304" spans="18:18">
      <c r="R304" s="1032"/>
    </row>
    <row r="305" spans="18:18">
      <c r="R305" s="1032"/>
    </row>
    <row r="306" spans="18:18">
      <c r="R306" s="1032"/>
    </row>
    <row r="307" spans="18:18">
      <c r="R307" s="1032"/>
    </row>
    <row r="308" spans="18:18">
      <c r="R308" s="1032"/>
    </row>
    <row r="309" spans="18:18">
      <c r="R309" s="1032"/>
    </row>
    <row r="310" spans="18:18">
      <c r="R310" s="1032"/>
    </row>
    <row r="311" spans="18:18">
      <c r="R311" s="1032"/>
    </row>
    <row r="312" spans="18:18">
      <c r="R312" s="1032"/>
    </row>
    <row r="313" spans="18:18">
      <c r="R313" s="1032"/>
    </row>
    <row r="314" spans="18:18">
      <c r="R314" s="1032"/>
    </row>
    <row r="315" spans="18:18">
      <c r="R315" s="1032"/>
    </row>
    <row r="316" spans="18:18">
      <c r="R316" s="1032"/>
    </row>
    <row r="317" spans="18:18">
      <c r="R317" s="1032"/>
    </row>
    <row r="318" spans="18:18">
      <c r="R318" s="1032"/>
    </row>
    <row r="319" spans="18:18">
      <c r="R319" s="1032"/>
    </row>
    <row r="320" spans="18:18">
      <c r="R320" s="1032"/>
    </row>
    <row r="321" spans="18:18">
      <c r="R321" s="1032"/>
    </row>
    <row r="322" spans="18:18">
      <c r="R322" s="1032"/>
    </row>
    <row r="323" spans="18:18">
      <c r="R323" s="1032"/>
    </row>
    <row r="324" spans="18:18">
      <c r="R324" s="1032"/>
    </row>
    <row r="325" spans="18:18">
      <c r="R325" s="1032"/>
    </row>
    <row r="326" spans="18:18">
      <c r="R326" s="1032"/>
    </row>
    <row r="327" spans="18:18">
      <c r="R327" s="1032"/>
    </row>
    <row r="328" spans="18:18">
      <c r="R328" s="1032"/>
    </row>
    <row r="329" spans="18:18">
      <c r="R329" s="1032"/>
    </row>
    <row r="330" spans="18:18">
      <c r="R330" s="1032"/>
    </row>
    <row r="331" spans="18:18">
      <c r="R331" s="1032"/>
    </row>
    <row r="332" spans="18:18">
      <c r="R332" s="1032"/>
    </row>
    <row r="333" spans="18:18">
      <c r="R333" s="1032"/>
    </row>
    <row r="334" spans="18:18">
      <c r="R334" s="1032"/>
    </row>
    <row r="335" spans="18:18">
      <c r="R335" s="1032"/>
    </row>
    <row r="336" spans="18:18">
      <c r="R336" s="1032"/>
    </row>
    <row r="337" spans="18:18">
      <c r="R337" s="1032"/>
    </row>
    <row r="338" spans="18:18">
      <c r="R338" s="1032"/>
    </row>
    <row r="339" spans="18:18">
      <c r="R339" s="1032"/>
    </row>
    <row r="340" spans="18:18">
      <c r="R340" s="1032"/>
    </row>
    <row r="341" spans="18:18">
      <c r="R341" s="1032"/>
    </row>
    <row r="342" spans="18:18">
      <c r="R342" s="1032"/>
    </row>
    <row r="343" spans="18:18">
      <c r="R343" s="1032"/>
    </row>
    <row r="344" spans="18:18">
      <c r="R344" s="1032"/>
    </row>
    <row r="345" spans="18:18">
      <c r="R345" s="1032"/>
    </row>
    <row r="346" spans="18:18">
      <c r="R346" s="1032"/>
    </row>
    <row r="347" spans="18:18">
      <c r="R347" s="1032"/>
    </row>
    <row r="348" spans="18:18">
      <c r="R348" s="1032"/>
    </row>
    <row r="349" spans="18:18">
      <c r="R349" s="1032"/>
    </row>
    <row r="350" spans="18:18">
      <c r="R350" s="1032"/>
    </row>
    <row r="351" spans="18:18">
      <c r="R351" s="1032"/>
    </row>
    <row r="352" spans="18:18">
      <c r="R352" s="1032"/>
    </row>
    <row r="353" spans="18:18">
      <c r="R353" s="1032"/>
    </row>
    <row r="354" spans="18:18">
      <c r="R354" s="1032"/>
    </row>
    <row r="355" spans="18:18">
      <c r="R355" s="1032"/>
    </row>
    <row r="356" spans="18:18">
      <c r="R356" s="1032"/>
    </row>
    <row r="357" spans="18:18">
      <c r="R357" s="1032"/>
    </row>
    <row r="358" spans="18:18">
      <c r="R358" s="1032"/>
    </row>
    <row r="359" spans="18:18">
      <c r="R359" s="1032"/>
    </row>
    <row r="360" spans="18:18">
      <c r="R360" s="1032"/>
    </row>
    <row r="361" spans="18:18">
      <c r="R361" s="1032"/>
    </row>
    <row r="362" spans="18:18">
      <c r="R362" s="1032"/>
    </row>
    <row r="363" spans="18:18">
      <c r="R363" s="1032"/>
    </row>
    <row r="364" spans="18:18">
      <c r="R364" s="1032"/>
    </row>
    <row r="365" spans="18:18">
      <c r="R365" s="1032"/>
    </row>
    <row r="366" spans="18:18">
      <c r="R366" s="1032"/>
    </row>
    <row r="367" spans="18:18">
      <c r="R367" s="1032"/>
    </row>
    <row r="368" spans="18:18">
      <c r="R368" s="1032"/>
    </row>
    <row r="369" spans="18:18">
      <c r="R369" s="1032"/>
    </row>
    <row r="370" spans="18:18">
      <c r="R370" s="1032"/>
    </row>
    <row r="371" spans="18:18">
      <c r="R371" s="1032"/>
    </row>
    <row r="372" spans="18:18">
      <c r="R372" s="1032"/>
    </row>
    <row r="373" spans="18:18">
      <c r="R373" s="1032"/>
    </row>
    <row r="374" spans="18:18">
      <c r="R374" s="1032"/>
    </row>
    <row r="375" spans="18:18">
      <c r="R375" s="1032"/>
    </row>
    <row r="376" spans="18:18">
      <c r="R376" s="1032"/>
    </row>
    <row r="377" spans="18:18">
      <c r="R377" s="1032"/>
    </row>
    <row r="378" spans="18:18">
      <c r="R378" s="1032"/>
    </row>
    <row r="379" spans="18:18">
      <c r="R379" s="1032"/>
    </row>
    <row r="380" spans="18:18">
      <c r="R380" s="1032"/>
    </row>
    <row r="381" spans="18:18">
      <c r="R381" s="1032"/>
    </row>
    <row r="382" spans="18:18">
      <c r="R382" s="1032"/>
    </row>
    <row r="383" spans="18:18">
      <c r="R383" s="1032"/>
    </row>
    <row r="384" spans="18:18">
      <c r="R384" s="1032"/>
    </row>
    <row r="385" spans="18:18">
      <c r="R385" s="1032"/>
    </row>
    <row r="386" spans="18:18">
      <c r="R386" s="1032"/>
    </row>
    <row r="387" spans="18:18">
      <c r="R387" s="1032"/>
    </row>
    <row r="388" spans="18:18">
      <c r="R388" s="1032"/>
    </row>
    <row r="389" spans="18:18">
      <c r="R389" s="1032"/>
    </row>
    <row r="390" spans="18:18">
      <c r="R390" s="1032"/>
    </row>
    <row r="391" spans="18:18">
      <c r="R391" s="1032"/>
    </row>
    <row r="392" spans="18:18">
      <c r="R392" s="1032"/>
    </row>
    <row r="393" spans="18:18">
      <c r="R393" s="1032"/>
    </row>
    <row r="394" spans="18:18">
      <c r="R394" s="1032"/>
    </row>
    <row r="395" spans="18:18">
      <c r="R395" s="1032"/>
    </row>
    <row r="396" spans="18:18">
      <c r="R396" s="1032"/>
    </row>
    <row r="397" spans="18:18">
      <c r="R397" s="1032"/>
    </row>
    <row r="398" spans="18:18">
      <c r="R398" s="1032"/>
    </row>
    <row r="399" spans="18:18">
      <c r="R399" s="1032"/>
    </row>
    <row r="400" spans="18:18">
      <c r="R400" s="1032"/>
    </row>
    <row r="401" spans="18:18">
      <c r="R401" s="1032"/>
    </row>
    <row r="402" spans="18:18">
      <c r="R402" s="1032"/>
    </row>
    <row r="403" spans="18:18">
      <c r="R403" s="1032"/>
    </row>
    <row r="404" spans="18:18">
      <c r="R404" s="1032"/>
    </row>
    <row r="405" spans="18:18">
      <c r="R405" s="1032"/>
    </row>
    <row r="406" spans="18:18">
      <c r="R406" s="1032"/>
    </row>
    <row r="407" spans="18:18">
      <c r="R407" s="1032"/>
    </row>
    <row r="408" spans="18:18">
      <c r="R408" s="1032"/>
    </row>
    <row r="409" spans="18:18">
      <c r="R409" s="1032"/>
    </row>
    <row r="410" spans="18:18">
      <c r="R410" s="1032"/>
    </row>
    <row r="411" spans="18:18">
      <c r="R411" s="1032"/>
    </row>
    <row r="412" spans="18:18">
      <c r="R412" s="1032"/>
    </row>
    <row r="413" spans="18:18">
      <c r="R413" s="1032"/>
    </row>
    <row r="414" spans="18:18">
      <c r="R414" s="1032"/>
    </row>
    <row r="415" spans="18:18">
      <c r="R415" s="1032"/>
    </row>
    <row r="416" spans="18:18">
      <c r="R416" s="1032"/>
    </row>
    <row r="417" spans="18:18">
      <c r="R417" s="1032"/>
    </row>
    <row r="418" spans="18:18">
      <c r="R418" s="1032"/>
    </row>
    <row r="419" spans="18:18">
      <c r="R419" s="1032"/>
    </row>
    <row r="420" spans="18:18">
      <c r="R420" s="1032"/>
    </row>
    <row r="421" spans="18:18">
      <c r="R421" s="1032"/>
    </row>
    <row r="422" spans="18:18">
      <c r="R422" s="1032"/>
    </row>
    <row r="423" spans="18:18">
      <c r="R423" s="1032"/>
    </row>
    <row r="424" spans="18:18">
      <c r="R424" s="1032"/>
    </row>
    <row r="425" spans="18:18">
      <c r="R425" s="1032"/>
    </row>
    <row r="426" spans="18:18">
      <c r="R426" s="1032"/>
    </row>
    <row r="427" spans="18:18">
      <c r="R427" s="1032"/>
    </row>
    <row r="428" spans="18:18">
      <c r="R428" s="1032"/>
    </row>
    <row r="429" spans="18:18">
      <c r="R429" s="1032"/>
    </row>
    <row r="430" spans="18:18">
      <c r="R430" s="1032"/>
    </row>
    <row r="431" spans="18:18">
      <c r="R431" s="1032"/>
    </row>
    <row r="432" spans="18:18">
      <c r="R432" s="1032"/>
    </row>
    <row r="433" spans="18:18">
      <c r="R433" s="1032"/>
    </row>
    <row r="434" spans="18:18">
      <c r="R434" s="1032"/>
    </row>
    <row r="435" spans="18:18">
      <c r="R435" s="1032"/>
    </row>
    <row r="436" spans="18:18">
      <c r="R436" s="1032"/>
    </row>
    <row r="437" spans="18:18">
      <c r="R437" s="1032"/>
    </row>
    <row r="438" spans="18:18">
      <c r="R438" s="1032"/>
    </row>
    <row r="439" spans="18:18">
      <c r="R439" s="1032"/>
    </row>
    <row r="440" spans="18:18">
      <c r="R440" s="1032"/>
    </row>
    <row r="441" spans="18:18">
      <c r="R441" s="1032"/>
    </row>
    <row r="442" spans="18:18">
      <c r="R442" s="1032"/>
    </row>
    <row r="443" spans="18:18">
      <c r="R443" s="1032"/>
    </row>
    <row r="444" spans="18:18">
      <c r="R444" s="1032"/>
    </row>
    <row r="445" spans="18:18">
      <c r="R445" s="1032"/>
    </row>
    <row r="446" spans="18:18">
      <c r="R446" s="1032"/>
    </row>
    <row r="447" spans="18:18">
      <c r="R447" s="1032"/>
    </row>
    <row r="448" spans="18:18">
      <c r="R448" s="1032"/>
    </row>
    <row r="449" spans="18:18">
      <c r="R449" s="1032"/>
    </row>
    <row r="450" spans="18:18">
      <c r="R450" s="1032"/>
    </row>
    <row r="451" spans="18:18">
      <c r="R451" s="1032"/>
    </row>
    <row r="452" spans="18:18">
      <c r="R452" s="1032"/>
    </row>
    <row r="453" spans="18:18">
      <c r="R453" s="1032"/>
    </row>
    <row r="454" spans="18:18">
      <c r="R454" s="1032"/>
    </row>
    <row r="455" spans="18:18">
      <c r="R455" s="1032"/>
    </row>
    <row r="456" spans="18:18">
      <c r="R456" s="1032"/>
    </row>
    <row r="457" spans="18:18">
      <c r="R457" s="1032"/>
    </row>
    <row r="458" spans="18:18">
      <c r="R458" s="1032"/>
    </row>
    <row r="459" spans="18:18">
      <c r="R459" s="1032"/>
    </row>
    <row r="460" spans="18:18">
      <c r="R460" s="1032"/>
    </row>
    <row r="461" spans="18:18">
      <c r="R461" s="1032"/>
    </row>
    <row r="462" spans="18:18">
      <c r="R462" s="1032"/>
    </row>
    <row r="463" spans="18:18">
      <c r="R463" s="1032"/>
    </row>
    <row r="464" spans="18:18">
      <c r="R464" s="1032"/>
    </row>
    <row r="465" spans="18:18">
      <c r="R465" s="1032"/>
    </row>
    <row r="466" spans="18:18">
      <c r="R466" s="1032"/>
    </row>
    <row r="467" spans="18:18">
      <c r="R467" s="1032"/>
    </row>
    <row r="468" spans="18:18">
      <c r="R468" s="1032"/>
    </row>
    <row r="469" spans="18:18">
      <c r="R469" s="1032"/>
    </row>
    <row r="470" spans="18:18">
      <c r="R470" s="1032"/>
    </row>
    <row r="471" spans="18:18">
      <c r="R471" s="1032"/>
    </row>
    <row r="472" spans="18:18">
      <c r="R472" s="1032"/>
    </row>
    <row r="473" spans="18:18">
      <c r="R473" s="1032"/>
    </row>
    <row r="474" spans="18:18">
      <c r="R474" s="1032"/>
    </row>
    <row r="475" spans="18:18">
      <c r="R475" s="1032"/>
    </row>
    <row r="476" spans="18:18">
      <c r="R476" s="1032"/>
    </row>
    <row r="477" spans="18:18">
      <c r="R477" s="1032"/>
    </row>
    <row r="478" spans="18:18">
      <c r="R478" s="1032"/>
    </row>
    <row r="479" spans="18:18">
      <c r="R479" s="1032"/>
    </row>
    <row r="480" spans="18:18">
      <c r="R480" s="1032"/>
    </row>
    <row r="481" spans="18:18">
      <c r="R481" s="1032"/>
    </row>
    <row r="482" spans="18:18">
      <c r="R482" s="1032"/>
    </row>
    <row r="483" spans="18:18">
      <c r="R483" s="1032"/>
    </row>
    <row r="484" spans="18:18">
      <c r="R484" s="1032"/>
    </row>
    <row r="485" spans="18:18">
      <c r="R485" s="1032"/>
    </row>
    <row r="486" spans="18:18">
      <c r="R486" s="1032"/>
    </row>
    <row r="487" spans="18:18">
      <c r="R487" s="1032"/>
    </row>
    <row r="488" spans="18:18">
      <c r="R488" s="1032"/>
    </row>
    <row r="489" spans="18:18">
      <c r="R489" s="1032"/>
    </row>
    <row r="490" spans="18:18">
      <c r="R490" s="1032"/>
    </row>
    <row r="491" spans="18:18">
      <c r="R491" s="1032"/>
    </row>
    <row r="492" spans="18:18">
      <c r="R492" s="1032"/>
    </row>
    <row r="493" spans="18:18">
      <c r="R493" s="1032"/>
    </row>
    <row r="494" spans="18:18">
      <c r="R494" s="1032"/>
    </row>
    <row r="495" spans="18:18">
      <c r="R495" s="1032"/>
    </row>
    <row r="496" spans="18:18">
      <c r="R496" s="1032"/>
    </row>
    <row r="497" spans="18:18">
      <c r="R497" s="1032"/>
    </row>
    <row r="498" spans="18:18">
      <c r="R498" s="1032"/>
    </row>
    <row r="499" spans="18:18">
      <c r="R499" s="1032"/>
    </row>
    <row r="500" spans="18:18">
      <c r="R500" s="1032"/>
    </row>
    <row r="501" spans="18:18">
      <c r="R501" s="1032"/>
    </row>
    <row r="502" spans="18:18">
      <c r="R502" s="1032"/>
    </row>
    <row r="503" spans="18:18">
      <c r="R503" s="1032"/>
    </row>
    <row r="504" spans="18:18">
      <c r="R504" s="1032"/>
    </row>
    <row r="505" spans="18:18">
      <c r="R505" s="1032"/>
    </row>
    <row r="506" spans="18:18">
      <c r="R506" s="1032"/>
    </row>
    <row r="507" spans="18:18">
      <c r="R507" s="1032"/>
    </row>
    <row r="508" spans="18:18">
      <c r="R508" s="1032"/>
    </row>
    <row r="509" spans="18:18">
      <c r="R509" s="1032"/>
    </row>
    <row r="510" spans="18:18">
      <c r="R510" s="1032"/>
    </row>
    <row r="511" spans="18:18">
      <c r="R511" s="1032"/>
    </row>
    <row r="512" spans="18:18">
      <c r="R512" s="1032"/>
    </row>
    <row r="513" spans="18:18">
      <c r="R513" s="1032"/>
    </row>
    <row r="514" spans="18:18">
      <c r="R514" s="1032"/>
    </row>
    <row r="515" spans="18:18">
      <c r="R515" s="1032"/>
    </row>
    <row r="516" spans="18:18">
      <c r="R516" s="1032"/>
    </row>
    <row r="517" spans="18:18">
      <c r="R517" s="1032"/>
    </row>
    <row r="518" spans="18:18">
      <c r="R518" s="1032"/>
    </row>
    <row r="519" spans="18:18">
      <c r="R519" s="1032"/>
    </row>
    <row r="520" spans="18:18">
      <c r="R520" s="1032"/>
    </row>
    <row r="521" spans="18:18">
      <c r="R521" s="1032"/>
    </row>
    <row r="522" spans="18:18">
      <c r="R522" s="1032"/>
    </row>
    <row r="523" spans="18:18">
      <c r="R523" s="1032"/>
    </row>
    <row r="524" spans="18:18">
      <c r="R524" s="1032"/>
    </row>
    <row r="525" spans="18:18">
      <c r="R525" s="1032"/>
    </row>
    <row r="526" spans="18:18">
      <c r="R526" s="1032"/>
    </row>
    <row r="527" spans="18:18">
      <c r="R527" s="1032"/>
    </row>
    <row r="528" spans="18:18">
      <c r="R528" s="1032"/>
    </row>
    <row r="529" spans="18:18">
      <c r="R529" s="1032"/>
    </row>
    <row r="530" spans="18:18">
      <c r="R530" s="1032"/>
    </row>
    <row r="531" spans="18:18">
      <c r="R531" s="1032"/>
    </row>
    <row r="532" spans="18:18">
      <c r="R532" s="1032"/>
    </row>
    <row r="533" spans="18:18">
      <c r="R533" s="1032"/>
    </row>
    <row r="534" spans="18:18">
      <c r="R534" s="1032"/>
    </row>
    <row r="535" spans="18:18">
      <c r="R535" s="1032"/>
    </row>
    <row r="536" spans="18:18">
      <c r="R536" s="1032"/>
    </row>
    <row r="537" spans="18:18">
      <c r="R537" s="1032"/>
    </row>
    <row r="538" spans="18:18">
      <c r="R538" s="1032"/>
    </row>
    <row r="539" spans="18:18">
      <c r="R539" s="1032"/>
    </row>
    <row r="540" spans="18:18">
      <c r="R540" s="1032"/>
    </row>
    <row r="541" spans="18:18">
      <c r="R541" s="1032"/>
    </row>
    <row r="542" spans="18:18">
      <c r="R542" s="1032"/>
    </row>
    <row r="543" spans="18:18">
      <c r="R543" s="1032"/>
    </row>
    <row r="544" spans="18:18">
      <c r="R544" s="1032"/>
    </row>
    <row r="545" spans="18:18">
      <c r="R545" s="1032"/>
    </row>
    <row r="546" spans="18:18">
      <c r="R546" s="1032"/>
    </row>
    <row r="547" spans="18:18">
      <c r="R547" s="1032"/>
    </row>
    <row r="548" spans="18:18">
      <c r="R548" s="1032"/>
    </row>
    <row r="549" spans="18:18">
      <c r="R549" s="1032"/>
    </row>
    <row r="550" spans="18:18">
      <c r="R550" s="1032"/>
    </row>
    <row r="551" spans="18:18">
      <c r="R551" s="1032"/>
    </row>
    <row r="552" spans="18:18">
      <c r="R552" s="1032"/>
    </row>
    <row r="553" spans="18:18">
      <c r="R553" s="1032"/>
    </row>
    <row r="554" spans="18:18">
      <c r="R554" s="1032"/>
    </row>
    <row r="555" spans="18:18">
      <c r="R555" s="1032"/>
    </row>
    <row r="556" spans="18:18">
      <c r="R556" s="1032"/>
    </row>
    <row r="557" spans="18:18">
      <c r="R557" s="1032"/>
    </row>
    <row r="558" spans="18:18">
      <c r="R558" s="1032"/>
    </row>
    <row r="559" spans="18:18">
      <c r="R559" s="1032"/>
    </row>
    <row r="560" spans="18:18">
      <c r="R560" s="1032"/>
    </row>
    <row r="561" spans="18:18">
      <c r="R561" s="1032"/>
    </row>
    <row r="562" spans="18:18">
      <c r="R562" s="1032"/>
    </row>
    <row r="563" spans="18:18">
      <c r="R563" s="1032"/>
    </row>
    <row r="564" spans="18:18">
      <c r="R564" s="1032"/>
    </row>
    <row r="565" spans="18:18">
      <c r="R565" s="1032"/>
    </row>
    <row r="566" spans="18:18">
      <c r="R566" s="1032"/>
    </row>
    <row r="567" spans="18:18">
      <c r="R567" s="1032"/>
    </row>
    <row r="568" spans="18:18">
      <c r="R568" s="1032"/>
    </row>
    <row r="569" spans="18:18">
      <c r="R569" s="1032"/>
    </row>
    <row r="570" spans="18:18">
      <c r="R570" s="1032"/>
    </row>
    <row r="571" spans="18:18">
      <c r="R571" s="1032"/>
    </row>
    <row r="572" spans="18:18">
      <c r="R572" s="1032"/>
    </row>
    <row r="573" spans="18:18">
      <c r="R573" s="1032"/>
    </row>
    <row r="574" spans="18:18">
      <c r="R574" s="1032"/>
    </row>
    <row r="575" spans="18:18">
      <c r="R575" s="1032"/>
    </row>
    <row r="576" spans="18:18">
      <c r="R576" s="1032"/>
    </row>
    <row r="577" spans="18:18">
      <c r="R577" s="1032"/>
    </row>
    <row r="578" spans="18:18">
      <c r="R578" s="1032"/>
    </row>
    <row r="579" spans="18:18">
      <c r="R579" s="1032"/>
    </row>
    <row r="580" spans="18:18">
      <c r="R580" s="1032"/>
    </row>
    <row r="581" spans="18:18">
      <c r="R581" s="1032"/>
    </row>
    <row r="582" spans="18:18">
      <c r="R582" s="1032"/>
    </row>
    <row r="583" spans="18:18">
      <c r="R583" s="1032"/>
    </row>
    <row r="584" spans="18:18">
      <c r="R584" s="1032"/>
    </row>
    <row r="585" spans="18:18">
      <c r="R585" s="1032"/>
    </row>
    <row r="586" spans="18:18">
      <c r="R586" s="1032"/>
    </row>
    <row r="587" spans="18:18">
      <c r="R587" s="1032"/>
    </row>
    <row r="588" spans="18:18">
      <c r="R588" s="1032"/>
    </row>
    <row r="589" spans="18:18">
      <c r="R589" s="1032"/>
    </row>
    <row r="590" spans="18:18">
      <c r="R590" s="1032"/>
    </row>
    <row r="591" spans="18:18">
      <c r="R591" s="1032"/>
    </row>
    <row r="592" spans="18:18">
      <c r="R592" s="1032"/>
    </row>
    <row r="593" spans="18:18">
      <c r="R593" s="1032"/>
    </row>
    <row r="594" spans="18:18">
      <c r="R594" s="1032"/>
    </row>
    <row r="595" spans="18:18">
      <c r="R595" s="1032"/>
    </row>
    <row r="596" spans="18:18">
      <c r="R596" s="1032"/>
    </row>
    <row r="597" spans="18:18">
      <c r="R597" s="1032"/>
    </row>
    <row r="598" spans="18:18">
      <c r="R598" s="1032"/>
    </row>
    <row r="599" spans="18:18">
      <c r="R599" s="1032"/>
    </row>
    <row r="600" spans="18:18">
      <c r="R600" s="1032"/>
    </row>
    <row r="601" spans="18:18">
      <c r="R601" s="1032"/>
    </row>
    <row r="602" spans="18:18">
      <c r="R602" s="1032"/>
    </row>
    <row r="603" spans="18:18">
      <c r="R603" s="1032"/>
    </row>
    <row r="604" spans="18:18">
      <c r="R604" s="1032"/>
    </row>
    <row r="605" spans="18:18">
      <c r="R605" s="1032"/>
    </row>
    <row r="606" spans="18:18">
      <c r="R606" s="1032"/>
    </row>
    <row r="607" spans="18:18">
      <c r="R607" s="1032"/>
    </row>
    <row r="608" spans="18:18">
      <c r="R608" s="1032"/>
    </row>
    <row r="609" spans="18:18">
      <c r="R609" s="1032"/>
    </row>
    <row r="610" spans="18:18">
      <c r="R610" s="1032"/>
    </row>
    <row r="611" spans="18:18">
      <c r="R611" s="1032"/>
    </row>
    <row r="612" spans="18:18">
      <c r="R612" s="1032"/>
    </row>
    <row r="613" spans="18:18">
      <c r="R613" s="1032"/>
    </row>
    <row r="614" spans="18:18">
      <c r="R614" s="1032"/>
    </row>
    <row r="615" spans="18:18">
      <c r="R615" s="1032"/>
    </row>
    <row r="616" spans="18:18">
      <c r="R616" s="1032"/>
    </row>
    <row r="617" spans="18:18">
      <c r="R617" s="1032"/>
    </row>
    <row r="618" spans="18:18">
      <c r="R618" s="1032"/>
    </row>
    <row r="619" spans="18:18">
      <c r="R619" s="1032"/>
    </row>
    <row r="620" spans="18:18">
      <c r="R620" s="1032"/>
    </row>
    <row r="621" spans="18:18">
      <c r="R621" s="1032"/>
    </row>
    <row r="622" spans="18:18">
      <c r="R622" s="1032"/>
    </row>
    <row r="623" spans="18:18">
      <c r="R623" s="1032"/>
    </row>
    <row r="624" spans="18:18">
      <c r="R624" s="1032"/>
    </row>
    <row r="625" spans="18:18">
      <c r="R625" s="1032"/>
    </row>
    <row r="626" spans="18:18">
      <c r="R626" s="1032"/>
    </row>
    <row r="627" spans="18:18">
      <c r="R627" s="1032"/>
    </row>
    <row r="628" spans="18:18">
      <c r="R628" s="1032"/>
    </row>
    <row r="629" spans="18:18">
      <c r="R629" s="1032"/>
    </row>
    <row r="630" spans="18:18">
      <c r="R630" s="1032"/>
    </row>
    <row r="631" spans="18:18">
      <c r="R631" s="1032"/>
    </row>
    <row r="632" spans="18:18">
      <c r="R632" s="1032"/>
    </row>
    <row r="633" spans="18:18">
      <c r="R633" s="1032"/>
    </row>
    <row r="634" spans="18:18">
      <c r="R634" s="1032"/>
    </row>
    <row r="635" spans="18:18">
      <c r="R635" s="1032"/>
    </row>
    <row r="636" spans="18:18">
      <c r="R636" s="1032"/>
    </row>
    <row r="637" spans="18:18">
      <c r="R637" s="1032"/>
    </row>
    <row r="638" spans="18:18">
      <c r="R638" s="1032"/>
    </row>
    <row r="639" spans="18:18">
      <c r="R639" s="1032"/>
    </row>
    <row r="640" spans="18:18">
      <c r="R640" s="1032"/>
    </row>
    <row r="641" spans="18:18">
      <c r="R641" s="1032"/>
    </row>
    <row r="642" spans="18:18">
      <c r="R642" s="1032"/>
    </row>
    <row r="643" spans="18:18">
      <c r="R643" s="1032"/>
    </row>
    <row r="644" spans="18:18">
      <c r="R644" s="1032"/>
    </row>
    <row r="645" spans="18:18">
      <c r="R645" s="1032"/>
    </row>
    <row r="646" spans="18:18">
      <c r="R646" s="1032"/>
    </row>
    <row r="647" spans="18:18">
      <c r="R647" s="1032"/>
    </row>
    <row r="648" spans="18:18">
      <c r="R648" s="1032"/>
    </row>
    <row r="649" spans="18:18">
      <c r="R649" s="1032"/>
    </row>
    <row r="650" spans="18:18">
      <c r="R650" s="1032"/>
    </row>
    <row r="651" spans="18:18">
      <c r="R651" s="1032"/>
    </row>
    <row r="652" spans="18:18">
      <c r="R652" s="1032"/>
    </row>
    <row r="653" spans="18:18">
      <c r="R653" s="1032"/>
    </row>
    <row r="654" spans="18:18">
      <c r="R654" s="1032"/>
    </row>
    <row r="655" spans="18:18">
      <c r="R655" s="1032"/>
    </row>
    <row r="656" spans="18:18">
      <c r="R656" s="1032"/>
    </row>
    <row r="657" spans="18:18">
      <c r="R657" s="1032"/>
    </row>
    <row r="658" spans="18:18">
      <c r="R658" s="1032"/>
    </row>
    <row r="659" spans="18:18">
      <c r="R659" s="1032"/>
    </row>
    <row r="660" spans="18:18">
      <c r="R660" s="1032"/>
    </row>
    <row r="661" spans="18:18">
      <c r="R661" s="1032"/>
    </row>
    <row r="662" spans="18:18">
      <c r="R662" s="1032"/>
    </row>
    <row r="663" spans="18:18">
      <c r="R663" s="1032"/>
    </row>
    <row r="664" spans="18:18">
      <c r="R664" s="1032"/>
    </row>
    <row r="665" spans="18:18">
      <c r="R665" s="1032"/>
    </row>
    <row r="666" spans="18:18">
      <c r="R666" s="1032"/>
    </row>
    <row r="667" spans="18:18">
      <c r="R667" s="1032"/>
    </row>
    <row r="668" spans="18:18">
      <c r="R668" s="1032"/>
    </row>
    <row r="669" spans="18:18">
      <c r="R669" s="1032"/>
    </row>
    <row r="670" spans="18:18">
      <c r="R670" s="1032"/>
    </row>
    <row r="671" spans="18:18">
      <c r="R671" s="1032"/>
    </row>
    <row r="672" spans="18:18">
      <c r="R672" s="1032"/>
    </row>
    <row r="673" spans="18:18">
      <c r="R673" s="1032"/>
    </row>
    <row r="674" spans="18:18">
      <c r="R674" s="1032"/>
    </row>
    <row r="675" spans="18:18">
      <c r="R675" s="1032"/>
    </row>
    <row r="676" spans="18:18">
      <c r="R676" s="1032"/>
    </row>
    <row r="677" spans="18:18">
      <c r="R677" s="1032"/>
    </row>
    <row r="678" spans="18:18">
      <c r="R678" s="1032"/>
    </row>
    <row r="679" spans="18:18">
      <c r="R679" s="1032"/>
    </row>
    <row r="680" spans="18:18">
      <c r="R680" s="1032"/>
    </row>
    <row r="681" spans="18:18">
      <c r="R681" s="1032"/>
    </row>
    <row r="682" spans="18:18">
      <c r="R682" s="1032"/>
    </row>
    <row r="683" spans="18:18">
      <c r="R683" s="1032"/>
    </row>
    <row r="684" spans="18:18">
      <c r="R684" s="1032"/>
    </row>
    <row r="685" spans="18:18">
      <c r="R685" s="1032"/>
    </row>
    <row r="686" spans="18:18">
      <c r="R686" s="1032"/>
    </row>
    <row r="687" spans="18:18">
      <c r="R687" s="1032"/>
    </row>
    <row r="688" spans="18:18">
      <c r="R688" s="1032"/>
    </row>
    <row r="689" spans="18:18">
      <c r="R689" s="1032"/>
    </row>
    <row r="690" spans="18:18">
      <c r="R690" s="1032"/>
    </row>
    <row r="691" spans="18:18">
      <c r="R691" s="1032"/>
    </row>
    <row r="692" spans="18:18">
      <c r="R692" s="1032"/>
    </row>
    <row r="693" spans="18:18">
      <c r="R693" s="1032"/>
    </row>
    <row r="694" spans="18:18">
      <c r="R694" s="1032"/>
    </row>
    <row r="695" spans="18:18">
      <c r="R695" s="1032"/>
    </row>
    <row r="696" spans="18:18">
      <c r="R696" s="1032"/>
    </row>
    <row r="697" spans="18:18">
      <c r="R697" s="1032"/>
    </row>
    <row r="698" spans="18:18">
      <c r="R698" s="1032"/>
    </row>
    <row r="699" spans="18:18">
      <c r="R699" s="1032"/>
    </row>
    <row r="700" spans="18:18">
      <c r="R700" s="1032"/>
    </row>
    <row r="701" spans="18:18">
      <c r="R701" s="1032"/>
    </row>
    <row r="702" spans="18:18">
      <c r="R702" s="1032"/>
    </row>
    <row r="703" spans="18:18">
      <c r="R703" s="1032"/>
    </row>
    <row r="704" spans="18:18">
      <c r="R704" s="1032"/>
    </row>
    <row r="705" spans="18:18">
      <c r="R705" s="1032"/>
    </row>
    <row r="706" spans="18:18">
      <c r="R706" s="1032"/>
    </row>
    <row r="707" spans="18:18">
      <c r="R707" s="1032"/>
    </row>
    <row r="708" spans="18:18">
      <c r="R708" s="1032"/>
    </row>
    <row r="709" spans="18:18">
      <c r="R709" s="1032"/>
    </row>
    <row r="710" spans="18:18">
      <c r="R710" s="1032"/>
    </row>
    <row r="711" spans="18:18">
      <c r="R711" s="1032"/>
    </row>
    <row r="712" spans="18:18">
      <c r="R712" s="1032"/>
    </row>
    <row r="713" spans="18:18">
      <c r="R713" s="1032"/>
    </row>
    <row r="714" spans="18:18">
      <c r="R714" s="1032"/>
    </row>
    <row r="715" spans="18:18">
      <c r="R715" s="1032"/>
    </row>
    <row r="716" spans="18:18">
      <c r="R716" s="1032"/>
    </row>
    <row r="717" spans="18:18">
      <c r="R717" s="1032"/>
    </row>
    <row r="718" spans="18:18">
      <c r="R718" s="1032"/>
    </row>
    <row r="719" spans="18:18">
      <c r="R719" s="1032"/>
    </row>
    <row r="720" spans="18:18">
      <c r="R720" s="1032"/>
    </row>
    <row r="721" spans="18:18">
      <c r="R721" s="1032"/>
    </row>
    <row r="722" spans="18:18">
      <c r="R722" s="1032"/>
    </row>
    <row r="723" spans="18:18">
      <c r="R723" s="1032"/>
    </row>
    <row r="724" spans="18:18">
      <c r="R724" s="1032"/>
    </row>
    <row r="725" spans="18:18">
      <c r="R725" s="1032"/>
    </row>
    <row r="726" spans="18:18">
      <c r="R726" s="1032"/>
    </row>
    <row r="727" spans="18:18">
      <c r="R727" s="1032"/>
    </row>
    <row r="728" spans="18:18">
      <c r="R728" s="1032"/>
    </row>
    <row r="729" spans="18:18">
      <c r="R729" s="1032"/>
    </row>
    <row r="730" spans="18:18">
      <c r="R730" s="1032"/>
    </row>
    <row r="731" spans="18:18">
      <c r="R731" s="1032"/>
    </row>
    <row r="732" spans="18:18">
      <c r="R732" s="1032"/>
    </row>
    <row r="733" spans="18:18">
      <c r="R733" s="1032"/>
    </row>
    <row r="734" spans="18:18">
      <c r="R734" s="1032"/>
    </row>
    <row r="735" spans="18:18">
      <c r="R735" s="1032"/>
    </row>
    <row r="736" spans="18:18">
      <c r="R736" s="1032"/>
    </row>
    <row r="737" spans="18:18">
      <c r="R737" s="1032"/>
    </row>
    <row r="738" spans="18:18">
      <c r="R738" s="1032"/>
    </row>
    <row r="739" spans="18:18">
      <c r="R739" s="1032"/>
    </row>
    <row r="740" spans="18:18">
      <c r="R740" s="1032"/>
    </row>
    <row r="741" spans="18:18">
      <c r="R741" s="1032"/>
    </row>
    <row r="742" spans="18:18">
      <c r="R742" s="1032"/>
    </row>
    <row r="743" spans="18:18">
      <c r="R743" s="1032"/>
    </row>
    <row r="744" spans="18:18">
      <c r="R744" s="1032"/>
    </row>
    <row r="745" spans="18:18">
      <c r="R745" s="1032"/>
    </row>
    <row r="746" spans="18:18">
      <c r="R746" s="1032"/>
    </row>
    <row r="747" spans="18:18">
      <c r="R747" s="1032"/>
    </row>
    <row r="748" spans="18:18">
      <c r="R748" s="1032"/>
    </row>
    <row r="749" spans="18:18">
      <c r="R749" s="1032"/>
    </row>
    <row r="750" spans="18:18">
      <c r="R750" s="1032"/>
    </row>
    <row r="751" spans="18:18">
      <c r="R751" s="1032"/>
    </row>
    <row r="752" spans="18:18">
      <c r="R752" s="1032"/>
    </row>
    <row r="753" spans="18:18">
      <c r="R753" s="1032"/>
    </row>
    <row r="754" spans="18:18">
      <c r="R754" s="1032"/>
    </row>
    <row r="755" spans="18:18">
      <c r="R755" s="1032"/>
    </row>
    <row r="756" spans="18:18">
      <c r="R756" s="1032"/>
    </row>
    <row r="757" spans="18:18">
      <c r="R757" s="1032"/>
    </row>
    <row r="758" spans="18:18">
      <c r="R758" s="1032"/>
    </row>
    <row r="759" spans="18:18">
      <c r="R759" s="1032"/>
    </row>
    <row r="760" spans="18:18">
      <c r="R760" s="1032"/>
    </row>
    <row r="761" spans="18:18">
      <c r="R761" s="1032"/>
    </row>
    <row r="762" spans="18:18">
      <c r="R762" s="1032"/>
    </row>
    <row r="763" spans="18:18">
      <c r="R763" s="1032"/>
    </row>
    <row r="764" spans="18:18">
      <c r="R764" s="1032"/>
    </row>
    <row r="765" spans="18:18">
      <c r="R765" s="1032"/>
    </row>
    <row r="766" spans="18:18">
      <c r="R766" s="1032"/>
    </row>
    <row r="767" spans="18:18">
      <c r="R767" s="1032"/>
    </row>
    <row r="768" spans="18:18">
      <c r="R768" s="1032"/>
    </row>
    <row r="769" spans="18:18">
      <c r="R769" s="1032"/>
    </row>
    <row r="770" spans="18:18">
      <c r="R770" s="1032"/>
    </row>
    <row r="771" spans="18:18">
      <c r="R771" s="1032"/>
    </row>
    <row r="772" spans="18:18">
      <c r="R772" s="1032"/>
    </row>
    <row r="773" spans="18:18">
      <c r="R773" s="1032"/>
    </row>
    <row r="774" spans="18:18">
      <c r="R774" s="1032"/>
    </row>
    <row r="775" spans="18:18">
      <c r="R775" s="1032"/>
    </row>
    <row r="776" spans="18:18">
      <c r="R776" s="1032"/>
    </row>
    <row r="777" spans="18:18">
      <c r="R777" s="1032"/>
    </row>
    <row r="778" spans="18:18">
      <c r="R778" s="1032"/>
    </row>
    <row r="779" spans="18:18">
      <c r="R779" s="1032"/>
    </row>
    <row r="780" spans="18:18">
      <c r="R780" s="1032"/>
    </row>
    <row r="781" spans="18:18">
      <c r="R781" s="1032"/>
    </row>
    <row r="782" spans="18:18">
      <c r="R782" s="1032"/>
    </row>
    <row r="783" spans="18:18">
      <c r="R783" s="1032"/>
    </row>
    <row r="784" spans="18:18">
      <c r="R784" s="1032"/>
    </row>
    <row r="785" spans="18:18">
      <c r="R785" s="1032"/>
    </row>
    <row r="786" spans="18:18">
      <c r="R786" s="1032"/>
    </row>
    <row r="787" spans="18:18">
      <c r="R787" s="1032"/>
    </row>
    <row r="788" spans="18:18">
      <c r="R788" s="1032"/>
    </row>
    <row r="789" spans="18:18">
      <c r="R789" s="1032"/>
    </row>
    <row r="790" spans="18:18">
      <c r="R790" s="1032"/>
    </row>
    <row r="791" spans="18:18">
      <c r="R791" s="1032"/>
    </row>
    <row r="792" spans="18:18">
      <c r="R792" s="1032"/>
    </row>
    <row r="793" spans="18:18">
      <c r="R793" s="1032"/>
    </row>
    <row r="794" spans="18:18">
      <c r="R794" s="1032"/>
    </row>
    <row r="795" spans="18:18">
      <c r="R795" s="1032"/>
    </row>
    <row r="796" spans="18:18">
      <c r="R796" s="1032"/>
    </row>
    <row r="797" spans="18:18">
      <c r="R797" s="1032"/>
    </row>
    <row r="798" spans="18:18">
      <c r="R798" s="1032"/>
    </row>
    <row r="799" spans="18:18">
      <c r="R799" s="1032"/>
    </row>
    <row r="800" spans="18:18">
      <c r="R800" s="1032"/>
    </row>
    <row r="801" spans="18:18">
      <c r="R801" s="1032"/>
    </row>
    <row r="802" spans="18:18">
      <c r="R802" s="1032"/>
    </row>
    <row r="803" spans="18:18">
      <c r="R803" s="1032"/>
    </row>
    <row r="804" spans="18:18">
      <c r="R804" s="1032"/>
    </row>
    <row r="805" spans="18:18">
      <c r="R805" s="1032"/>
    </row>
    <row r="806" spans="18:18">
      <c r="R806" s="1032"/>
    </row>
    <row r="807" spans="18:18">
      <c r="R807" s="1032"/>
    </row>
    <row r="808" spans="18:18">
      <c r="R808" s="1032"/>
    </row>
    <row r="809" spans="18:18">
      <c r="R809" s="1032"/>
    </row>
    <row r="810" spans="18:18">
      <c r="R810" s="1032"/>
    </row>
    <row r="811" spans="18:18">
      <c r="R811" s="1032"/>
    </row>
    <row r="812" spans="18:18">
      <c r="R812" s="1032"/>
    </row>
    <row r="813" spans="18:18">
      <c r="R813" s="1032"/>
    </row>
    <row r="814" spans="18:18">
      <c r="R814" s="1032"/>
    </row>
    <row r="815" spans="18:18">
      <c r="R815" s="1032"/>
    </row>
    <row r="816" spans="18:18">
      <c r="R816" s="1032"/>
    </row>
    <row r="817" spans="18:18">
      <c r="R817" s="1032"/>
    </row>
    <row r="818" spans="18:18">
      <c r="R818" s="1032"/>
    </row>
    <row r="819" spans="18:18">
      <c r="R819" s="1032"/>
    </row>
    <row r="820" spans="18:18">
      <c r="R820" s="1032"/>
    </row>
    <row r="821" spans="18:18">
      <c r="R821" s="1032"/>
    </row>
    <row r="822" spans="18:18">
      <c r="R822" s="1032"/>
    </row>
    <row r="823" spans="18:18">
      <c r="R823" s="1032"/>
    </row>
    <row r="824" spans="18:18">
      <c r="R824" s="1032"/>
    </row>
    <row r="825" spans="18:18">
      <c r="R825" s="1032"/>
    </row>
    <row r="826" spans="18:18">
      <c r="R826" s="1032"/>
    </row>
    <row r="827" spans="18:18">
      <c r="R827" s="1032"/>
    </row>
    <row r="828" spans="18:18">
      <c r="R828" s="1032"/>
    </row>
    <row r="829" spans="18:18">
      <c r="R829" s="1032"/>
    </row>
    <row r="830" spans="18:18">
      <c r="R830" s="1032"/>
    </row>
    <row r="831" spans="18:18">
      <c r="R831" s="1032"/>
    </row>
    <row r="832" spans="18:18">
      <c r="R832" s="1032"/>
    </row>
    <row r="833" spans="18:18">
      <c r="R833" s="1032"/>
    </row>
    <row r="834" spans="18:18">
      <c r="R834" s="1032"/>
    </row>
    <row r="835" spans="18:18">
      <c r="R835" s="1032"/>
    </row>
    <row r="836" spans="18:18">
      <c r="R836" s="1032"/>
    </row>
    <row r="837" spans="18:18">
      <c r="R837" s="1032"/>
    </row>
    <row r="838" spans="18:18">
      <c r="R838" s="1032"/>
    </row>
    <row r="839" spans="18:18">
      <c r="R839" s="1032"/>
    </row>
    <row r="840" spans="18:18">
      <c r="R840" s="1032"/>
    </row>
    <row r="841" spans="18:18">
      <c r="R841" s="1032"/>
    </row>
    <row r="842" spans="18:18">
      <c r="R842" s="1032"/>
    </row>
    <row r="843" spans="18:18">
      <c r="R843" s="1032"/>
    </row>
    <row r="844" spans="18:18">
      <c r="R844" s="1032"/>
    </row>
    <row r="845" spans="18:18">
      <c r="R845" s="1032"/>
    </row>
    <row r="846" spans="18:18">
      <c r="R846" s="1032"/>
    </row>
    <row r="847" spans="18:18">
      <c r="R847" s="1032"/>
    </row>
    <row r="848" spans="18:18">
      <c r="R848" s="1032"/>
    </row>
    <row r="849" spans="18:18">
      <c r="R849" s="1032"/>
    </row>
    <row r="850" spans="18:18">
      <c r="R850" s="1032"/>
    </row>
    <row r="851" spans="18:18">
      <c r="R851" s="1032"/>
    </row>
    <row r="852" spans="18:18">
      <c r="R852" s="1032"/>
    </row>
    <row r="853" spans="18:18">
      <c r="R853" s="1032"/>
    </row>
    <row r="854" spans="18:18">
      <c r="R854" s="1032"/>
    </row>
    <row r="855" spans="18:18">
      <c r="R855" s="1032"/>
    </row>
    <row r="856" spans="18:18">
      <c r="R856" s="1032"/>
    </row>
    <row r="857" spans="18:18">
      <c r="R857" s="1032"/>
    </row>
    <row r="858" spans="18:18">
      <c r="R858" s="1032"/>
    </row>
    <row r="859" spans="18:18">
      <c r="R859" s="1032"/>
    </row>
    <row r="860" spans="18:18">
      <c r="R860" s="1032"/>
    </row>
    <row r="861" spans="18:18">
      <c r="R861" s="1032"/>
    </row>
    <row r="862" spans="18:18">
      <c r="R862" s="1032"/>
    </row>
    <row r="863" spans="18:18">
      <c r="R863" s="1032"/>
    </row>
    <row r="864" spans="18:18">
      <c r="R864" s="1032"/>
    </row>
    <row r="865" spans="18:18">
      <c r="R865" s="1032"/>
    </row>
    <row r="866" spans="18:18">
      <c r="R866" s="1032"/>
    </row>
    <row r="867" spans="18:18">
      <c r="R867" s="1032"/>
    </row>
    <row r="868" spans="18:18">
      <c r="R868" s="1032"/>
    </row>
    <row r="869" spans="18:18">
      <c r="R869" s="1032"/>
    </row>
    <row r="870" spans="18:18">
      <c r="R870" s="1032"/>
    </row>
    <row r="871" spans="18:18">
      <c r="R871" s="1032"/>
    </row>
    <row r="872" spans="18:18">
      <c r="R872" s="1032"/>
    </row>
    <row r="873" spans="18:18">
      <c r="R873" s="1032"/>
    </row>
    <row r="874" spans="18:18">
      <c r="R874" s="1032"/>
    </row>
    <row r="875" spans="18:18">
      <c r="R875" s="1032"/>
    </row>
    <row r="876" spans="18:18">
      <c r="R876" s="1032"/>
    </row>
    <row r="877" spans="18:18">
      <c r="R877" s="1032"/>
    </row>
    <row r="878" spans="18:18">
      <c r="R878" s="1032"/>
    </row>
    <row r="879" spans="18:18">
      <c r="R879" s="1032"/>
    </row>
    <row r="880" spans="18:18">
      <c r="R880" s="1032"/>
    </row>
    <row r="881" spans="18:18">
      <c r="R881" s="1032"/>
    </row>
    <row r="882" spans="18:18">
      <c r="R882" s="1032"/>
    </row>
    <row r="883" spans="18:18">
      <c r="R883" s="1032"/>
    </row>
    <row r="884" spans="18:18">
      <c r="R884" s="1032"/>
    </row>
    <row r="885" spans="18:18">
      <c r="R885" s="1032"/>
    </row>
    <row r="886" spans="18:18">
      <c r="R886" s="1032"/>
    </row>
    <row r="887" spans="18:18">
      <c r="R887" s="1032"/>
    </row>
    <row r="888" spans="18:18">
      <c r="R888" s="1032"/>
    </row>
    <row r="889" spans="18:18">
      <c r="R889" s="1032"/>
    </row>
    <row r="890" spans="18:18">
      <c r="R890" s="1032"/>
    </row>
    <row r="891" spans="18:18">
      <c r="R891" s="1032"/>
    </row>
    <row r="892" spans="18:18">
      <c r="R892" s="1032"/>
    </row>
    <row r="893" spans="18:18">
      <c r="R893" s="1032"/>
    </row>
    <row r="894" spans="18:18">
      <c r="R894" s="1032"/>
    </row>
    <row r="895" spans="18:18">
      <c r="R895" s="1032"/>
    </row>
    <row r="896" spans="18:18">
      <c r="R896" s="1032"/>
    </row>
    <row r="897" spans="18:18">
      <c r="R897" s="1032"/>
    </row>
    <row r="898" spans="18:18">
      <c r="R898" s="1032"/>
    </row>
    <row r="899" spans="18:18">
      <c r="R899" s="1032"/>
    </row>
    <row r="900" spans="18:18">
      <c r="R900" s="1032"/>
    </row>
    <row r="901" spans="18:18">
      <c r="R901" s="1032"/>
    </row>
    <row r="902" spans="18:18">
      <c r="R902" s="1032"/>
    </row>
    <row r="903" spans="18:18">
      <c r="R903" s="1032"/>
    </row>
    <row r="904" spans="18:18">
      <c r="R904" s="1032"/>
    </row>
    <row r="905" spans="18:18">
      <c r="R905" s="1032"/>
    </row>
    <row r="906" spans="18:18">
      <c r="R906" s="1032"/>
    </row>
    <row r="907" spans="18:18">
      <c r="R907" s="1032"/>
    </row>
    <row r="908" spans="18:18">
      <c r="R908" s="1032"/>
    </row>
    <row r="909" spans="18:18">
      <c r="R909" s="1032"/>
    </row>
    <row r="910" spans="18:18">
      <c r="R910" s="1032"/>
    </row>
    <row r="911" spans="18:18">
      <c r="R911" s="1032"/>
    </row>
    <row r="912" spans="18:18">
      <c r="R912" s="1032"/>
    </row>
    <row r="913" spans="18:18">
      <c r="R913" s="1032"/>
    </row>
    <row r="914" spans="18:18">
      <c r="R914" s="1032"/>
    </row>
    <row r="915" spans="18:18">
      <c r="R915" s="1032"/>
    </row>
    <row r="916" spans="18:18">
      <c r="R916" s="1032"/>
    </row>
    <row r="917" spans="18:18">
      <c r="R917" s="1032"/>
    </row>
    <row r="918" spans="18:18">
      <c r="R918" s="1032"/>
    </row>
    <row r="919" spans="18:18">
      <c r="R919" s="1032"/>
    </row>
    <row r="920" spans="18:18">
      <c r="R920" s="1032"/>
    </row>
    <row r="921" spans="18:18">
      <c r="R921" s="1032"/>
    </row>
    <row r="922" spans="18:18">
      <c r="R922" s="1032"/>
    </row>
    <row r="923" spans="18:18">
      <c r="R923" s="1032"/>
    </row>
    <row r="924" spans="18:18">
      <c r="R924" s="1032"/>
    </row>
    <row r="925" spans="18:18">
      <c r="R925" s="1032"/>
    </row>
    <row r="926" spans="18:18">
      <c r="R926" s="1032"/>
    </row>
    <row r="927" spans="18:18">
      <c r="R927" s="1032"/>
    </row>
    <row r="928" spans="18:18">
      <c r="R928" s="1032"/>
    </row>
    <row r="929" spans="18:18">
      <c r="R929" s="1032"/>
    </row>
    <row r="930" spans="18:18">
      <c r="R930" s="1032"/>
    </row>
    <row r="931" spans="18:18">
      <c r="R931" s="1032"/>
    </row>
    <row r="932" spans="18:18">
      <c r="R932" s="1032"/>
    </row>
    <row r="933" spans="18:18">
      <c r="R933" s="1032"/>
    </row>
    <row r="934" spans="18:18">
      <c r="R934" s="1032"/>
    </row>
    <row r="935" spans="18:18">
      <c r="R935" s="1032"/>
    </row>
    <row r="936" spans="18:18">
      <c r="R936" s="1032"/>
    </row>
    <row r="937" spans="18:18">
      <c r="R937" s="1032"/>
    </row>
    <row r="938" spans="18:18">
      <c r="R938" s="1032"/>
    </row>
    <row r="939" spans="18:18">
      <c r="R939" s="1032"/>
    </row>
    <row r="940" spans="18:18">
      <c r="R940" s="1032"/>
    </row>
    <row r="941" spans="18:18">
      <c r="R941" s="1032"/>
    </row>
    <row r="942" spans="18:18">
      <c r="R942" s="1032"/>
    </row>
    <row r="943" spans="18:18">
      <c r="R943" s="1032"/>
    </row>
    <row r="944" spans="18:18">
      <c r="R944" s="1032"/>
    </row>
    <row r="945" spans="18:18">
      <c r="R945" s="1032"/>
    </row>
    <row r="946" spans="18:18">
      <c r="R946" s="1032"/>
    </row>
    <row r="947" spans="18:18">
      <c r="R947" s="1032"/>
    </row>
    <row r="948" spans="18:18">
      <c r="R948" s="1032"/>
    </row>
    <row r="949" spans="18:18">
      <c r="R949" s="1032"/>
    </row>
    <row r="950" spans="18:18">
      <c r="R950" s="1032"/>
    </row>
    <row r="951" spans="18:18">
      <c r="R951" s="1032"/>
    </row>
    <row r="952" spans="18:18">
      <c r="R952" s="1032"/>
    </row>
    <row r="953" spans="18:18">
      <c r="R953" s="1032"/>
    </row>
    <row r="954" spans="18:18">
      <c r="R954" s="1032"/>
    </row>
    <row r="955" spans="18:18">
      <c r="R955" s="1032"/>
    </row>
    <row r="956" spans="18:18">
      <c r="R956" s="1032"/>
    </row>
    <row r="957" spans="18:18">
      <c r="R957" s="1032"/>
    </row>
    <row r="958" spans="18:18">
      <c r="R958" s="1032"/>
    </row>
    <row r="959" spans="18:18">
      <c r="R959" s="1032"/>
    </row>
    <row r="960" spans="18:18">
      <c r="R960" s="1032"/>
    </row>
    <row r="961" spans="18:18">
      <c r="R961" s="1032"/>
    </row>
    <row r="962" spans="18:18">
      <c r="R962" s="1032"/>
    </row>
    <row r="963" spans="18:18">
      <c r="R963" s="1032"/>
    </row>
    <row r="964" spans="18:18">
      <c r="R964" s="1032"/>
    </row>
    <row r="965" spans="18:18">
      <c r="R965" s="1032"/>
    </row>
    <row r="966" spans="18:18">
      <c r="R966" s="1032"/>
    </row>
    <row r="967" spans="18:18">
      <c r="R967" s="1032"/>
    </row>
    <row r="968" spans="18:18">
      <c r="R968" s="1032"/>
    </row>
    <row r="969" spans="18:18">
      <c r="R969" s="1032"/>
    </row>
    <row r="970" spans="18:18">
      <c r="R970" s="1032"/>
    </row>
    <row r="971" spans="18:18">
      <c r="R971" s="1032"/>
    </row>
    <row r="972" spans="18:18">
      <c r="R972" s="1032"/>
    </row>
    <row r="973" spans="18:18">
      <c r="R973" s="1032"/>
    </row>
    <row r="974" spans="18:18">
      <c r="R974" s="1032"/>
    </row>
    <row r="975" spans="18:18">
      <c r="R975" s="1032"/>
    </row>
    <row r="976" spans="18:18">
      <c r="R976" s="1032"/>
    </row>
    <row r="977" spans="18:18">
      <c r="R977" s="1032"/>
    </row>
    <row r="978" spans="18:18">
      <c r="R978" s="1032"/>
    </row>
    <row r="979" spans="18:18">
      <c r="R979" s="1032"/>
    </row>
    <row r="980" spans="18:18">
      <c r="R980" s="1032"/>
    </row>
    <row r="981" spans="18:18">
      <c r="R981" s="1032"/>
    </row>
    <row r="982" spans="18:18">
      <c r="R982" s="1032"/>
    </row>
    <row r="983" spans="18:18">
      <c r="R983" s="1032"/>
    </row>
    <row r="984" spans="18:18">
      <c r="R984" s="1032"/>
    </row>
    <row r="985" spans="18:18">
      <c r="R985" s="1032"/>
    </row>
    <row r="986" spans="18:18">
      <c r="R986" s="1032"/>
    </row>
    <row r="987" spans="18:18">
      <c r="R987" s="1032"/>
    </row>
    <row r="988" spans="18:18">
      <c r="R988" s="1032"/>
    </row>
    <row r="989" spans="18:18">
      <c r="R989" s="1032"/>
    </row>
    <row r="990" spans="18:18">
      <c r="R990" s="1032"/>
    </row>
    <row r="991" spans="18:18">
      <c r="R991" s="1032"/>
    </row>
    <row r="992" spans="18:18">
      <c r="R992" s="1032"/>
    </row>
    <row r="993" spans="18:18">
      <c r="R993" s="1032"/>
    </row>
    <row r="994" spans="18:18">
      <c r="R994" s="1032"/>
    </row>
    <row r="995" spans="18:18">
      <c r="R995" s="1032"/>
    </row>
    <row r="996" spans="18:18">
      <c r="R996" s="1032"/>
    </row>
    <row r="997" spans="18:18">
      <c r="R997" s="1032"/>
    </row>
    <row r="998" spans="18:18">
      <c r="R998" s="1032"/>
    </row>
    <row r="999" spans="18:18">
      <c r="R999" s="1032"/>
    </row>
    <row r="1000" spans="18:18">
      <c r="R1000" s="1032"/>
    </row>
    <row r="1001" spans="18:18">
      <c r="R1001" s="1032"/>
    </row>
    <row r="1002" spans="18:18">
      <c r="R1002" s="1032"/>
    </row>
    <row r="1003" spans="18:18">
      <c r="R1003" s="1032"/>
    </row>
    <row r="1004" spans="18:18">
      <c r="R1004" s="1032"/>
    </row>
    <row r="1005" spans="18:18">
      <c r="R1005" s="1032"/>
    </row>
    <row r="1006" spans="18:18">
      <c r="R1006" s="1032"/>
    </row>
    <row r="1007" spans="18:18">
      <c r="R1007" s="1032"/>
    </row>
    <row r="1008" spans="18:18">
      <c r="R1008" s="1032"/>
    </row>
    <row r="1009" spans="18:18">
      <c r="R1009" s="1032"/>
    </row>
    <row r="1010" spans="18:18">
      <c r="R1010" s="1032"/>
    </row>
  </sheetData>
  <sheetProtection sheet="1"/>
  <customSheetViews>
    <customSheetView guid="{A57FB75A-A9C6-4363-92C4-C633F764E6EC}" scale="80" showGridLines="0" outlineSymbols="0" showRuler="0">
      <pane ySplit="4" topLeftCell="A20" activePane="bottomLeft" state="frozen"/>
      <selection pane="bottomLeft" activeCell="C26" sqref="C26"/>
      <rowBreaks count="1" manualBreakCount="1">
        <brk id="39" max="16383" man="1"/>
      </rowBreaks>
      <colBreaks count="1" manualBreakCount="1">
        <brk id="22" max="34" man="1"/>
      </colBreaks>
      <pageMargins left="0" right="0" top="0" bottom="0" header="0" footer="0"/>
      <pageSetup paperSize="9" scale="64" orientation="landscape" r:id="rId1"/>
      <headerFooter alignWithMargins="0">
        <oddHeader>&amp;LVorschauMusterAdamy&amp;RSeite 2</oddHeader>
        <oddFooter>&amp;R&amp;D</oddFooter>
      </headerFooter>
    </customSheetView>
    <customSheetView guid="{FC62AB03-1E1B-40DD-97B7-FC10FADA3A15}" scale="80" showPageBreaks="1" showGridLines="0" outlineSymbols="0" printArea="1">
      <pane ySplit="4" topLeftCell="A5" activePane="bottomLeft" state="frozen"/>
      <selection pane="bottomLeft" activeCell="L39" sqref="L39"/>
      <rowBreaks count="2" manualBreakCount="2">
        <brk id="34" max="21" man="1"/>
        <brk id="40" max="16383" man="1"/>
      </rowBreaks>
      <colBreaks count="2" manualBreakCount="2">
        <brk id="20" max="39" man="1"/>
        <brk id="22" max="34" man="1"/>
      </colBreaks>
      <pageMargins left="0" right="0" top="0" bottom="0" header="0" footer="0"/>
      <pageSetup paperSize="9" scale="64" orientation="landscape" r:id="rId2"/>
      <headerFooter alignWithMargins="0">
        <oddHeader>&amp;LVorschauMusterAdamy&amp;RSeite 2</oddHeader>
        <oddFooter>&amp;R&amp;D</oddFooter>
      </headerFooter>
    </customSheetView>
  </customSheetViews>
  <mergeCells count="17">
    <mergeCell ref="M37:O37"/>
    <mergeCell ref="A5:A20"/>
    <mergeCell ref="M43:O43"/>
    <mergeCell ref="M41:O41"/>
    <mergeCell ref="M38:N38"/>
    <mergeCell ref="M36:O36"/>
    <mergeCell ref="C35:Q35"/>
    <mergeCell ref="A2:A3"/>
    <mergeCell ref="B28:C28"/>
    <mergeCell ref="L28:N28"/>
    <mergeCell ref="B29:C29"/>
    <mergeCell ref="L29:N29"/>
    <mergeCell ref="H1:J1"/>
    <mergeCell ref="B1:D1"/>
    <mergeCell ref="Q2:Q3"/>
    <mergeCell ref="R2:R3"/>
    <mergeCell ref="C31:H31"/>
  </mergeCells>
  <phoneticPr fontId="0" type="noConversion"/>
  <conditionalFormatting sqref="Q23:Q26 C21:O21 Q21 B23:O24">
    <cfRule type="cellIs" dxfId="1" priority="1" stopIfTrue="1" operator="lessThan">
      <formula>0</formula>
    </cfRule>
  </conditionalFormatting>
  <pageMargins left="0.78740157480314965" right="0.78740157480314965" top="0.98425196850393704" bottom="0.98425196850393704" header="0.51181102362204722" footer="0.51181102362204722"/>
  <pageSetup paperSize="9" scale="50" orientation="landscape" r:id="rId3"/>
  <headerFooter alignWithMargins="0">
    <oddHeader>&amp;CSeite &amp;P &amp;RSeite 2</oddHeader>
    <oddFooter>&amp;LDie Vorlage dieser Datei wurde zur Verfügung gestellt durch die Wirtschafts-Senioren Hannover&amp;R&amp;D</oddFooter>
  </headerFooter>
  <colBreaks count="1" manualBreakCount="1">
    <brk id="22" max="34" man="1"/>
  </colBreaks>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3679C-A875-4EF8-8A9F-4879434FEA03}">
  <sheetPr>
    <tabColor indexed="13"/>
    <pageSetUpPr fitToPage="1"/>
  </sheetPr>
  <dimension ref="A1:AI133"/>
  <sheetViews>
    <sheetView showGridLines="0" zoomScale="81" zoomScaleNormal="81" workbookViewId="0">
      <selection activeCell="AH29" sqref="AH29"/>
    </sheetView>
  </sheetViews>
  <sheetFormatPr defaultColWidth="11.42578125" defaultRowHeight="12.75"/>
  <cols>
    <col min="1" max="1" width="3.140625" style="1181" customWidth="1"/>
    <col min="2" max="2" width="25.85546875" style="1105" customWidth="1"/>
    <col min="3" max="3" width="9.28515625" style="1178" customWidth="1"/>
    <col min="4" max="4" width="10.85546875" style="1178" customWidth="1"/>
    <col min="5" max="5" width="10.42578125" style="1105" customWidth="1"/>
    <col min="6" max="6" width="6.85546875" style="1105" customWidth="1"/>
    <col min="7" max="7" width="11.42578125" style="1105" customWidth="1"/>
    <col min="8" max="8" width="6.85546875" style="1105" customWidth="1"/>
    <col min="9" max="9" width="11.28515625" style="1105" customWidth="1"/>
    <col min="10" max="10" width="6.85546875" style="1105" customWidth="1"/>
    <col min="11" max="11" width="11.7109375" style="1105" customWidth="1"/>
    <col min="12" max="12" width="6.85546875" style="1105" customWidth="1"/>
    <col min="13" max="13" width="12.140625" style="1105" customWidth="1"/>
    <col min="14" max="14" width="6.85546875" style="1105" customWidth="1"/>
    <col min="15" max="15" width="9.28515625" style="1105" customWidth="1"/>
    <col min="16" max="16" width="6.85546875" style="1105" customWidth="1"/>
    <col min="17" max="17" width="10.5703125" style="1105" customWidth="1"/>
    <col min="18" max="18" width="6.85546875" style="1105" customWidth="1"/>
    <col min="19" max="19" width="10.42578125" style="1105" customWidth="1"/>
    <col min="20" max="20" width="6.85546875" style="1105" customWidth="1"/>
    <col min="21" max="21" width="12.140625" style="1105" customWidth="1"/>
    <col min="22" max="22" width="6.85546875" style="1105" customWidth="1"/>
    <col min="23" max="23" width="11.42578125" style="1105" customWidth="1"/>
    <col min="24" max="24" width="6.85546875" style="1105" customWidth="1"/>
    <col min="25" max="25" width="11" style="1105" customWidth="1"/>
    <col min="26" max="26" width="6.85546875" style="1105" customWidth="1"/>
    <col min="27" max="27" width="10.42578125" style="1105" customWidth="1"/>
    <col min="28" max="28" width="6.85546875" style="1105" customWidth="1"/>
    <col min="29" max="29" width="19.28515625" style="1179" customWidth="1"/>
    <col min="30" max="30" width="19.28515625" style="1180" customWidth="1"/>
    <col min="31" max="31" width="19.28515625" style="1105" customWidth="1"/>
    <col min="32" max="32" width="4.7109375" style="1105" customWidth="1"/>
    <col min="33" max="33" width="9.28515625" style="1105" customWidth="1"/>
    <col min="34" max="34" width="8.7109375" style="1105" customWidth="1"/>
    <col min="35" max="35" width="9.28515625" style="1105" customWidth="1"/>
    <col min="36" max="16384" width="11.42578125" style="1105"/>
  </cols>
  <sheetData>
    <row r="1" spans="1:35" ht="30" customHeight="1" thickBot="1">
      <c r="A1" s="2093"/>
      <c r="B1" s="2305" t="s">
        <v>303</v>
      </c>
      <c r="C1" s="2306"/>
      <c r="D1" s="2306"/>
      <c r="E1" s="2306"/>
      <c r="F1" s="2306"/>
      <c r="G1" s="2306"/>
      <c r="H1" s="2306"/>
      <c r="I1" s="2306"/>
      <c r="J1" s="2306"/>
      <c r="K1" s="2306"/>
      <c r="L1" s="2306"/>
      <c r="M1" s="2306"/>
      <c r="N1" s="2306"/>
      <c r="O1" s="2306"/>
      <c r="P1" s="2306"/>
      <c r="Q1" s="2306"/>
      <c r="R1" s="2306"/>
      <c r="S1" s="2306"/>
      <c r="T1" s="2306"/>
      <c r="U1" s="2306"/>
      <c r="V1" s="2306"/>
      <c r="W1" s="2306"/>
      <c r="X1" s="2306"/>
      <c r="Y1" s="2306"/>
      <c r="Z1" s="2306"/>
      <c r="AA1" s="2307"/>
      <c r="AB1" s="2094"/>
      <c r="AC1" s="2095"/>
      <c r="AD1" s="2096"/>
      <c r="AE1" s="2094"/>
      <c r="AF1" s="2094"/>
      <c r="AG1" s="2094"/>
      <c r="AH1" s="2094"/>
      <c r="AI1" s="2094"/>
    </row>
    <row r="2" spans="1:35" ht="19.5" customHeight="1" thickTop="1" thickBot="1">
      <c r="A2" s="1104"/>
      <c r="B2" s="2308" t="s">
        <v>304</v>
      </c>
      <c r="C2" s="2309"/>
      <c r="D2" s="2309"/>
      <c r="E2" s="2309"/>
      <c r="F2" s="2309"/>
      <c r="G2" s="2309"/>
      <c r="H2" s="2309"/>
      <c r="I2" s="2309"/>
      <c r="J2" s="2309"/>
      <c r="K2" s="2309"/>
      <c r="L2" s="2309"/>
      <c r="M2" s="2309"/>
      <c r="N2" s="2309"/>
      <c r="O2" s="2309"/>
      <c r="P2" s="2309"/>
      <c r="Q2" s="2309"/>
      <c r="R2" s="2309"/>
      <c r="S2" s="2309"/>
      <c r="T2" s="2309"/>
      <c r="U2" s="2309"/>
      <c r="V2" s="2309"/>
      <c r="W2" s="2309"/>
      <c r="X2" s="2309"/>
      <c r="Y2" s="2309"/>
      <c r="Z2" s="2309"/>
      <c r="AA2" s="2309"/>
      <c r="AB2" s="2309"/>
      <c r="AC2" s="2309"/>
      <c r="AD2" s="2309"/>
      <c r="AE2" s="2309"/>
      <c r="AF2" s="1591"/>
      <c r="AG2" s="1591"/>
      <c r="AH2" s="1591"/>
      <c r="AI2" s="1591"/>
    </row>
    <row r="3" spans="1:35" s="1108" customFormat="1" ht="18" customHeight="1">
      <c r="A3" s="1106"/>
      <c r="B3" s="2277" t="s">
        <v>305</v>
      </c>
      <c r="C3" s="2302">
        <f>ZusammenführErgebn!C3</f>
        <v>2025</v>
      </c>
      <c r="D3" s="1367"/>
      <c r="E3" s="2300" t="str">
        <f>'Ertragsv. 2025'!C2</f>
        <v>Jan.</v>
      </c>
      <c r="F3" s="2255"/>
      <c r="G3" s="2254" t="str">
        <f>'Ertragsv. 2025'!D2</f>
        <v>Febr.</v>
      </c>
      <c r="H3" s="2255"/>
      <c r="I3" s="2254" t="str">
        <f>'Ertragsv. 2025'!E2</f>
        <v>März</v>
      </c>
      <c r="J3" s="2255"/>
      <c r="K3" s="2254" t="str">
        <f>'Ertragsv. 2025'!F2</f>
        <v>April</v>
      </c>
      <c r="L3" s="2255"/>
      <c r="M3" s="2254" t="str">
        <f>'Ertragsv. 2025'!G2</f>
        <v>Mai</v>
      </c>
      <c r="N3" s="2255"/>
      <c r="O3" s="2254" t="str">
        <f>'Ertragsv. 2025'!H2</f>
        <v>Juni</v>
      </c>
      <c r="P3" s="2255"/>
      <c r="Q3" s="2254" t="str">
        <f>'Ertragsv. 2025'!I2</f>
        <v>Juli</v>
      </c>
      <c r="R3" s="2255"/>
      <c r="S3" s="2254" t="str">
        <f>'Ertragsv. 2025'!J2</f>
        <v>Aug.</v>
      </c>
      <c r="T3" s="2255"/>
      <c r="U3" s="2254" t="str">
        <f>'Ertragsv. 2025'!K2</f>
        <v>Sept.</v>
      </c>
      <c r="V3" s="2255"/>
      <c r="W3" s="2254" t="str">
        <f>'Ertragsv. 2025'!L2</f>
        <v>Okt.</v>
      </c>
      <c r="X3" s="2255"/>
      <c r="Y3" s="2254" t="str">
        <f>'Ertragsv. 2025'!M2</f>
        <v>Nov.</v>
      </c>
      <c r="Z3" s="2255"/>
      <c r="AA3" s="2254" t="str">
        <f>'Ertragsv. 2025'!N2</f>
        <v>Dez.</v>
      </c>
      <c r="AB3" s="2255"/>
      <c r="AC3" s="2274" t="s">
        <v>306</v>
      </c>
      <c r="AD3" s="2276" t="s">
        <v>307</v>
      </c>
      <c r="AE3" s="2310" t="s">
        <v>308</v>
      </c>
      <c r="AF3" s="1107"/>
      <c r="AG3" s="2248" t="s">
        <v>309</v>
      </c>
      <c r="AH3" s="2162"/>
      <c r="AI3" s="2162"/>
    </row>
    <row r="4" spans="1:35" ht="12.75" customHeight="1">
      <c r="A4" s="1109"/>
      <c r="B4" s="2278"/>
      <c r="C4" s="2303"/>
      <c r="D4" s="1362"/>
      <c r="E4" s="2301"/>
      <c r="F4" s="2257"/>
      <c r="G4" s="2256"/>
      <c r="H4" s="2257"/>
      <c r="I4" s="2256"/>
      <c r="J4" s="2257"/>
      <c r="K4" s="2256"/>
      <c r="L4" s="2257"/>
      <c r="M4" s="2256"/>
      <c r="N4" s="2257"/>
      <c r="O4" s="2256"/>
      <c r="P4" s="2257"/>
      <c r="Q4" s="2256"/>
      <c r="R4" s="2257"/>
      <c r="S4" s="2256"/>
      <c r="T4" s="2257"/>
      <c r="U4" s="2256"/>
      <c r="V4" s="2257"/>
      <c r="W4" s="2256"/>
      <c r="X4" s="2257"/>
      <c r="Y4" s="2256"/>
      <c r="Z4" s="2257"/>
      <c r="AA4" s="2256"/>
      <c r="AB4" s="2257"/>
      <c r="AC4" s="2275"/>
      <c r="AD4" s="2271"/>
      <c r="AE4" s="2311"/>
      <c r="AF4" s="2097"/>
      <c r="AG4" s="2249"/>
      <c r="AH4" s="2162"/>
      <c r="AI4" s="2162"/>
    </row>
    <row r="5" spans="1:35" ht="15.75" customHeight="1" thickBot="1">
      <c r="A5" s="1109"/>
      <c r="B5" s="183" t="s">
        <v>310</v>
      </c>
      <c r="C5" s="2260"/>
      <c r="D5" s="2261"/>
      <c r="E5" s="1359"/>
      <c r="F5" s="1111">
        <f>IF(ArbStd_MA!$D$33&gt;=1,ArbStd_MA!$D$33,IF(ArbStd_MA!$D$33&lt;1,ArbStd_MA!$D$23))</f>
        <v>144</v>
      </c>
      <c r="G5" s="1110"/>
      <c r="H5" s="1111">
        <f>IF(ArbStd_MA!$D$33&gt;=1,ArbStd_MA!$D$33,IF(ArbStd_MA!$D$33&lt;1,ArbStd_MA!$D$23))</f>
        <v>144</v>
      </c>
      <c r="I5" s="1110"/>
      <c r="J5" s="1111">
        <f>IF(ArbStd_MA!$D$33&gt;=1,ArbStd_MA!$D$33,IF(ArbStd_MA!$D$33&lt;1,ArbStd_MA!$D$23))</f>
        <v>144</v>
      </c>
      <c r="K5" s="1110"/>
      <c r="L5" s="1111">
        <f>IF(ArbStd_MA!$D$33&gt;=1,ArbStd_MA!$D$33,IF(ArbStd_MA!$D$33&lt;1,ArbStd_MA!$D$23))</f>
        <v>144</v>
      </c>
      <c r="M5" s="1110"/>
      <c r="N5" s="1111">
        <f>IF(ArbStd_MA!$D$33&gt;=1,ArbStd_MA!$D$33,IF(ArbStd_MA!$D$33&lt;1,ArbStd_MA!$D$23))</f>
        <v>144</v>
      </c>
      <c r="O5" s="1110"/>
      <c r="P5" s="1111">
        <f>IF(ArbStd_MA!$D$33&gt;=1,ArbStd_MA!$D$33,IF(ArbStd_MA!$D$33&lt;1,ArbStd_MA!$D$23))</f>
        <v>144</v>
      </c>
      <c r="Q5" s="1110"/>
      <c r="R5" s="1111">
        <f>IF(ArbStd_MA!$D$33&gt;=1,ArbStd_MA!$D$33,IF(ArbStd_MA!$D$33&lt;1,ArbStd_MA!$D$23))</f>
        <v>144</v>
      </c>
      <c r="S5" s="1110"/>
      <c r="T5" s="1111">
        <f>IF(ArbStd_MA!$D$33&gt;=1,ArbStd_MA!$D$33,IF(ArbStd_MA!$D$33&lt;1,ArbStd_MA!$D$23))</f>
        <v>144</v>
      </c>
      <c r="U5" s="1110"/>
      <c r="V5" s="1111">
        <f>IF(ArbStd_MA!$D$33&gt;=1,ArbStd_MA!$D$33,IF(ArbStd_MA!$D$33&lt;1,ArbStd_MA!$D$23))</f>
        <v>144</v>
      </c>
      <c r="W5" s="1110"/>
      <c r="X5" s="1111">
        <f>IF(ArbStd_MA!$D$33&gt;=1,ArbStd_MA!$D$33,IF(ArbStd_MA!$D$33&lt;1,ArbStd_MA!$D$23))</f>
        <v>144</v>
      </c>
      <c r="Y5" s="1110"/>
      <c r="Z5" s="1111">
        <f>IF(ArbStd_MA!$D$33&gt;=1,ArbStd_MA!$D$33,IF(ArbStd_MA!$D$33&lt;1,ArbStd_MA!$D$23))</f>
        <v>144</v>
      </c>
      <c r="AA5" s="1110"/>
      <c r="AB5" s="1111">
        <f>IF(ArbStd_MA!$D$33&gt;=1,ArbStd_MA!$D$33,IF(ArbStd_MA!$D$33&lt;1,ArbStd_MA!$D$23))</f>
        <v>144</v>
      </c>
      <c r="AC5" s="1112"/>
      <c r="AD5" s="1113"/>
      <c r="AE5" s="117"/>
      <c r="AF5" s="2097"/>
      <c r="AG5" s="2249"/>
      <c r="AH5" s="2162"/>
      <c r="AI5" s="2162"/>
    </row>
    <row r="6" spans="1:35" ht="15.75" customHeight="1" thickTop="1" thickBot="1">
      <c r="A6" s="1109"/>
      <c r="B6" s="1114" t="s">
        <v>311</v>
      </c>
      <c r="C6" s="2262"/>
      <c r="D6" s="2263"/>
      <c r="E6" s="1359"/>
      <c r="F6" s="1115">
        <f>SUM(F9:F18)</f>
        <v>0</v>
      </c>
      <c r="G6" s="1115"/>
      <c r="H6" s="1115">
        <f>SUM(H9:H18)</f>
        <v>0</v>
      </c>
      <c r="I6" s="1115"/>
      <c r="J6" s="1115">
        <f>SUM(J9:J18)</f>
        <v>0</v>
      </c>
      <c r="K6" s="1115"/>
      <c r="L6" s="1115">
        <f>SUM(L9:L18)</f>
        <v>0</v>
      </c>
      <c r="M6" s="1115"/>
      <c r="N6" s="1115">
        <f>SUM(N9:N18)</f>
        <v>0</v>
      </c>
      <c r="O6" s="1115"/>
      <c r="P6" s="1115">
        <f>SUM(P9:P18)</f>
        <v>0</v>
      </c>
      <c r="Q6" s="1115"/>
      <c r="R6" s="1115">
        <f>SUM(R9:R18)</f>
        <v>0</v>
      </c>
      <c r="S6" s="1115"/>
      <c r="T6" s="1115">
        <f>SUM(T9:T18)</f>
        <v>0</v>
      </c>
      <c r="U6" s="1115"/>
      <c r="V6" s="1115">
        <f>SUM(V9:V18)</f>
        <v>0</v>
      </c>
      <c r="W6" s="1115"/>
      <c r="X6" s="1115">
        <f>SUM(X9:X18)</f>
        <v>0</v>
      </c>
      <c r="Y6" s="1115"/>
      <c r="Z6" s="1115">
        <f>SUM(Z9:Z18)</f>
        <v>0</v>
      </c>
      <c r="AA6" s="1115"/>
      <c r="AB6" s="1115">
        <f>SUM(AB9:AB18)</f>
        <v>0</v>
      </c>
      <c r="AC6" s="1116">
        <f>SUM(E6:AB6)/12</f>
        <v>0</v>
      </c>
      <c r="AD6" s="291"/>
      <c r="AE6" s="117"/>
      <c r="AF6" s="2097"/>
      <c r="AG6" s="1592"/>
      <c r="AH6" s="1592"/>
      <c r="AI6" s="1592"/>
    </row>
    <row r="7" spans="1:35" s="1125" customFormat="1" ht="60" customHeight="1" thickTop="1">
      <c r="A7" s="1117"/>
      <c r="B7" s="183"/>
      <c r="C7" s="1118" t="s">
        <v>312</v>
      </c>
      <c r="D7" s="1363" t="s">
        <v>313</v>
      </c>
      <c r="E7" s="570" t="s">
        <v>314</v>
      </c>
      <c r="F7" s="1120" t="s">
        <v>315</v>
      </c>
      <c r="G7" s="1119" t="s">
        <v>314</v>
      </c>
      <c r="H7" s="1120" t="s">
        <v>315</v>
      </c>
      <c r="I7" s="1119" t="s">
        <v>314</v>
      </c>
      <c r="J7" s="1120" t="s">
        <v>315</v>
      </c>
      <c r="K7" s="1119" t="s">
        <v>314</v>
      </c>
      <c r="L7" s="1120" t="s">
        <v>315</v>
      </c>
      <c r="M7" s="1119" t="s">
        <v>314</v>
      </c>
      <c r="N7" s="1120" t="s">
        <v>315</v>
      </c>
      <c r="O7" s="1119" t="s">
        <v>314</v>
      </c>
      <c r="P7" s="1120" t="s">
        <v>315</v>
      </c>
      <c r="Q7" s="1119" t="s">
        <v>314</v>
      </c>
      <c r="R7" s="1120" t="s">
        <v>315</v>
      </c>
      <c r="S7" s="1119" t="s">
        <v>314</v>
      </c>
      <c r="T7" s="1120" t="s">
        <v>315</v>
      </c>
      <c r="U7" s="1119" t="s">
        <v>314</v>
      </c>
      <c r="V7" s="1120" t="s">
        <v>315</v>
      </c>
      <c r="W7" s="1119" t="s">
        <v>314</v>
      </c>
      <c r="X7" s="1120" t="s">
        <v>315</v>
      </c>
      <c r="Y7" s="1119" t="s">
        <v>314</v>
      </c>
      <c r="Z7" s="1120" t="s">
        <v>315</v>
      </c>
      <c r="AA7" s="1119" t="s">
        <v>314</v>
      </c>
      <c r="AB7" s="1120" t="s">
        <v>315</v>
      </c>
      <c r="AC7" s="1121"/>
      <c r="AD7" s="1122"/>
      <c r="AE7" s="1123"/>
      <c r="AF7" s="1124"/>
      <c r="AG7" s="1592" t="s">
        <v>316</v>
      </c>
      <c r="AH7" s="1592" t="s">
        <v>317</v>
      </c>
      <c r="AI7" s="1593"/>
    </row>
    <row r="8" spans="1:35" ht="6" customHeight="1">
      <c r="A8" s="1109"/>
      <c r="B8" s="180"/>
      <c r="C8" s="1126"/>
      <c r="D8" s="117"/>
      <c r="E8" s="143"/>
      <c r="F8" s="1126"/>
      <c r="G8" s="143"/>
      <c r="H8" s="1126"/>
      <c r="I8" s="143"/>
      <c r="J8" s="1126"/>
      <c r="K8" s="143"/>
      <c r="L8" s="1126"/>
      <c r="M8" s="143"/>
      <c r="N8" s="1126"/>
      <c r="O8" s="143"/>
      <c r="P8" s="1126"/>
      <c r="Q8" s="143"/>
      <c r="R8" s="1126"/>
      <c r="S8" s="143"/>
      <c r="T8" s="1126"/>
      <c r="U8" s="143"/>
      <c r="V8" s="1126"/>
      <c r="W8" s="143"/>
      <c r="X8" s="1126"/>
      <c r="Y8" s="143"/>
      <c r="Z8" s="1126"/>
      <c r="AA8" s="143"/>
      <c r="AB8" s="1126"/>
      <c r="AC8" s="1127"/>
      <c r="AD8" s="1128"/>
      <c r="AE8" s="1129"/>
      <c r="AF8" s="2097"/>
      <c r="AG8" s="1594"/>
      <c r="AH8" s="1594"/>
      <c r="AI8" s="1594"/>
    </row>
    <row r="9" spans="1:35" ht="15.75" customHeight="1">
      <c r="A9" s="1109"/>
      <c r="B9" s="819" t="s">
        <v>318</v>
      </c>
      <c r="C9" s="1377"/>
      <c r="D9" s="1364"/>
      <c r="E9" s="1360"/>
      <c r="F9" s="1381">
        <f>D9*E9</f>
        <v>0</v>
      </c>
      <c r="G9" s="86"/>
      <c r="H9" s="1381">
        <f>D9*G9</f>
        <v>0</v>
      </c>
      <c r="I9" s="86"/>
      <c r="J9" s="1381">
        <f>D9*I9</f>
        <v>0</v>
      </c>
      <c r="K9" s="86"/>
      <c r="L9" s="1381">
        <f>D9*K9</f>
        <v>0</v>
      </c>
      <c r="M9" s="86"/>
      <c r="N9" s="1381">
        <f>D9*M9</f>
        <v>0</v>
      </c>
      <c r="O9" s="86"/>
      <c r="P9" s="1381">
        <f>D9*O9</f>
        <v>0</v>
      </c>
      <c r="Q9" s="86"/>
      <c r="R9" s="1381">
        <f>D9*Q9</f>
        <v>0</v>
      </c>
      <c r="S9" s="86"/>
      <c r="T9" s="1381">
        <f>D9*S9</f>
        <v>0</v>
      </c>
      <c r="U9" s="86"/>
      <c r="V9" s="1381">
        <f>D9*U9</f>
        <v>0</v>
      </c>
      <c r="W9" s="86"/>
      <c r="X9" s="1381">
        <f>D9*W9</f>
        <v>0</v>
      </c>
      <c r="Y9" s="86"/>
      <c r="Z9" s="1381">
        <f>D9*Y9</f>
        <v>0</v>
      </c>
      <c r="AA9" s="86"/>
      <c r="AB9" s="1381">
        <f>D9*AA9</f>
        <v>0</v>
      </c>
      <c r="AC9" s="1130">
        <f>E9+G9+I9+K9+M9+O9+Q9+S9+U9+W9+Y9+AA9</f>
        <v>0</v>
      </c>
      <c r="AD9" s="1131">
        <f>(E9+G9+I9+K9+M9+O9+Q9+S9+U9+W9+Y9+AA9)*C9</f>
        <v>0</v>
      </c>
      <c r="AE9" s="1132" t="e">
        <f t="shared" ref="AE9:AE18" si="0">AD9/$AD$19</f>
        <v>#DIV/0!</v>
      </c>
      <c r="AF9" s="2097"/>
      <c r="AG9" s="1968">
        <v>300</v>
      </c>
      <c r="AH9" s="1595">
        <f>AC9*AG9</f>
        <v>0</v>
      </c>
      <c r="AI9" s="1594"/>
    </row>
    <row r="10" spans="1:35" ht="15.75" customHeight="1">
      <c r="A10" s="1109"/>
      <c r="B10" s="819" t="s">
        <v>319</v>
      </c>
      <c r="C10" s="1377"/>
      <c r="D10" s="1364"/>
      <c r="E10" s="1360"/>
      <c r="F10" s="1381">
        <f t="shared" ref="F10:F18" si="1">D10*E10</f>
        <v>0</v>
      </c>
      <c r="G10" s="86"/>
      <c r="H10" s="1381">
        <f t="shared" ref="H10:H18" si="2">D10*G10</f>
        <v>0</v>
      </c>
      <c r="I10" s="86"/>
      <c r="J10" s="1381">
        <f t="shared" ref="J10:J18" si="3">D10*I10</f>
        <v>0</v>
      </c>
      <c r="K10" s="86"/>
      <c r="L10" s="1381">
        <f t="shared" ref="L10:L18" si="4">D10*K10</f>
        <v>0</v>
      </c>
      <c r="M10" s="86"/>
      <c r="N10" s="1381">
        <f t="shared" ref="N10:N18" si="5">D10*M10</f>
        <v>0</v>
      </c>
      <c r="O10" s="86"/>
      <c r="P10" s="1381">
        <f t="shared" ref="P10:P18" si="6">D10*O10</f>
        <v>0</v>
      </c>
      <c r="Q10" s="86"/>
      <c r="R10" s="1381">
        <f t="shared" ref="R10:R17" si="7">D10*Q10</f>
        <v>0</v>
      </c>
      <c r="S10" s="86"/>
      <c r="T10" s="1381">
        <f t="shared" ref="T10:T18" si="8">D10*S10</f>
        <v>0</v>
      </c>
      <c r="U10" s="86"/>
      <c r="V10" s="1381">
        <f t="shared" ref="V10:V18" si="9">D10*U10</f>
        <v>0</v>
      </c>
      <c r="W10" s="86"/>
      <c r="X10" s="1381">
        <f t="shared" ref="X10:X18" si="10">D10*W10</f>
        <v>0</v>
      </c>
      <c r="Y10" s="86"/>
      <c r="Z10" s="1381">
        <f t="shared" ref="Z10:Z18" si="11">D10*Y10</f>
        <v>0</v>
      </c>
      <c r="AA10" s="86"/>
      <c r="AB10" s="1381">
        <f t="shared" ref="AB10:AB18" si="12">D10*AA10</f>
        <v>0</v>
      </c>
      <c r="AC10" s="1130">
        <f t="shared" ref="AC10:AC18" si="13">E10+G10+I10+K10+M10+O10+Q10+S10+U10+W10+Y10+AA10</f>
        <v>0</v>
      </c>
      <c r="AD10" s="1131">
        <f t="shared" ref="AD10:AD18" si="14">(E10+G10+I10+K10+M10+O10+Q10+S10+U10+W10+Y10+AA10)*C10</f>
        <v>0</v>
      </c>
      <c r="AE10" s="1132" t="e">
        <f t="shared" si="0"/>
        <v>#DIV/0!</v>
      </c>
      <c r="AF10" s="2097"/>
      <c r="AG10" s="1968">
        <v>1.9</v>
      </c>
      <c r="AH10" s="1595">
        <f t="shared" ref="AH10:AH18" si="15">AC10*AG10</f>
        <v>0</v>
      </c>
      <c r="AI10" s="1594"/>
    </row>
    <row r="11" spans="1:35" ht="15.75" customHeight="1">
      <c r="A11" s="1109"/>
      <c r="B11" s="819" t="s">
        <v>320</v>
      </c>
      <c r="C11" s="1377"/>
      <c r="D11" s="1364"/>
      <c r="E11" s="1360"/>
      <c r="F11" s="1381">
        <f t="shared" si="1"/>
        <v>0</v>
      </c>
      <c r="G11" s="86"/>
      <c r="H11" s="1381">
        <f t="shared" si="2"/>
        <v>0</v>
      </c>
      <c r="I11" s="86"/>
      <c r="J11" s="1381">
        <f t="shared" si="3"/>
        <v>0</v>
      </c>
      <c r="K11" s="86"/>
      <c r="L11" s="1381">
        <f t="shared" si="4"/>
        <v>0</v>
      </c>
      <c r="M11" s="86"/>
      <c r="N11" s="1381">
        <f t="shared" si="5"/>
        <v>0</v>
      </c>
      <c r="O11" s="86"/>
      <c r="P11" s="1381">
        <f t="shared" si="6"/>
        <v>0</v>
      </c>
      <c r="Q11" s="86"/>
      <c r="R11" s="1381">
        <f t="shared" si="7"/>
        <v>0</v>
      </c>
      <c r="S11" s="86"/>
      <c r="T11" s="1381">
        <f t="shared" si="8"/>
        <v>0</v>
      </c>
      <c r="U11" s="86"/>
      <c r="V11" s="1381">
        <f t="shared" si="9"/>
        <v>0</v>
      </c>
      <c r="W11" s="86"/>
      <c r="X11" s="1381">
        <f t="shared" si="10"/>
        <v>0</v>
      </c>
      <c r="Y11" s="86"/>
      <c r="Z11" s="1381">
        <f t="shared" si="11"/>
        <v>0</v>
      </c>
      <c r="AA11" s="86"/>
      <c r="AB11" s="1381">
        <f t="shared" si="12"/>
        <v>0</v>
      </c>
      <c r="AC11" s="1130">
        <f t="shared" si="13"/>
        <v>0</v>
      </c>
      <c r="AD11" s="1131">
        <f t="shared" si="14"/>
        <v>0</v>
      </c>
      <c r="AE11" s="1132" t="e">
        <f t="shared" si="0"/>
        <v>#DIV/0!</v>
      </c>
      <c r="AF11" s="2097"/>
      <c r="AG11" s="1968">
        <v>8.1999999999999993</v>
      </c>
      <c r="AH11" s="1595">
        <f t="shared" si="15"/>
        <v>0</v>
      </c>
      <c r="AI11" s="1594"/>
    </row>
    <row r="12" spans="1:35" ht="15.75" customHeight="1">
      <c r="A12" s="1109"/>
      <c r="B12" s="819" t="s">
        <v>321</v>
      </c>
      <c r="C12" s="1377"/>
      <c r="D12" s="1364"/>
      <c r="E12" s="1360"/>
      <c r="F12" s="1381">
        <f t="shared" si="1"/>
        <v>0</v>
      </c>
      <c r="G12" s="86"/>
      <c r="H12" s="1381">
        <f t="shared" si="2"/>
        <v>0</v>
      </c>
      <c r="I12" s="86"/>
      <c r="J12" s="1381">
        <f t="shared" si="3"/>
        <v>0</v>
      </c>
      <c r="K12" s="86"/>
      <c r="L12" s="1381">
        <f t="shared" si="4"/>
        <v>0</v>
      </c>
      <c r="M12" s="86"/>
      <c r="N12" s="1381">
        <f t="shared" si="5"/>
        <v>0</v>
      </c>
      <c r="O12" s="86"/>
      <c r="P12" s="1381">
        <f t="shared" si="6"/>
        <v>0</v>
      </c>
      <c r="Q12" s="86"/>
      <c r="R12" s="1381">
        <f t="shared" si="7"/>
        <v>0</v>
      </c>
      <c r="S12" s="86"/>
      <c r="T12" s="1381">
        <f t="shared" si="8"/>
        <v>0</v>
      </c>
      <c r="U12" s="86"/>
      <c r="V12" s="1381">
        <f t="shared" si="9"/>
        <v>0</v>
      </c>
      <c r="W12" s="86"/>
      <c r="X12" s="1381">
        <f t="shared" si="10"/>
        <v>0</v>
      </c>
      <c r="Y12" s="86"/>
      <c r="Z12" s="1381">
        <f t="shared" si="11"/>
        <v>0</v>
      </c>
      <c r="AA12" s="86"/>
      <c r="AB12" s="1381">
        <f t="shared" si="12"/>
        <v>0</v>
      </c>
      <c r="AC12" s="1130">
        <f t="shared" si="13"/>
        <v>0</v>
      </c>
      <c r="AD12" s="1131">
        <f t="shared" si="14"/>
        <v>0</v>
      </c>
      <c r="AE12" s="1132" t="e">
        <f t="shared" si="0"/>
        <v>#DIV/0!</v>
      </c>
      <c r="AF12" s="2097"/>
      <c r="AG12" s="1968">
        <v>3.2</v>
      </c>
      <c r="AH12" s="1595">
        <f t="shared" si="15"/>
        <v>0</v>
      </c>
      <c r="AI12" s="1594"/>
    </row>
    <row r="13" spans="1:35" ht="15.75" customHeight="1">
      <c r="A13" s="1109"/>
      <c r="B13" s="819" t="s">
        <v>322</v>
      </c>
      <c r="C13" s="1378"/>
      <c r="D13" s="1365"/>
      <c r="E13" s="1360"/>
      <c r="F13" s="1381">
        <f t="shared" si="1"/>
        <v>0</v>
      </c>
      <c r="G13" s="86"/>
      <c r="H13" s="1381">
        <f t="shared" si="2"/>
        <v>0</v>
      </c>
      <c r="I13" s="86"/>
      <c r="J13" s="1381">
        <f t="shared" si="3"/>
        <v>0</v>
      </c>
      <c r="K13" s="86"/>
      <c r="L13" s="1381">
        <f t="shared" si="4"/>
        <v>0</v>
      </c>
      <c r="M13" s="86"/>
      <c r="N13" s="1381">
        <f t="shared" si="5"/>
        <v>0</v>
      </c>
      <c r="O13" s="86"/>
      <c r="P13" s="1381">
        <f t="shared" si="6"/>
        <v>0</v>
      </c>
      <c r="Q13" s="86"/>
      <c r="R13" s="1381">
        <f t="shared" si="7"/>
        <v>0</v>
      </c>
      <c r="S13" s="86"/>
      <c r="T13" s="1381">
        <f t="shared" si="8"/>
        <v>0</v>
      </c>
      <c r="U13" s="86"/>
      <c r="V13" s="1381">
        <f t="shared" si="9"/>
        <v>0</v>
      </c>
      <c r="W13" s="86"/>
      <c r="X13" s="1381">
        <f t="shared" si="10"/>
        <v>0</v>
      </c>
      <c r="Y13" s="86"/>
      <c r="Z13" s="1381">
        <f t="shared" si="11"/>
        <v>0</v>
      </c>
      <c r="AA13" s="86"/>
      <c r="AB13" s="1381">
        <f t="shared" si="12"/>
        <v>0</v>
      </c>
      <c r="AC13" s="1130">
        <f t="shared" si="13"/>
        <v>0</v>
      </c>
      <c r="AD13" s="1131">
        <f t="shared" si="14"/>
        <v>0</v>
      </c>
      <c r="AE13" s="1132" t="e">
        <f>AD13/$AD$19</f>
        <v>#DIV/0!</v>
      </c>
      <c r="AF13" s="2097"/>
      <c r="AG13" s="1968">
        <v>0.25</v>
      </c>
      <c r="AH13" s="1595">
        <f t="shared" si="15"/>
        <v>0</v>
      </c>
      <c r="AI13" s="1594"/>
    </row>
    <row r="14" spans="1:35" ht="15.75" customHeight="1">
      <c r="A14" s="1109"/>
      <c r="B14" s="819" t="s">
        <v>323</v>
      </c>
      <c r="C14" s="1378"/>
      <c r="D14" s="1365"/>
      <c r="E14" s="1360"/>
      <c r="F14" s="1381">
        <f t="shared" si="1"/>
        <v>0</v>
      </c>
      <c r="G14" s="86"/>
      <c r="H14" s="1381">
        <f t="shared" si="2"/>
        <v>0</v>
      </c>
      <c r="I14" s="86"/>
      <c r="J14" s="1381">
        <f t="shared" si="3"/>
        <v>0</v>
      </c>
      <c r="K14" s="86"/>
      <c r="L14" s="1381">
        <f t="shared" si="4"/>
        <v>0</v>
      </c>
      <c r="M14" s="86"/>
      <c r="N14" s="1381">
        <f t="shared" si="5"/>
        <v>0</v>
      </c>
      <c r="O14" s="86"/>
      <c r="P14" s="1381">
        <f t="shared" si="6"/>
        <v>0</v>
      </c>
      <c r="Q14" s="86"/>
      <c r="R14" s="1381">
        <f t="shared" si="7"/>
        <v>0</v>
      </c>
      <c r="S14" s="86"/>
      <c r="T14" s="1381">
        <f t="shared" si="8"/>
        <v>0</v>
      </c>
      <c r="U14" s="86"/>
      <c r="V14" s="1381">
        <f t="shared" si="9"/>
        <v>0</v>
      </c>
      <c r="W14" s="86"/>
      <c r="X14" s="1381">
        <f t="shared" si="10"/>
        <v>0</v>
      </c>
      <c r="Y14" s="86"/>
      <c r="Z14" s="1381">
        <f t="shared" si="11"/>
        <v>0</v>
      </c>
      <c r="AA14" s="86"/>
      <c r="AB14" s="1381">
        <f t="shared" si="12"/>
        <v>0</v>
      </c>
      <c r="AC14" s="1130">
        <f t="shared" si="13"/>
        <v>0</v>
      </c>
      <c r="AD14" s="1131">
        <f t="shared" si="14"/>
        <v>0</v>
      </c>
      <c r="AE14" s="1132" t="e">
        <f t="shared" si="0"/>
        <v>#DIV/0!</v>
      </c>
      <c r="AF14" s="2097"/>
      <c r="AG14" s="1968">
        <v>4.5</v>
      </c>
      <c r="AH14" s="1595">
        <f t="shared" si="15"/>
        <v>0</v>
      </c>
      <c r="AI14" s="1594"/>
    </row>
    <row r="15" spans="1:35" ht="15.75" customHeight="1">
      <c r="A15" s="1109"/>
      <c r="B15" s="819" t="s">
        <v>324</v>
      </c>
      <c r="C15" s="1378"/>
      <c r="D15" s="1365"/>
      <c r="E15" s="1360"/>
      <c r="F15" s="1381">
        <f t="shared" si="1"/>
        <v>0</v>
      </c>
      <c r="G15" s="86"/>
      <c r="H15" s="1381">
        <f t="shared" si="2"/>
        <v>0</v>
      </c>
      <c r="I15" s="86"/>
      <c r="J15" s="1381">
        <f t="shared" si="3"/>
        <v>0</v>
      </c>
      <c r="K15" s="86"/>
      <c r="L15" s="1381">
        <f t="shared" si="4"/>
        <v>0</v>
      </c>
      <c r="M15" s="86"/>
      <c r="N15" s="1381">
        <f t="shared" si="5"/>
        <v>0</v>
      </c>
      <c r="O15" s="86"/>
      <c r="P15" s="1381">
        <f t="shared" si="6"/>
        <v>0</v>
      </c>
      <c r="Q15" s="86"/>
      <c r="R15" s="1381">
        <f t="shared" si="7"/>
        <v>0</v>
      </c>
      <c r="S15" s="86"/>
      <c r="T15" s="1381">
        <f t="shared" si="8"/>
        <v>0</v>
      </c>
      <c r="U15" s="86"/>
      <c r="V15" s="1381">
        <f t="shared" si="9"/>
        <v>0</v>
      </c>
      <c r="W15" s="86"/>
      <c r="X15" s="1381">
        <f t="shared" si="10"/>
        <v>0</v>
      </c>
      <c r="Y15" s="86"/>
      <c r="Z15" s="1381">
        <f t="shared" si="11"/>
        <v>0</v>
      </c>
      <c r="AA15" s="86"/>
      <c r="AB15" s="1381">
        <f t="shared" si="12"/>
        <v>0</v>
      </c>
      <c r="AC15" s="1130">
        <f t="shared" si="13"/>
        <v>0</v>
      </c>
      <c r="AD15" s="1131">
        <f t="shared" si="14"/>
        <v>0</v>
      </c>
      <c r="AE15" s="1132" t="e">
        <f t="shared" si="0"/>
        <v>#DIV/0!</v>
      </c>
      <c r="AF15" s="2097"/>
      <c r="AG15" s="1968">
        <v>1.25</v>
      </c>
      <c r="AH15" s="1595">
        <f t="shared" si="15"/>
        <v>0</v>
      </c>
      <c r="AI15" s="1594"/>
    </row>
    <row r="16" spans="1:35" ht="15.75" customHeight="1">
      <c r="A16" s="1109"/>
      <c r="B16" s="819" t="s">
        <v>325</v>
      </c>
      <c r="C16" s="1378"/>
      <c r="D16" s="1365"/>
      <c r="E16" s="1360"/>
      <c r="F16" s="1381">
        <f t="shared" si="1"/>
        <v>0</v>
      </c>
      <c r="G16" s="86"/>
      <c r="H16" s="1381">
        <f t="shared" si="2"/>
        <v>0</v>
      </c>
      <c r="I16" s="86"/>
      <c r="J16" s="1381">
        <f t="shared" si="3"/>
        <v>0</v>
      </c>
      <c r="K16" s="86"/>
      <c r="L16" s="1381">
        <f t="shared" si="4"/>
        <v>0</v>
      </c>
      <c r="M16" s="86"/>
      <c r="N16" s="1381">
        <f t="shared" si="5"/>
        <v>0</v>
      </c>
      <c r="O16" s="86"/>
      <c r="P16" s="1381">
        <f t="shared" si="6"/>
        <v>0</v>
      </c>
      <c r="Q16" s="86"/>
      <c r="R16" s="1381">
        <f t="shared" si="7"/>
        <v>0</v>
      </c>
      <c r="S16" s="86"/>
      <c r="T16" s="1381">
        <f t="shared" si="8"/>
        <v>0</v>
      </c>
      <c r="U16" s="86"/>
      <c r="V16" s="1381">
        <f t="shared" si="9"/>
        <v>0</v>
      </c>
      <c r="W16" s="86"/>
      <c r="X16" s="1381">
        <f t="shared" si="10"/>
        <v>0</v>
      </c>
      <c r="Y16" s="86"/>
      <c r="Z16" s="1381">
        <f t="shared" si="11"/>
        <v>0</v>
      </c>
      <c r="AA16" s="86"/>
      <c r="AB16" s="1381">
        <f t="shared" si="12"/>
        <v>0</v>
      </c>
      <c r="AC16" s="1130">
        <f t="shared" si="13"/>
        <v>0</v>
      </c>
      <c r="AD16" s="1131">
        <f t="shared" si="14"/>
        <v>0</v>
      </c>
      <c r="AE16" s="1132" t="e">
        <f t="shared" si="0"/>
        <v>#DIV/0!</v>
      </c>
      <c r="AF16" s="2097"/>
      <c r="AG16" s="1968">
        <v>1</v>
      </c>
      <c r="AH16" s="1595">
        <f t="shared" si="15"/>
        <v>0</v>
      </c>
      <c r="AI16" s="1594"/>
    </row>
    <row r="17" spans="1:35" ht="15.75" customHeight="1">
      <c r="A17" s="1109"/>
      <c r="B17" s="819" t="s">
        <v>326</v>
      </c>
      <c r="C17" s="1378"/>
      <c r="D17" s="1365"/>
      <c r="E17" s="1360"/>
      <c r="F17" s="1381">
        <f t="shared" si="1"/>
        <v>0</v>
      </c>
      <c r="G17" s="86"/>
      <c r="H17" s="1381">
        <f t="shared" si="2"/>
        <v>0</v>
      </c>
      <c r="I17" s="86"/>
      <c r="J17" s="1381">
        <f t="shared" si="3"/>
        <v>0</v>
      </c>
      <c r="K17" s="86"/>
      <c r="L17" s="1381">
        <f t="shared" si="4"/>
        <v>0</v>
      </c>
      <c r="M17" s="86"/>
      <c r="N17" s="1381">
        <f t="shared" si="5"/>
        <v>0</v>
      </c>
      <c r="O17" s="86"/>
      <c r="P17" s="1381">
        <f t="shared" si="6"/>
        <v>0</v>
      </c>
      <c r="Q17" s="86"/>
      <c r="R17" s="1381">
        <f t="shared" si="7"/>
        <v>0</v>
      </c>
      <c r="S17" s="86"/>
      <c r="T17" s="1381">
        <f t="shared" si="8"/>
        <v>0</v>
      </c>
      <c r="U17" s="86"/>
      <c r="V17" s="1381">
        <f t="shared" si="9"/>
        <v>0</v>
      </c>
      <c r="W17" s="86"/>
      <c r="X17" s="1381">
        <f t="shared" si="10"/>
        <v>0</v>
      </c>
      <c r="Y17" s="86"/>
      <c r="Z17" s="1381">
        <f t="shared" si="11"/>
        <v>0</v>
      </c>
      <c r="AA17" s="86"/>
      <c r="AB17" s="1381">
        <f t="shared" si="12"/>
        <v>0</v>
      </c>
      <c r="AC17" s="1130">
        <f t="shared" si="13"/>
        <v>0</v>
      </c>
      <c r="AD17" s="1131">
        <f t="shared" si="14"/>
        <v>0</v>
      </c>
      <c r="AE17" s="1132" t="e">
        <f t="shared" si="0"/>
        <v>#DIV/0!</v>
      </c>
      <c r="AF17" s="2097"/>
      <c r="AG17" s="1968">
        <v>0.88</v>
      </c>
      <c r="AH17" s="1595">
        <f t="shared" si="15"/>
        <v>0</v>
      </c>
      <c r="AI17" s="1594"/>
    </row>
    <row r="18" spans="1:35" ht="15.75" customHeight="1" thickBot="1">
      <c r="A18" s="1109"/>
      <c r="B18" s="820" t="s">
        <v>327</v>
      </c>
      <c r="C18" s="1379"/>
      <c r="D18" s="1366"/>
      <c r="E18" s="1361"/>
      <c r="F18" s="1381">
        <f t="shared" si="1"/>
        <v>0</v>
      </c>
      <c r="G18" s="87"/>
      <c r="H18" s="1381">
        <f t="shared" si="2"/>
        <v>0</v>
      </c>
      <c r="I18" s="87"/>
      <c r="J18" s="1381">
        <f t="shared" si="3"/>
        <v>0</v>
      </c>
      <c r="K18" s="87"/>
      <c r="L18" s="1381">
        <f t="shared" si="4"/>
        <v>0</v>
      </c>
      <c r="M18" s="87"/>
      <c r="N18" s="1381">
        <f t="shared" si="5"/>
        <v>0</v>
      </c>
      <c r="O18" s="87"/>
      <c r="P18" s="1381">
        <f t="shared" si="6"/>
        <v>0</v>
      </c>
      <c r="Q18" s="87"/>
      <c r="R18" s="1381">
        <f>D18*Q18</f>
        <v>0</v>
      </c>
      <c r="S18" s="87"/>
      <c r="T18" s="1381">
        <f t="shared" si="8"/>
        <v>0</v>
      </c>
      <c r="U18" s="87"/>
      <c r="V18" s="1381">
        <f t="shared" si="9"/>
        <v>0</v>
      </c>
      <c r="W18" s="87"/>
      <c r="X18" s="1381">
        <f t="shared" si="10"/>
        <v>0</v>
      </c>
      <c r="Y18" s="87"/>
      <c r="Z18" s="1381">
        <f t="shared" si="11"/>
        <v>0</v>
      </c>
      <c r="AA18" s="87"/>
      <c r="AB18" s="1381">
        <f t="shared" si="12"/>
        <v>0</v>
      </c>
      <c r="AC18" s="1130">
        <f t="shared" si="13"/>
        <v>0</v>
      </c>
      <c r="AD18" s="1131">
        <f t="shared" si="14"/>
        <v>0</v>
      </c>
      <c r="AE18" s="1132" t="e">
        <f t="shared" si="0"/>
        <v>#DIV/0!</v>
      </c>
      <c r="AF18" s="2097"/>
      <c r="AG18" s="1969">
        <v>7.8</v>
      </c>
      <c r="AH18" s="1595">
        <f t="shared" si="15"/>
        <v>0</v>
      </c>
      <c r="AI18" s="1596"/>
    </row>
    <row r="19" spans="1:35" s="1141" customFormat="1" ht="15.75" customHeight="1" thickTop="1" thickBot="1">
      <c r="A19" s="1133"/>
      <c r="B19" s="1134" t="s">
        <v>227</v>
      </c>
      <c r="C19" s="1135"/>
      <c r="D19" s="1368"/>
      <c r="E19" s="1135">
        <f>SUM($C$9*E9)+($C$10*E10)+($C$11*E11)+($C$12*E12)+($C$18*E18)+($C$13*E13)+($C$14*E14)+($C$15*E15)+($C$16*E16)+($C$17*E17)</f>
        <v>0</v>
      </c>
      <c r="F19" s="1137"/>
      <c r="G19" s="1136">
        <f t="shared" ref="G19:AA19" si="16">SUM($C$9*G9)+($C$10*G10)+($C$11*G11)+($C$12*G12)+($C$18*G18)+($C$13*G13)+($C$14*G14)+($C$15*G15)+($C$16*G16)+($C$17*G17)</f>
        <v>0</v>
      </c>
      <c r="H19" s="1137"/>
      <c r="I19" s="1136">
        <f t="shared" si="16"/>
        <v>0</v>
      </c>
      <c r="J19" s="1137"/>
      <c r="K19" s="1136">
        <f t="shared" si="16"/>
        <v>0</v>
      </c>
      <c r="L19" s="1137"/>
      <c r="M19" s="1136">
        <f t="shared" si="16"/>
        <v>0</v>
      </c>
      <c r="N19" s="1137"/>
      <c r="O19" s="1136">
        <f t="shared" si="16"/>
        <v>0</v>
      </c>
      <c r="P19" s="1137"/>
      <c r="Q19" s="1136">
        <f t="shared" si="16"/>
        <v>0</v>
      </c>
      <c r="R19" s="1137"/>
      <c r="S19" s="1136">
        <f t="shared" si="16"/>
        <v>0</v>
      </c>
      <c r="T19" s="1137"/>
      <c r="U19" s="1136">
        <f t="shared" si="16"/>
        <v>0</v>
      </c>
      <c r="V19" s="1137"/>
      <c r="W19" s="1136">
        <f t="shared" si="16"/>
        <v>0</v>
      </c>
      <c r="X19" s="1137"/>
      <c r="Y19" s="1136">
        <f t="shared" si="16"/>
        <v>0</v>
      </c>
      <c r="Z19" s="1137"/>
      <c r="AA19" s="1136">
        <f t="shared" si="16"/>
        <v>0</v>
      </c>
      <c r="AB19" s="1137"/>
      <c r="AC19" s="1138">
        <f>SUM(AC8:AC18)</f>
        <v>0</v>
      </c>
      <c r="AD19" s="1139">
        <f>SUM(AD9:AD18)</f>
        <v>0</v>
      </c>
      <c r="AE19" s="1140" t="e">
        <f>SUM(AE9:AE18)</f>
        <v>#DIV/0!</v>
      </c>
      <c r="AF19" s="2098"/>
      <c r="AG19" s="1139"/>
      <c r="AH19" s="1139">
        <f>SUM(AH9:AH18)</f>
        <v>0</v>
      </c>
      <c r="AI19" s="1597" t="e">
        <f>AH19/AD19</f>
        <v>#DIV/0!</v>
      </c>
    </row>
    <row r="20" spans="1:35" s="1141" customFormat="1">
      <c r="A20" s="1133"/>
      <c r="B20" s="1143"/>
      <c r="C20" s="1143"/>
      <c r="D20" s="1143"/>
      <c r="E20" s="1143"/>
      <c r="F20" s="1143"/>
      <c r="G20" s="1143"/>
      <c r="H20" s="1143"/>
      <c r="I20" s="1143"/>
      <c r="J20" s="1143"/>
      <c r="K20" s="1143"/>
      <c r="L20" s="1143"/>
      <c r="M20" s="1143"/>
      <c r="N20" s="1143"/>
      <c r="O20" s="1143"/>
      <c r="P20" s="1143"/>
      <c r="Q20" s="1143"/>
      <c r="R20" s="1143"/>
      <c r="S20" s="1143"/>
      <c r="T20" s="1143"/>
      <c r="U20" s="1143"/>
      <c r="V20" s="1143"/>
      <c r="W20" s="1143"/>
      <c r="X20" s="1143"/>
      <c r="Y20" s="1143"/>
      <c r="Z20" s="1143"/>
      <c r="AA20" s="1143"/>
      <c r="AB20" s="1143"/>
      <c r="AC20" s="1144"/>
      <c r="AD20" s="1144"/>
      <c r="AE20" s="1145"/>
      <c r="AF20" s="2098"/>
      <c r="AG20" s="2099"/>
      <c r="AH20" s="2099"/>
      <c r="AI20" s="2099"/>
    </row>
    <row r="21" spans="1:35" ht="18.75" thickBot="1">
      <c r="A21" s="1109"/>
      <c r="B21" s="2264" t="s">
        <v>304</v>
      </c>
      <c r="C21" s="2265"/>
      <c r="D21" s="2265"/>
      <c r="E21" s="2265"/>
      <c r="F21" s="2265"/>
      <c r="G21" s="2265"/>
      <c r="H21" s="2265"/>
      <c r="I21" s="2265"/>
      <c r="J21" s="2265"/>
      <c r="K21" s="2265"/>
      <c r="L21" s="2265"/>
      <c r="M21" s="2265"/>
      <c r="N21" s="2265"/>
      <c r="O21" s="2265"/>
      <c r="P21" s="2265"/>
      <c r="Q21" s="2265"/>
      <c r="R21" s="2265"/>
      <c r="S21" s="2265"/>
      <c r="T21" s="2265"/>
      <c r="U21" s="2265"/>
      <c r="V21" s="2265"/>
      <c r="W21" s="2265"/>
      <c r="X21" s="2265"/>
      <c r="Y21" s="2265"/>
      <c r="Z21" s="2265"/>
      <c r="AA21" s="2265"/>
      <c r="AB21" s="2265"/>
      <c r="AC21" s="2265"/>
      <c r="AD21" s="2265"/>
      <c r="AE21" s="2265"/>
      <c r="AF21" s="1146"/>
      <c r="AG21" s="2094"/>
      <c r="AH21" s="2094"/>
      <c r="AI21" s="2094"/>
    </row>
    <row r="22" spans="1:35" s="1108" customFormat="1" ht="18" customHeight="1" thickTop="1">
      <c r="A22" s="1109"/>
      <c r="B22" s="2279" t="s">
        <v>328</v>
      </c>
      <c r="C22" s="2304">
        <f>ZusammenführErgebn!D3</f>
        <v>2026</v>
      </c>
      <c r="D22" s="1370"/>
      <c r="E22" s="2291" t="str">
        <f>E3</f>
        <v>Jan.</v>
      </c>
      <c r="F22" s="2258"/>
      <c r="G22" s="2258" t="str">
        <f>G3</f>
        <v>Febr.</v>
      </c>
      <c r="H22" s="2258"/>
      <c r="I22" s="2258" t="str">
        <f>I3</f>
        <v>März</v>
      </c>
      <c r="J22" s="2258"/>
      <c r="K22" s="2258" t="str">
        <f>K3</f>
        <v>April</v>
      </c>
      <c r="L22" s="2258"/>
      <c r="M22" s="2258" t="str">
        <f>M3</f>
        <v>Mai</v>
      </c>
      <c r="N22" s="2258"/>
      <c r="O22" s="2258" t="str">
        <f>O3</f>
        <v>Juni</v>
      </c>
      <c r="P22" s="2258"/>
      <c r="Q22" s="2258" t="str">
        <f>Q3</f>
        <v>Juli</v>
      </c>
      <c r="R22" s="2258"/>
      <c r="S22" s="2258" t="str">
        <f>S3</f>
        <v>Aug.</v>
      </c>
      <c r="T22" s="2258"/>
      <c r="U22" s="2258" t="str">
        <f>U3</f>
        <v>Sept.</v>
      </c>
      <c r="V22" s="2258"/>
      <c r="W22" s="2258" t="str">
        <f>W3</f>
        <v>Okt.</v>
      </c>
      <c r="X22" s="2258"/>
      <c r="Y22" s="2258" t="str">
        <f>Y3</f>
        <v>Nov.</v>
      </c>
      <c r="Z22" s="2258"/>
      <c r="AA22" s="2258" t="str">
        <f>AA3</f>
        <v>Dez.</v>
      </c>
      <c r="AB22" s="2272"/>
      <c r="AC22" s="2266" t="s">
        <v>306</v>
      </c>
      <c r="AD22" s="2270" t="s">
        <v>307</v>
      </c>
      <c r="AE22" s="2268" t="s">
        <v>308</v>
      </c>
      <c r="AF22" s="1107"/>
    </row>
    <row r="23" spans="1:35" ht="12.75" customHeight="1">
      <c r="A23" s="1109"/>
      <c r="B23" s="2280"/>
      <c r="C23" s="2303"/>
      <c r="D23" s="1371"/>
      <c r="E23" s="2292"/>
      <c r="F23" s="2259"/>
      <c r="G23" s="2259"/>
      <c r="H23" s="2259"/>
      <c r="I23" s="2259"/>
      <c r="J23" s="2259"/>
      <c r="K23" s="2259"/>
      <c r="L23" s="2259"/>
      <c r="M23" s="2259"/>
      <c r="N23" s="2259"/>
      <c r="O23" s="2259"/>
      <c r="P23" s="2259"/>
      <c r="Q23" s="2259"/>
      <c r="R23" s="2259"/>
      <c r="S23" s="2259"/>
      <c r="T23" s="2259"/>
      <c r="U23" s="2259"/>
      <c r="V23" s="2259"/>
      <c r="W23" s="2259"/>
      <c r="X23" s="2259"/>
      <c r="Y23" s="2259"/>
      <c r="Z23" s="2259"/>
      <c r="AA23" s="2259"/>
      <c r="AB23" s="2273"/>
      <c r="AC23" s="2267"/>
      <c r="AD23" s="2271"/>
      <c r="AE23" s="2269"/>
      <c r="AF23" s="2097"/>
      <c r="AG23" s="2094"/>
      <c r="AH23" s="2094"/>
      <c r="AI23" s="2094"/>
    </row>
    <row r="24" spans="1:35" ht="24" customHeight="1">
      <c r="A24" s="1109"/>
      <c r="B24" s="1147" t="s">
        <v>310</v>
      </c>
      <c r="C24" s="2250"/>
      <c r="D24" s="2251"/>
      <c r="E24" s="1369"/>
      <c r="F24" s="1111">
        <f>IF(ArbStd_MA!$F$33&gt;=1,ArbStd_MA!$F$33,IF(ArbStd_MA!$F$33&lt;1,ArbStd_MA!$F$23))</f>
        <v>144</v>
      </c>
      <c r="G24" s="1148"/>
      <c r="H24" s="1111">
        <f>IF(ArbStd_MA!$F$33&gt;=1,ArbStd_MA!$F$33,IF(ArbStd_MA!$F$33&lt;1,ArbStd_MA!$F$23))</f>
        <v>144</v>
      </c>
      <c r="I24" s="1148"/>
      <c r="J24" s="1111">
        <f>IF(ArbStd_MA!$F$33&gt;=1,ArbStd_MA!$F$33,IF(ArbStd_MA!$F$33&lt;1,ArbStd_MA!$F$23))</f>
        <v>144</v>
      </c>
      <c r="K24" s="1148"/>
      <c r="L24" s="1111">
        <f>IF(ArbStd_MA!$F$33&gt;=1,ArbStd_MA!$F$33,IF(ArbStd_MA!$F$33&lt;1,ArbStd_MA!$F$23))</f>
        <v>144</v>
      </c>
      <c r="M24" s="1148"/>
      <c r="N24" s="1111">
        <f>IF(ArbStd_MA!$F$33&gt;=1,ArbStd_MA!$F$33,IF(ArbStd_MA!$F$33&lt;1,ArbStd_MA!$F$23))</f>
        <v>144</v>
      </c>
      <c r="O24" s="1148"/>
      <c r="P24" s="1111">
        <f>IF(ArbStd_MA!$F$33&gt;=1,ArbStd_MA!$F$33,IF(ArbStd_MA!$F$33&lt;1,ArbStd_MA!$F$23))</f>
        <v>144</v>
      </c>
      <c r="Q24" s="1148"/>
      <c r="R24" s="1111">
        <f>IF(ArbStd_MA!$F$33&gt;=1,ArbStd_MA!$F$33,IF(ArbStd_MA!$F$33&lt;1,ArbStd_MA!$F$23))</f>
        <v>144</v>
      </c>
      <c r="S24" s="1148"/>
      <c r="T24" s="1111">
        <f>IF(ArbStd_MA!$F$33&gt;=1,ArbStd_MA!$F$33,IF(ArbStd_MA!$F$33&lt;1,ArbStd_MA!$F$23))</f>
        <v>144</v>
      </c>
      <c r="U24" s="1148"/>
      <c r="V24" s="1111">
        <f>IF(ArbStd_MA!$F$33&gt;=1,ArbStd_MA!$F$33,IF(ArbStd_MA!$F$33&lt;1,ArbStd_MA!$F$23))</f>
        <v>144</v>
      </c>
      <c r="W24" s="1148"/>
      <c r="X24" s="1111">
        <f>IF(ArbStd_MA!$F$33&gt;=1,ArbStd_MA!$F$33,IF(ArbStd_MA!$F$33&lt;1,ArbStd_MA!$F$23))</f>
        <v>144</v>
      </c>
      <c r="Y24" s="1148"/>
      <c r="Z24" s="1111">
        <f>IF(ArbStd_MA!$F$33&gt;=1,ArbStd_MA!$F$33,IF(ArbStd_MA!$F$33&lt;1,ArbStd_MA!$F$23))</f>
        <v>144</v>
      </c>
      <c r="AA24" s="1148"/>
      <c r="AB24" s="1111">
        <f>IF(ArbStd_MA!$F$33&gt;=1,ArbStd_MA!$F$33,IF(ArbStd_MA!$F$33&lt;1,ArbStd_MA!$F$23))</f>
        <v>144</v>
      </c>
      <c r="AC24" s="1149"/>
      <c r="AD24" s="1150"/>
      <c r="AE24" s="1151"/>
      <c r="AF24" s="2097"/>
      <c r="AG24" s="2094"/>
      <c r="AH24" s="2094"/>
      <c r="AI24" s="2094"/>
    </row>
    <row r="25" spans="1:35" ht="16.5" customHeight="1">
      <c r="A25" s="1109"/>
      <c r="B25" s="1152" t="s">
        <v>311</v>
      </c>
      <c r="C25" s="2252"/>
      <c r="D25" s="2253"/>
      <c r="E25" s="1369"/>
      <c r="F25" s="1111">
        <f>SUM(F28:F37)</f>
        <v>0</v>
      </c>
      <c r="G25" s="1111"/>
      <c r="H25" s="1111">
        <f>SUM(H28:H37)</f>
        <v>0</v>
      </c>
      <c r="I25" s="1111"/>
      <c r="J25" s="1111">
        <f>SUM(J28:J37)</f>
        <v>0</v>
      </c>
      <c r="K25" s="1111"/>
      <c r="L25" s="1111">
        <f>SUM(L28:L37)</f>
        <v>0</v>
      </c>
      <c r="M25" s="1111"/>
      <c r="N25" s="1111">
        <f>SUM(N28:N37)</f>
        <v>0</v>
      </c>
      <c r="O25" s="1111"/>
      <c r="P25" s="1111">
        <f>SUM(P28:P37)</f>
        <v>0</v>
      </c>
      <c r="Q25" s="1111"/>
      <c r="R25" s="1111">
        <f>SUM(R28:R37)</f>
        <v>0</v>
      </c>
      <c r="S25" s="1111"/>
      <c r="T25" s="1111">
        <f>SUM(T28:T37)</f>
        <v>0</v>
      </c>
      <c r="U25" s="1111"/>
      <c r="V25" s="1111">
        <f>SUM(V28:V37)</f>
        <v>0</v>
      </c>
      <c r="W25" s="1111"/>
      <c r="X25" s="1111">
        <f>SUM(X28:X37)</f>
        <v>0</v>
      </c>
      <c r="Y25" s="1111"/>
      <c r="Z25" s="1111">
        <f>SUM(Z28:Z37)</f>
        <v>0</v>
      </c>
      <c r="AA25" s="1111"/>
      <c r="AB25" s="1111">
        <f>SUM(AB28:AB37)</f>
        <v>0</v>
      </c>
      <c r="AC25" s="1153">
        <f>SUM(E25:AB25)/12</f>
        <v>0</v>
      </c>
      <c r="AD25" s="1154"/>
      <c r="AE25" s="1151"/>
      <c r="AF25" s="2097"/>
      <c r="AG25" s="2094"/>
      <c r="AH25" s="2094"/>
      <c r="AI25" s="2094"/>
    </row>
    <row r="26" spans="1:35" s="1125" customFormat="1" ht="51">
      <c r="A26" s="1117"/>
      <c r="B26" s="1147"/>
      <c r="C26" s="1118" t="s">
        <v>312</v>
      </c>
      <c r="D26" s="1372" t="s">
        <v>313</v>
      </c>
      <c r="E26" s="1118" t="s">
        <v>314</v>
      </c>
      <c r="F26" s="1120" t="s">
        <v>315</v>
      </c>
      <c r="G26" s="1155" t="s">
        <v>314</v>
      </c>
      <c r="H26" s="1120" t="s">
        <v>315</v>
      </c>
      <c r="I26" s="1155" t="s">
        <v>314</v>
      </c>
      <c r="J26" s="1120" t="s">
        <v>315</v>
      </c>
      <c r="K26" s="1155" t="s">
        <v>314</v>
      </c>
      <c r="L26" s="1120" t="s">
        <v>315</v>
      </c>
      <c r="M26" s="1155" t="s">
        <v>314</v>
      </c>
      <c r="N26" s="1120" t="s">
        <v>315</v>
      </c>
      <c r="O26" s="1155" t="s">
        <v>314</v>
      </c>
      <c r="P26" s="1120" t="s">
        <v>315</v>
      </c>
      <c r="Q26" s="1155" t="s">
        <v>314</v>
      </c>
      <c r="R26" s="1120" t="s">
        <v>315</v>
      </c>
      <c r="S26" s="1155" t="s">
        <v>314</v>
      </c>
      <c r="T26" s="1120" t="s">
        <v>315</v>
      </c>
      <c r="U26" s="1155" t="s">
        <v>314</v>
      </c>
      <c r="V26" s="1120" t="s">
        <v>315</v>
      </c>
      <c r="W26" s="1155" t="s">
        <v>314</v>
      </c>
      <c r="X26" s="1120" t="s">
        <v>315</v>
      </c>
      <c r="Y26" s="1155" t="s">
        <v>314</v>
      </c>
      <c r="Z26" s="1120" t="s">
        <v>315</v>
      </c>
      <c r="AA26" s="1155" t="s">
        <v>314</v>
      </c>
      <c r="AB26" s="1120" t="s">
        <v>315</v>
      </c>
      <c r="AC26" s="1142"/>
      <c r="AD26" s="1156"/>
      <c r="AE26" s="1157"/>
      <c r="AF26" s="1124"/>
    </row>
    <row r="27" spans="1:35" ht="6" customHeight="1">
      <c r="A27" s="1109"/>
      <c r="B27" s="1158"/>
      <c r="C27" s="1159"/>
      <c r="D27" s="1151"/>
      <c r="E27" s="1160"/>
      <c r="F27" s="1159"/>
      <c r="G27" s="1160"/>
      <c r="H27" s="1159"/>
      <c r="I27" s="1160"/>
      <c r="J27" s="1159"/>
      <c r="K27" s="1160"/>
      <c r="L27" s="1159"/>
      <c r="M27" s="1160"/>
      <c r="N27" s="1159"/>
      <c r="O27" s="1160"/>
      <c r="P27" s="1159"/>
      <c r="Q27" s="1160"/>
      <c r="R27" s="1159"/>
      <c r="S27" s="1160"/>
      <c r="T27" s="1159"/>
      <c r="U27" s="1160"/>
      <c r="V27" s="1159"/>
      <c r="W27" s="1160"/>
      <c r="X27" s="1159"/>
      <c r="Y27" s="1160"/>
      <c r="Z27" s="1159"/>
      <c r="AA27" s="1160"/>
      <c r="AB27" s="1159"/>
      <c r="AC27" s="1161"/>
      <c r="AD27" s="1128"/>
      <c r="AE27" s="1162"/>
      <c r="AF27" s="2097"/>
      <c r="AG27" s="2094"/>
      <c r="AH27" s="2094"/>
      <c r="AI27" s="2094"/>
    </row>
    <row r="28" spans="1:35" ht="15.75" customHeight="1">
      <c r="A28" s="1109"/>
      <c r="B28" s="150" t="s">
        <v>329</v>
      </c>
      <c r="C28" s="1377"/>
      <c r="D28" s="1373"/>
      <c r="E28" s="1360"/>
      <c r="F28" s="1381">
        <f>D28*E28</f>
        <v>0</v>
      </c>
      <c r="G28" s="86"/>
      <c r="H28" s="1381">
        <f>D28*G28</f>
        <v>0</v>
      </c>
      <c r="I28" s="86"/>
      <c r="J28" s="1381">
        <f>D28*I28</f>
        <v>0</v>
      </c>
      <c r="K28" s="86"/>
      <c r="L28" s="1381">
        <f>D28*K28</f>
        <v>0</v>
      </c>
      <c r="M28" s="86"/>
      <c r="N28" s="1381">
        <f>D28*M28</f>
        <v>0</v>
      </c>
      <c r="O28" s="86"/>
      <c r="P28" s="1381">
        <f>D28*O28</f>
        <v>0</v>
      </c>
      <c r="Q28" s="86"/>
      <c r="R28" s="1381">
        <f>D28*Q28</f>
        <v>0</v>
      </c>
      <c r="S28" s="86"/>
      <c r="T28" s="1381">
        <f>D28*S28</f>
        <v>0</v>
      </c>
      <c r="U28" s="86"/>
      <c r="V28" s="1381">
        <f>D28*U28</f>
        <v>0</v>
      </c>
      <c r="W28" s="86"/>
      <c r="X28" s="1381">
        <f>D28*W28</f>
        <v>0</v>
      </c>
      <c r="Y28" s="86"/>
      <c r="Z28" s="1381">
        <f>D28*Y28</f>
        <v>0</v>
      </c>
      <c r="AA28" s="86"/>
      <c r="AB28" s="1381">
        <f>D28*AA28</f>
        <v>0</v>
      </c>
      <c r="AC28" s="1130">
        <f t="shared" ref="AC28:AC37" si="17">E28+G28+I28+K28+M28+O28+Q28+S28+U28+W28+Y28+AA28</f>
        <v>0</v>
      </c>
      <c r="AD28" s="1131">
        <f t="shared" ref="AD28:AD37" si="18">(E28+G28+I28+K28+M28+O28+Q28+S28+U28+W28+Y28+AA28)*C28</f>
        <v>0</v>
      </c>
      <c r="AE28" s="1163" t="e">
        <f t="shared" ref="AE28:AE37" si="19">AD28/$AD$38</f>
        <v>#DIV/0!</v>
      </c>
      <c r="AF28" s="2097"/>
      <c r="AG28" s="2094"/>
      <c r="AH28" s="2094"/>
      <c r="AI28" s="2094"/>
    </row>
    <row r="29" spans="1:35" ht="15.75" customHeight="1">
      <c r="A29" s="1109"/>
      <c r="B29" s="150" t="s">
        <v>330</v>
      </c>
      <c r="C29" s="1377"/>
      <c r="D29" s="1373"/>
      <c r="E29" s="1360"/>
      <c r="F29" s="1381">
        <f t="shared" ref="F29:F37" si="20">D29*E29</f>
        <v>0</v>
      </c>
      <c r="G29" s="86"/>
      <c r="H29" s="1381">
        <f t="shared" ref="H29:H37" si="21">D29*G29</f>
        <v>0</v>
      </c>
      <c r="I29" s="86"/>
      <c r="J29" s="1381">
        <f t="shared" ref="J29:J37" si="22">D29*I29</f>
        <v>0</v>
      </c>
      <c r="K29" s="86"/>
      <c r="L29" s="1381">
        <f t="shared" ref="L29:L37" si="23">D29*K29</f>
        <v>0</v>
      </c>
      <c r="M29" s="86"/>
      <c r="N29" s="1381">
        <f t="shared" ref="N29:N37" si="24">D29*M29</f>
        <v>0</v>
      </c>
      <c r="O29" s="86"/>
      <c r="P29" s="1381">
        <f t="shared" ref="P29:P37" si="25">D29*O29</f>
        <v>0</v>
      </c>
      <c r="Q29" s="86"/>
      <c r="R29" s="1381">
        <f t="shared" ref="R29:R37" si="26">D29*Q29</f>
        <v>0</v>
      </c>
      <c r="S29" s="86"/>
      <c r="T29" s="1381">
        <f t="shared" ref="T29:T37" si="27">D29*S29</f>
        <v>0</v>
      </c>
      <c r="U29" s="86"/>
      <c r="V29" s="1381">
        <f t="shared" ref="V29:V37" si="28">D29*U29</f>
        <v>0</v>
      </c>
      <c r="W29" s="86"/>
      <c r="X29" s="1381">
        <f t="shared" ref="X29:X37" si="29">D29*W29</f>
        <v>0</v>
      </c>
      <c r="Y29" s="86"/>
      <c r="Z29" s="1381">
        <f t="shared" ref="Z29:Z37" si="30">D29*Y29</f>
        <v>0</v>
      </c>
      <c r="AA29" s="86"/>
      <c r="AB29" s="1381">
        <f t="shared" ref="AB29:AB37" si="31">D29*AA29</f>
        <v>0</v>
      </c>
      <c r="AC29" s="1130">
        <f t="shared" si="17"/>
        <v>0</v>
      </c>
      <c r="AD29" s="1131">
        <f t="shared" si="18"/>
        <v>0</v>
      </c>
      <c r="AE29" s="1163" t="e">
        <f t="shared" si="19"/>
        <v>#DIV/0!</v>
      </c>
      <c r="AF29" s="2097"/>
      <c r="AG29" s="2094"/>
      <c r="AH29" s="2094"/>
      <c r="AI29" s="2094"/>
    </row>
    <row r="30" spans="1:35" ht="15.75" customHeight="1">
      <c r="A30" s="1109"/>
      <c r="B30" s="150" t="s">
        <v>331</v>
      </c>
      <c r="C30" s="1377"/>
      <c r="D30" s="1373"/>
      <c r="E30" s="1360"/>
      <c r="F30" s="1381">
        <f t="shared" si="20"/>
        <v>0</v>
      </c>
      <c r="G30" s="86"/>
      <c r="H30" s="1381">
        <f t="shared" si="21"/>
        <v>0</v>
      </c>
      <c r="I30" s="86"/>
      <c r="J30" s="1381">
        <f t="shared" si="22"/>
        <v>0</v>
      </c>
      <c r="K30" s="86"/>
      <c r="L30" s="1381">
        <f t="shared" si="23"/>
        <v>0</v>
      </c>
      <c r="M30" s="86"/>
      <c r="N30" s="1381">
        <f t="shared" si="24"/>
        <v>0</v>
      </c>
      <c r="O30" s="86"/>
      <c r="P30" s="1381">
        <f t="shared" si="25"/>
        <v>0</v>
      </c>
      <c r="Q30" s="86"/>
      <c r="R30" s="1381">
        <f t="shared" si="26"/>
        <v>0</v>
      </c>
      <c r="S30" s="86"/>
      <c r="T30" s="1381">
        <f t="shared" si="27"/>
        <v>0</v>
      </c>
      <c r="U30" s="86"/>
      <c r="V30" s="1381">
        <f t="shared" si="28"/>
        <v>0</v>
      </c>
      <c r="W30" s="86"/>
      <c r="X30" s="1381">
        <f t="shared" si="29"/>
        <v>0</v>
      </c>
      <c r="Y30" s="86"/>
      <c r="Z30" s="1381">
        <f t="shared" si="30"/>
        <v>0</v>
      </c>
      <c r="AA30" s="86"/>
      <c r="AB30" s="1381">
        <f t="shared" si="31"/>
        <v>0</v>
      </c>
      <c r="AC30" s="1130">
        <f t="shared" si="17"/>
        <v>0</v>
      </c>
      <c r="AD30" s="1131">
        <f t="shared" si="18"/>
        <v>0</v>
      </c>
      <c r="AE30" s="1163" t="e">
        <f t="shared" si="19"/>
        <v>#DIV/0!</v>
      </c>
      <c r="AF30" s="2097"/>
      <c r="AG30" s="2094"/>
      <c r="AH30" s="2094"/>
      <c r="AI30" s="2094"/>
    </row>
    <row r="31" spans="1:35" ht="15.75" customHeight="1">
      <c r="A31" s="1109"/>
      <c r="B31" s="150" t="s">
        <v>332</v>
      </c>
      <c r="C31" s="1377"/>
      <c r="D31" s="1373"/>
      <c r="E31" s="1360"/>
      <c r="F31" s="1381">
        <f t="shared" si="20"/>
        <v>0</v>
      </c>
      <c r="G31" s="86"/>
      <c r="H31" s="1381">
        <f t="shared" si="21"/>
        <v>0</v>
      </c>
      <c r="I31" s="86"/>
      <c r="J31" s="1381">
        <f t="shared" si="22"/>
        <v>0</v>
      </c>
      <c r="K31" s="86"/>
      <c r="L31" s="1381">
        <f t="shared" si="23"/>
        <v>0</v>
      </c>
      <c r="M31" s="86"/>
      <c r="N31" s="1381">
        <f t="shared" si="24"/>
        <v>0</v>
      </c>
      <c r="O31" s="86"/>
      <c r="P31" s="1381">
        <f t="shared" si="25"/>
        <v>0</v>
      </c>
      <c r="Q31" s="86"/>
      <c r="R31" s="1381">
        <f t="shared" si="26"/>
        <v>0</v>
      </c>
      <c r="S31" s="86"/>
      <c r="T31" s="1381">
        <f t="shared" si="27"/>
        <v>0</v>
      </c>
      <c r="U31" s="86"/>
      <c r="V31" s="1381">
        <f t="shared" si="28"/>
        <v>0</v>
      </c>
      <c r="W31" s="86"/>
      <c r="X31" s="1381">
        <f t="shared" si="29"/>
        <v>0</v>
      </c>
      <c r="Y31" s="86"/>
      <c r="Z31" s="1381">
        <f t="shared" si="30"/>
        <v>0</v>
      </c>
      <c r="AA31" s="86"/>
      <c r="AB31" s="1381">
        <f t="shared" si="31"/>
        <v>0</v>
      </c>
      <c r="AC31" s="1130">
        <f t="shared" si="17"/>
        <v>0</v>
      </c>
      <c r="AD31" s="1131">
        <f t="shared" si="18"/>
        <v>0</v>
      </c>
      <c r="AE31" s="1163" t="e">
        <f t="shared" si="19"/>
        <v>#DIV/0!</v>
      </c>
      <c r="AF31" s="2097"/>
      <c r="AG31" s="2094"/>
      <c r="AH31" s="2094"/>
      <c r="AI31" s="2094"/>
    </row>
    <row r="32" spans="1:35" ht="15.75" customHeight="1">
      <c r="A32" s="1109"/>
      <c r="B32" s="150" t="s">
        <v>322</v>
      </c>
      <c r="C32" s="1378"/>
      <c r="D32" s="1374"/>
      <c r="E32" s="1360"/>
      <c r="F32" s="1381">
        <f t="shared" si="20"/>
        <v>0</v>
      </c>
      <c r="G32" s="86"/>
      <c r="H32" s="1381">
        <f t="shared" si="21"/>
        <v>0</v>
      </c>
      <c r="I32" s="86"/>
      <c r="J32" s="1381">
        <f t="shared" si="22"/>
        <v>0</v>
      </c>
      <c r="K32" s="86"/>
      <c r="L32" s="1381">
        <f t="shared" si="23"/>
        <v>0</v>
      </c>
      <c r="M32" s="86"/>
      <c r="N32" s="1381">
        <f t="shared" si="24"/>
        <v>0</v>
      </c>
      <c r="O32" s="86"/>
      <c r="P32" s="1381">
        <f t="shared" si="25"/>
        <v>0</v>
      </c>
      <c r="Q32" s="86"/>
      <c r="R32" s="1381">
        <f t="shared" si="26"/>
        <v>0</v>
      </c>
      <c r="S32" s="86"/>
      <c r="T32" s="1381">
        <f t="shared" si="27"/>
        <v>0</v>
      </c>
      <c r="U32" s="86"/>
      <c r="V32" s="1381">
        <f t="shared" si="28"/>
        <v>0</v>
      </c>
      <c r="W32" s="86"/>
      <c r="X32" s="1381">
        <f t="shared" si="29"/>
        <v>0</v>
      </c>
      <c r="Y32" s="86"/>
      <c r="Z32" s="1381">
        <f t="shared" si="30"/>
        <v>0</v>
      </c>
      <c r="AA32" s="86"/>
      <c r="AB32" s="1381">
        <f t="shared" si="31"/>
        <v>0</v>
      </c>
      <c r="AC32" s="1130">
        <f t="shared" si="17"/>
        <v>0</v>
      </c>
      <c r="AD32" s="1131">
        <f t="shared" si="18"/>
        <v>0</v>
      </c>
      <c r="AE32" s="1163" t="e">
        <f t="shared" si="19"/>
        <v>#DIV/0!</v>
      </c>
      <c r="AF32" s="2097"/>
      <c r="AG32" s="2094"/>
      <c r="AH32" s="2094"/>
      <c r="AI32" s="2094"/>
    </row>
    <row r="33" spans="1:32" ht="15.75" customHeight="1">
      <c r="A33" s="1109"/>
      <c r="B33" s="150" t="s">
        <v>323</v>
      </c>
      <c r="C33" s="1378"/>
      <c r="D33" s="1374"/>
      <c r="E33" s="1360"/>
      <c r="F33" s="1381">
        <f t="shared" si="20"/>
        <v>0</v>
      </c>
      <c r="G33" s="86"/>
      <c r="H33" s="1381">
        <f t="shared" si="21"/>
        <v>0</v>
      </c>
      <c r="I33" s="86"/>
      <c r="J33" s="1381">
        <f t="shared" si="22"/>
        <v>0</v>
      </c>
      <c r="K33" s="86"/>
      <c r="L33" s="1381">
        <f t="shared" si="23"/>
        <v>0</v>
      </c>
      <c r="M33" s="86"/>
      <c r="N33" s="1381">
        <f t="shared" si="24"/>
        <v>0</v>
      </c>
      <c r="O33" s="86"/>
      <c r="P33" s="1381">
        <f t="shared" si="25"/>
        <v>0</v>
      </c>
      <c r="Q33" s="86"/>
      <c r="R33" s="1381">
        <f t="shared" si="26"/>
        <v>0</v>
      </c>
      <c r="S33" s="86"/>
      <c r="T33" s="1381">
        <f t="shared" si="27"/>
        <v>0</v>
      </c>
      <c r="U33" s="86"/>
      <c r="V33" s="1381">
        <f t="shared" si="28"/>
        <v>0</v>
      </c>
      <c r="W33" s="86"/>
      <c r="X33" s="1381">
        <f t="shared" si="29"/>
        <v>0</v>
      </c>
      <c r="Y33" s="86"/>
      <c r="Z33" s="1381">
        <f t="shared" si="30"/>
        <v>0</v>
      </c>
      <c r="AA33" s="86"/>
      <c r="AB33" s="1381">
        <f t="shared" si="31"/>
        <v>0</v>
      </c>
      <c r="AC33" s="1130">
        <f t="shared" si="17"/>
        <v>0</v>
      </c>
      <c r="AD33" s="1131">
        <f t="shared" si="18"/>
        <v>0</v>
      </c>
      <c r="AE33" s="1163" t="e">
        <f t="shared" si="19"/>
        <v>#DIV/0!</v>
      </c>
      <c r="AF33" s="2097"/>
    </row>
    <row r="34" spans="1:32" ht="15.75" customHeight="1">
      <c r="A34" s="1109"/>
      <c r="B34" s="150" t="s">
        <v>324</v>
      </c>
      <c r="C34" s="1378"/>
      <c r="D34" s="1374"/>
      <c r="E34" s="1360"/>
      <c r="F34" s="1381">
        <f t="shared" si="20"/>
        <v>0</v>
      </c>
      <c r="G34" s="86"/>
      <c r="H34" s="1381">
        <f t="shared" si="21"/>
        <v>0</v>
      </c>
      <c r="I34" s="86"/>
      <c r="J34" s="1381">
        <f t="shared" si="22"/>
        <v>0</v>
      </c>
      <c r="K34" s="86"/>
      <c r="L34" s="1381">
        <f t="shared" si="23"/>
        <v>0</v>
      </c>
      <c r="M34" s="86"/>
      <c r="N34" s="1381">
        <f t="shared" si="24"/>
        <v>0</v>
      </c>
      <c r="O34" s="86"/>
      <c r="P34" s="1381">
        <f t="shared" si="25"/>
        <v>0</v>
      </c>
      <c r="Q34" s="86"/>
      <c r="R34" s="1381">
        <f t="shared" si="26"/>
        <v>0</v>
      </c>
      <c r="S34" s="86"/>
      <c r="T34" s="1381">
        <f t="shared" si="27"/>
        <v>0</v>
      </c>
      <c r="U34" s="86"/>
      <c r="V34" s="1381">
        <f t="shared" si="28"/>
        <v>0</v>
      </c>
      <c r="W34" s="86"/>
      <c r="X34" s="1381">
        <f t="shared" si="29"/>
        <v>0</v>
      </c>
      <c r="Y34" s="86"/>
      <c r="Z34" s="1381">
        <f t="shared" si="30"/>
        <v>0</v>
      </c>
      <c r="AA34" s="86"/>
      <c r="AB34" s="1381">
        <f t="shared" si="31"/>
        <v>0</v>
      </c>
      <c r="AC34" s="1130">
        <f t="shared" si="17"/>
        <v>0</v>
      </c>
      <c r="AD34" s="1131">
        <f t="shared" si="18"/>
        <v>0</v>
      </c>
      <c r="AE34" s="1163" t="e">
        <f t="shared" si="19"/>
        <v>#DIV/0!</v>
      </c>
      <c r="AF34" s="2097"/>
    </row>
    <row r="35" spans="1:32" ht="15.75" customHeight="1">
      <c r="A35" s="1109"/>
      <c r="B35" s="150" t="s">
        <v>325</v>
      </c>
      <c r="C35" s="1378"/>
      <c r="D35" s="1374"/>
      <c r="E35" s="1360"/>
      <c r="F35" s="1381">
        <f t="shared" si="20"/>
        <v>0</v>
      </c>
      <c r="G35" s="86"/>
      <c r="H35" s="1381">
        <f t="shared" si="21"/>
        <v>0</v>
      </c>
      <c r="I35" s="86"/>
      <c r="J35" s="1381">
        <f t="shared" si="22"/>
        <v>0</v>
      </c>
      <c r="K35" s="86"/>
      <c r="L35" s="1381">
        <f t="shared" si="23"/>
        <v>0</v>
      </c>
      <c r="M35" s="86"/>
      <c r="N35" s="1381">
        <f t="shared" si="24"/>
        <v>0</v>
      </c>
      <c r="O35" s="86"/>
      <c r="P35" s="1381">
        <f t="shared" si="25"/>
        <v>0</v>
      </c>
      <c r="Q35" s="86"/>
      <c r="R35" s="1381">
        <f t="shared" si="26"/>
        <v>0</v>
      </c>
      <c r="S35" s="86"/>
      <c r="T35" s="1381">
        <f t="shared" si="27"/>
        <v>0</v>
      </c>
      <c r="U35" s="86"/>
      <c r="V35" s="1381">
        <f t="shared" si="28"/>
        <v>0</v>
      </c>
      <c r="W35" s="86"/>
      <c r="X35" s="1381">
        <f t="shared" si="29"/>
        <v>0</v>
      </c>
      <c r="Y35" s="86"/>
      <c r="Z35" s="1381">
        <f t="shared" si="30"/>
        <v>0</v>
      </c>
      <c r="AA35" s="86"/>
      <c r="AB35" s="1381">
        <f t="shared" si="31"/>
        <v>0</v>
      </c>
      <c r="AC35" s="1130">
        <f t="shared" si="17"/>
        <v>0</v>
      </c>
      <c r="AD35" s="1131">
        <f t="shared" si="18"/>
        <v>0</v>
      </c>
      <c r="AE35" s="1163" t="e">
        <f t="shared" si="19"/>
        <v>#DIV/0!</v>
      </c>
      <c r="AF35" s="2097"/>
    </row>
    <row r="36" spans="1:32" ht="15.75" customHeight="1">
      <c r="A36" s="1109"/>
      <c r="B36" s="150" t="s">
        <v>326</v>
      </c>
      <c r="C36" s="1378"/>
      <c r="D36" s="1374"/>
      <c r="E36" s="1360"/>
      <c r="F36" s="1381">
        <f t="shared" si="20"/>
        <v>0</v>
      </c>
      <c r="G36" s="86"/>
      <c r="H36" s="1381">
        <f t="shared" si="21"/>
        <v>0</v>
      </c>
      <c r="I36" s="86"/>
      <c r="J36" s="1381">
        <f t="shared" si="22"/>
        <v>0</v>
      </c>
      <c r="K36" s="86"/>
      <c r="L36" s="1381">
        <f t="shared" si="23"/>
        <v>0</v>
      </c>
      <c r="M36" s="86"/>
      <c r="N36" s="1381">
        <f t="shared" si="24"/>
        <v>0</v>
      </c>
      <c r="O36" s="86"/>
      <c r="P36" s="1381">
        <f t="shared" si="25"/>
        <v>0</v>
      </c>
      <c r="Q36" s="86"/>
      <c r="R36" s="1381">
        <f t="shared" si="26"/>
        <v>0</v>
      </c>
      <c r="S36" s="86"/>
      <c r="T36" s="1381">
        <f t="shared" si="27"/>
        <v>0</v>
      </c>
      <c r="U36" s="86"/>
      <c r="V36" s="1381">
        <f t="shared" si="28"/>
        <v>0</v>
      </c>
      <c r="W36" s="86"/>
      <c r="X36" s="1381">
        <f t="shared" si="29"/>
        <v>0</v>
      </c>
      <c r="Y36" s="86"/>
      <c r="Z36" s="1381">
        <f t="shared" si="30"/>
        <v>0</v>
      </c>
      <c r="AA36" s="86"/>
      <c r="AB36" s="1381">
        <f t="shared" si="31"/>
        <v>0</v>
      </c>
      <c r="AC36" s="1130">
        <f t="shared" si="17"/>
        <v>0</v>
      </c>
      <c r="AD36" s="1131">
        <f t="shared" si="18"/>
        <v>0</v>
      </c>
      <c r="AE36" s="1163" t="e">
        <f t="shared" si="19"/>
        <v>#DIV/0!</v>
      </c>
      <c r="AF36" s="2097"/>
    </row>
    <row r="37" spans="1:32" ht="15.75" customHeight="1">
      <c r="A37" s="1109"/>
      <c r="B37" s="151" t="s">
        <v>327</v>
      </c>
      <c r="C37" s="1377"/>
      <c r="D37" s="1375"/>
      <c r="E37" s="1361"/>
      <c r="F37" s="1381">
        <f t="shared" si="20"/>
        <v>0</v>
      </c>
      <c r="G37" s="87"/>
      <c r="H37" s="1381">
        <f t="shared" si="21"/>
        <v>0</v>
      </c>
      <c r="I37" s="87"/>
      <c r="J37" s="1381">
        <f t="shared" si="22"/>
        <v>0</v>
      </c>
      <c r="K37" s="87"/>
      <c r="L37" s="1381">
        <f t="shared" si="23"/>
        <v>0</v>
      </c>
      <c r="M37" s="87"/>
      <c r="N37" s="1381">
        <f t="shared" si="24"/>
        <v>0</v>
      </c>
      <c r="O37" s="87"/>
      <c r="P37" s="1381">
        <f t="shared" si="25"/>
        <v>0</v>
      </c>
      <c r="Q37" s="87"/>
      <c r="R37" s="1381">
        <f t="shared" si="26"/>
        <v>0</v>
      </c>
      <c r="S37" s="87"/>
      <c r="T37" s="1381">
        <f t="shared" si="27"/>
        <v>0</v>
      </c>
      <c r="U37" s="87"/>
      <c r="V37" s="1381">
        <f t="shared" si="28"/>
        <v>0</v>
      </c>
      <c r="W37" s="87"/>
      <c r="X37" s="1381">
        <f t="shared" si="29"/>
        <v>0</v>
      </c>
      <c r="Y37" s="87"/>
      <c r="Z37" s="1381">
        <f t="shared" si="30"/>
        <v>0</v>
      </c>
      <c r="AA37" s="87"/>
      <c r="AB37" s="1381">
        <f t="shared" si="31"/>
        <v>0</v>
      </c>
      <c r="AC37" s="1130">
        <f t="shared" si="17"/>
        <v>0</v>
      </c>
      <c r="AD37" s="1131">
        <f t="shared" si="18"/>
        <v>0</v>
      </c>
      <c r="AE37" s="1163" t="e">
        <f t="shared" si="19"/>
        <v>#DIV/0!</v>
      </c>
      <c r="AF37" s="2097"/>
    </row>
    <row r="38" spans="1:32" s="1141" customFormat="1" ht="15.75" customHeight="1" thickBot="1">
      <c r="A38" s="1133"/>
      <c r="B38" s="1164" t="s">
        <v>227</v>
      </c>
      <c r="C38" s="1380"/>
      <c r="D38" s="1376"/>
      <c r="E38" s="1165">
        <f>SUM($C$28*E28)+($C$29*E29)+($C$30*E30)+($C$31*E31)+($C$32*E32)+($C$33*E33)+($C$34*E34)+($C$35*E35)+($C$36*E36)+($C$37*E37)</f>
        <v>0</v>
      </c>
      <c r="F38" s="1167"/>
      <c r="G38" s="1166">
        <f t="shared" ref="G38:AA38" si="32">SUM($C$28*G28)+($C$29*G29)+($C$30*G30)+($C$31*G31)+($C$32*G32)+($C$33*G33)+($C$34*G34)+($C$35*G35)+($C$36*G36)+($C$37*G37)</f>
        <v>0</v>
      </c>
      <c r="H38" s="1167"/>
      <c r="I38" s="1166">
        <f t="shared" si="32"/>
        <v>0</v>
      </c>
      <c r="J38" s="1167"/>
      <c r="K38" s="1166">
        <f t="shared" si="32"/>
        <v>0</v>
      </c>
      <c r="L38" s="1167"/>
      <c r="M38" s="1166">
        <f t="shared" si="32"/>
        <v>0</v>
      </c>
      <c r="N38" s="1167"/>
      <c r="O38" s="1166">
        <f t="shared" si="32"/>
        <v>0</v>
      </c>
      <c r="P38" s="1167"/>
      <c r="Q38" s="1166">
        <f t="shared" si="32"/>
        <v>0</v>
      </c>
      <c r="R38" s="1167"/>
      <c r="S38" s="1166">
        <f t="shared" si="32"/>
        <v>0</v>
      </c>
      <c r="T38" s="1167"/>
      <c r="U38" s="1166">
        <f t="shared" si="32"/>
        <v>0</v>
      </c>
      <c r="V38" s="1167"/>
      <c r="W38" s="1166">
        <f t="shared" si="32"/>
        <v>0</v>
      </c>
      <c r="X38" s="1167"/>
      <c r="Y38" s="1166">
        <f t="shared" si="32"/>
        <v>0</v>
      </c>
      <c r="Z38" s="1167"/>
      <c r="AA38" s="1166">
        <f t="shared" si="32"/>
        <v>0</v>
      </c>
      <c r="AB38" s="1167"/>
      <c r="AC38" s="1168">
        <f>SUM(AC27:AC37)</f>
        <v>0</v>
      </c>
      <c r="AD38" s="1169">
        <f>SUM(AD28:AD37)</f>
        <v>0</v>
      </c>
      <c r="AE38" s="1170" t="e">
        <f>SUM(AE28:AE37)</f>
        <v>#DIV/0!</v>
      </c>
      <c r="AF38" s="2098"/>
    </row>
    <row r="39" spans="1:32" s="1141" customFormat="1" ht="13.5" thickTop="1">
      <c r="A39" s="1133"/>
      <c r="B39" s="1143"/>
      <c r="C39" s="1143"/>
      <c r="D39" s="1143"/>
      <c r="E39" s="1143"/>
      <c r="F39" s="1143"/>
      <c r="G39" s="1143"/>
      <c r="H39" s="1143"/>
      <c r="I39" s="1143"/>
      <c r="J39" s="1143"/>
      <c r="K39" s="1143"/>
      <c r="L39" s="1143"/>
      <c r="M39" s="1143"/>
      <c r="N39" s="1143"/>
      <c r="O39" s="1143"/>
      <c r="P39" s="1143"/>
      <c r="Q39" s="1143"/>
      <c r="R39" s="1143"/>
      <c r="S39" s="1143"/>
      <c r="T39" s="1143"/>
      <c r="U39" s="1143"/>
      <c r="V39" s="1143"/>
      <c r="W39" s="1143"/>
      <c r="X39" s="1143"/>
      <c r="Y39" s="1143"/>
      <c r="Z39" s="1143"/>
      <c r="AA39" s="1143"/>
      <c r="AB39" s="1143"/>
      <c r="AC39" s="1144"/>
      <c r="AD39" s="1144"/>
      <c r="AE39" s="1145"/>
      <c r="AF39" s="2098"/>
    </row>
    <row r="40" spans="1:32" ht="18.75" thickBot="1">
      <c r="A40" s="1109"/>
      <c r="B40" s="2264" t="s">
        <v>304</v>
      </c>
      <c r="C40" s="2265"/>
      <c r="D40" s="2265"/>
      <c r="E40" s="2265"/>
      <c r="F40" s="2265"/>
      <c r="G40" s="2265"/>
      <c r="H40" s="2265"/>
      <c r="I40" s="2265"/>
      <c r="J40" s="2265"/>
      <c r="K40" s="2265"/>
      <c r="L40" s="2265"/>
      <c r="M40" s="2265"/>
      <c r="N40" s="2265"/>
      <c r="O40" s="2265"/>
      <c r="P40" s="2265"/>
      <c r="Q40" s="2265"/>
      <c r="R40" s="2265"/>
      <c r="S40" s="2265"/>
      <c r="T40" s="2265"/>
      <c r="U40" s="2265"/>
      <c r="V40" s="2265"/>
      <c r="W40" s="2265"/>
      <c r="X40" s="2265"/>
      <c r="Y40" s="2265"/>
      <c r="Z40" s="2265"/>
      <c r="AA40" s="2265"/>
      <c r="AB40" s="2265"/>
      <c r="AC40" s="2265"/>
      <c r="AD40" s="2265"/>
      <c r="AE40" s="2265"/>
      <c r="AF40" s="2097"/>
    </row>
    <row r="41" spans="1:32" s="1108" customFormat="1" ht="18" customHeight="1" thickTop="1">
      <c r="A41" s="1106"/>
      <c r="B41" s="2279" t="s">
        <v>333</v>
      </c>
      <c r="C41" s="2304">
        <f>ZusammenführErgebn!E3</f>
        <v>2027</v>
      </c>
      <c r="D41" s="1370"/>
      <c r="E41" s="2291" t="str">
        <f>E22</f>
        <v>Jan.</v>
      </c>
      <c r="F41" s="2258"/>
      <c r="G41" s="2258" t="str">
        <f>G22</f>
        <v>Febr.</v>
      </c>
      <c r="H41" s="2258"/>
      <c r="I41" s="2258" t="str">
        <f>I22</f>
        <v>März</v>
      </c>
      <c r="J41" s="2258"/>
      <c r="K41" s="2258" t="str">
        <f>K22</f>
        <v>April</v>
      </c>
      <c r="L41" s="2258"/>
      <c r="M41" s="2258" t="str">
        <f>M22</f>
        <v>Mai</v>
      </c>
      <c r="N41" s="2258"/>
      <c r="O41" s="2258" t="str">
        <f>O22</f>
        <v>Juni</v>
      </c>
      <c r="P41" s="2258"/>
      <c r="Q41" s="2258" t="str">
        <f>Q22</f>
        <v>Juli</v>
      </c>
      <c r="R41" s="2258"/>
      <c r="S41" s="2258" t="str">
        <f>S22</f>
        <v>Aug.</v>
      </c>
      <c r="T41" s="2258"/>
      <c r="U41" s="2258" t="str">
        <f>U22</f>
        <v>Sept.</v>
      </c>
      <c r="V41" s="2258"/>
      <c r="W41" s="2258" t="str">
        <f>W22</f>
        <v>Okt.</v>
      </c>
      <c r="X41" s="2258"/>
      <c r="Y41" s="2258" t="str">
        <f>Y22</f>
        <v>Nov.</v>
      </c>
      <c r="Z41" s="2258"/>
      <c r="AA41" s="2258" t="str">
        <f>AA22</f>
        <v>Dez.</v>
      </c>
      <c r="AB41" s="2272"/>
      <c r="AC41" s="2266" t="s">
        <v>306</v>
      </c>
      <c r="AD41" s="2270" t="s">
        <v>307</v>
      </c>
      <c r="AE41" s="2268" t="s">
        <v>308</v>
      </c>
      <c r="AF41" s="1107"/>
    </row>
    <row r="42" spans="1:32" ht="12.75" customHeight="1">
      <c r="A42" s="1109"/>
      <c r="B42" s="2280"/>
      <c r="C42" s="2303"/>
      <c r="D42" s="1371"/>
      <c r="E42" s="2292"/>
      <c r="F42" s="2259"/>
      <c r="G42" s="2259"/>
      <c r="H42" s="2259"/>
      <c r="I42" s="2259"/>
      <c r="J42" s="2259"/>
      <c r="K42" s="2259"/>
      <c r="L42" s="2259"/>
      <c r="M42" s="2259"/>
      <c r="N42" s="2259"/>
      <c r="O42" s="2259"/>
      <c r="P42" s="2259"/>
      <c r="Q42" s="2259"/>
      <c r="R42" s="2259"/>
      <c r="S42" s="2259"/>
      <c r="T42" s="2259"/>
      <c r="U42" s="2259"/>
      <c r="V42" s="2259"/>
      <c r="W42" s="2259"/>
      <c r="X42" s="2259"/>
      <c r="Y42" s="2259"/>
      <c r="Z42" s="2259"/>
      <c r="AA42" s="2259"/>
      <c r="AB42" s="2273"/>
      <c r="AC42" s="2267"/>
      <c r="AD42" s="2271"/>
      <c r="AE42" s="2269"/>
      <c r="AF42" s="2097"/>
    </row>
    <row r="43" spans="1:32" ht="23.25" customHeight="1">
      <c r="A43" s="1109"/>
      <c r="B43" s="1147" t="s">
        <v>310</v>
      </c>
      <c r="C43" s="2250"/>
      <c r="D43" s="2251"/>
      <c r="E43" s="1369"/>
      <c r="F43" s="1111">
        <f>IF(ArbStd_MA!$H$33&gt;=1,ArbStd_MA!$H$33,IF(ArbStd_MA!$H$33&lt;1,ArbStd_MA!$H$23))</f>
        <v>144</v>
      </c>
      <c r="G43" s="1148"/>
      <c r="H43" s="1111">
        <f>IF(ArbStd_MA!$H$33&gt;=1,ArbStd_MA!$H$33,IF(ArbStd_MA!$H$33&lt;1,ArbStd_MA!$H$23))</f>
        <v>144</v>
      </c>
      <c r="I43" s="1148"/>
      <c r="J43" s="1111">
        <f>IF(ArbStd_MA!$H$33&gt;=1,ArbStd_MA!$H$33,IF(ArbStd_MA!$H$33&lt;1,ArbStd_MA!$H$23))</f>
        <v>144</v>
      </c>
      <c r="K43" s="1148"/>
      <c r="L43" s="1111">
        <f>IF(ArbStd_MA!$H$33&gt;=1,ArbStd_MA!$H$33,IF(ArbStd_MA!$H$33&lt;1,ArbStd_MA!$H$23))</f>
        <v>144</v>
      </c>
      <c r="M43" s="1148"/>
      <c r="N43" s="1111">
        <f>IF(ArbStd_MA!$H$33&gt;=1,ArbStd_MA!$H$33,IF(ArbStd_MA!$H$33&lt;1,ArbStd_MA!$H$23))</f>
        <v>144</v>
      </c>
      <c r="O43" s="1148"/>
      <c r="P43" s="1111">
        <f>IF(ArbStd_MA!$H$33&gt;=1,ArbStd_MA!$H$33,IF(ArbStd_MA!$H$33&lt;1,ArbStd_MA!$H$23))</f>
        <v>144</v>
      </c>
      <c r="Q43" s="1148"/>
      <c r="R43" s="1111">
        <f>IF(ArbStd_MA!$H$33&gt;=1,ArbStd_MA!$H$33,IF(ArbStd_MA!$H$33&lt;1,ArbStd_MA!$H$23))</f>
        <v>144</v>
      </c>
      <c r="S43" s="1148"/>
      <c r="T43" s="1111">
        <f>IF(ArbStd_MA!$H$33&gt;=1,ArbStd_MA!$H$33,IF(ArbStd_MA!$H$33&lt;1,ArbStd_MA!$H$23))</f>
        <v>144</v>
      </c>
      <c r="U43" s="1148"/>
      <c r="V43" s="1111">
        <f>IF(ArbStd_MA!$H$33&gt;=1,ArbStd_MA!$H$33,IF(ArbStd_MA!$H$33&lt;1,ArbStd_MA!$H$23))</f>
        <v>144</v>
      </c>
      <c r="W43" s="1148"/>
      <c r="X43" s="1111">
        <f>IF(ArbStd_MA!$H$33&gt;=1,ArbStd_MA!$H$33,IF(ArbStd_MA!$H$33&lt;1,ArbStd_MA!$H$23))</f>
        <v>144</v>
      </c>
      <c r="Y43" s="1148"/>
      <c r="Z43" s="1111">
        <f>IF(ArbStd_MA!$H$33&gt;=1,ArbStd_MA!$H$33,IF(ArbStd_MA!$H$33&lt;1,ArbStd_MA!$H$23))</f>
        <v>144</v>
      </c>
      <c r="AA43" s="1148"/>
      <c r="AB43" s="1111">
        <f>IF(ArbStd_MA!$H$33&gt;=1,ArbStd_MA!$H$33,IF(ArbStd_MA!$H$33&lt;1,ArbStd_MA!$H$23))</f>
        <v>144</v>
      </c>
      <c r="AC43" s="1149"/>
      <c r="AD43" s="1150"/>
      <c r="AE43" s="1151"/>
      <c r="AF43" s="2097"/>
    </row>
    <row r="44" spans="1:32" ht="17.25" customHeight="1">
      <c r="A44" s="1109"/>
      <c r="B44" s="1152" t="s">
        <v>311</v>
      </c>
      <c r="C44" s="2252"/>
      <c r="D44" s="2253"/>
      <c r="E44" s="1369"/>
      <c r="F44" s="1111">
        <f>SUM(F47:F56)</f>
        <v>0</v>
      </c>
      <c r="G44" s="1111"/>
      <c r="H44" s="1111">
        <f t="shared" ref="H44:AB44" si="33">SUM(H47:H56)</f>
        <v>0</v>
      </c>
      <c r="I44" s="1111"/>
      <c r="J44" s="1111">
        <f t="shared" si="33"/>
        <v>0</v>
      </c>
      <c r="K44" s="1111"/>
      <c r="L44" s="1111">
        <f t="shared" si="33"/>
        <v>0</v>
      </c>
      <c r="M44" s="1111"/>
      <c r="N44" s="1111">
        <f t="shared" si="33"/>
        <v>0</v>
      </c>
      <c r="O44" s="1111"/>
      <c r="P44" s="1111">
        <f t="shared" si="33"/>
        <v>0</v>
      </c>
      <c r="Q44" s="1111"/>
      <c r="R44" s="1111">
        <f t="shared" si="33"/>
        <v>0</v>
      </c>
      <c r="S44" s="1111"/>
      <c r="T44" s="1111">
        <f t="shared" si="33"/>
        <v>0</v>
      </c>
      <c r="U44" s="1111"/>
      <c r="V44" s="1111">
        <f t="shared" si="33"/>
        <v>0</v>
      </c>
      <c r="W44" s="1111"/>
      <c r="X44" s="1111">
        <f t="shared" si="33"/>
        <v>0</v>
      </c>
      <c r="Y44" s="1111"/>
      <c r="Z44" s="1111">
        <f t="shared" si="33"/>
        <v>0</v>
      </c>
      <c r="AA44" s="1111"/>
      <c r="AB44" s="1111">
        <f t="shared" si="33"/>
        <v>0</v>
      </c>
      <c r="AC44" s="1153">
        <f>SUM(E44:AB44)/12</f>
        <v>0</v>
      </c>
      <c r="AD44" s="1154"/>
      <c r="AE44" s="1151"/>
      <c r="AF44" s="2097"/>
    </row>
    <row r="45" spans="1:32" s="1125" customFormat="1" ht="51">
      <c r="A45" s="1117"/>
      <c r="B45" s="1147"/>
      <c r="C45" s="1118" t="s">
        <v>312</v>
      </c>
      <c r="D45" s="1372" t="s">
        <v>313</v>
      </c>
      <c r="E45" s="1118" t="s">
        <v>314</v>
      </c>
      <c r="F45" s="1120" t="s">
        <v>315</v>
      </c>
      <c r="G45" s="1155" t="s">
        <v>314</v>
      </c>
      <c r="H45" s="1120" t="s">
        <v>315</v>
      </c>
      <c r="I45" s="1155" t="s">
        <v>314</v>
      </c>
      <c r="J45" s="1120" t="s">
        <v>315</v>
      </c>
      <c r="K45" s="1155" t="s">
        <v>314</v>
      </c>
      <c r="L45" s="1120" t="s">
        <v>315</v>
      </c>
      <c r="M45" s="1155" t="s">
        <v>314</v>
      </c>
      <c r="N45" s="1120" t="s">
        <v>315</v>
      </c>
      <c r="O45" s="1155" t="s">
        <v>314</v>
      </c>
      <c r="P45" s="1120" t="s">
        <v>315</v>
      </c>
      <c r="Q45" s="1155" t="s">
        <v>314</v>
      </c>
      <c r="R45" s="1120" t="s">
        <v>315</v>
      </c>
      <c r="S45" s="1155" t="s">
        <v>314</v>
      </c>
      <c r="T45" s="1120" t="s">
        <v>315</v>
      </c>
      <c r="U45" s="1155" t="s">
        <v>314</v>
      </c>
      <c r="V45" s="1120" t="s">
        <v>315</v>
      </c>
      <c r="W45" s="1155" t="s">
        <v>314</v>
      </c>
      <c r="X45" s="1120" t="s">
        <v>315</v>
      </c>
      <c r="Y45" s="1155" t="s">
        <v>314</v>
      </c>
      <c r="Z45" s="1120" t="s">
        <v>315</v>
      </c>
      <c r="AA45" s="1155" t="s">
        <v>314</v>
      </c>
      <c r="AB45" s="1120" t="s">
        <v>315</v>
      </c>
      <c r="AC45" s="1142"/>
      <c r="AD45" s="1156"/>
      <c r="AE45" s="1157"/>
      <c r="AF45" s="1124"/>
    </row>
    <row r="46" spans="1:32">
      <c r="A46" s="1109"/>
      <c r="B46" s="1158"/>
      <c r="C46" s="1159"/>
      <c r="D46" s="1151"/>
      <c r="E46" s="1160"/>
      <c r="F46" s="1159"/>
      <c r="G46" s="1160"/>
      <c r="H46" s="1159"/>
      <c r="I46" s="1160"/>
      <c r="J46" s="1159"/>
      <c r="K46" s="1160"/>
      <c r="L46" s="1159"/>
      <c r="M46" s="1160"/>
      <c r="N46" s="1159"/>
      <c r="O46" s="1160"/>
      <c r="P46" s="1159"/>
      <c r="Q46" s="1160"/>
      <c r="R46" s="1159"/>
      <c r="S46" s="1160"/>
      <c r="T46" s="1159"/>
      <c r="U46" s="1160"/>
      <c r="V46" s="1159"/>
      <c r="W46" s="1160"/>
      <c r="X46" s="1159"/>
      <c r="Y46" s="1160"/>
      <c r="Z46" s="1159"/>
      <c r="AA46" s="1160"/>
      <c r="AB46" s="1159"/>
      <c r="AC46" s="1171"/>
      <c r="AD46" s="1150"/>
      <c r="AE46" s="1172"/>
      <c r="AF46" s="2097"/>
    </row>
    <row r="47" spans="1:32" ht="15.75" customHeight="1">
      <c r="A47" s="1109"/>
      <c r="B47" s="150" t="s">
        <v>329</v>
      </c>
      <c r="C47" s="1377"/>
      <c r="D47" s="1373"/>
      <c r="E47" s="1360"/>
      <c r="F47" s="1381">
        <f>D47*E47</f>
        <v>0</v>
      </c>
      <c r="G47" s="86"/>
      <c r="H47" s="1381">
        <f>D47*G47</f>
        <v>0</v>
      </c>
      <c r="I47" s="86"/>
      <c r="J47" s="1381">
        <f t="shared" ref="J47:J56" si="34">D47*I47</f>
        <v>0</v>
      </c>
      <c r="K47" s="86"/>
      <c r="L47" s="1381">
        <f>D47*K47</f>
        <v>0</v>
      </c>
      <c r="M47" s="86"/>
      <c r="N47" s="1381">
        <f>D47*M47</f>
        <v>0</v>
      </c>
      <c r="O47" s="86"/>
      <c r="P47" s="1381">
        <f>D47*O47</f>
        <v>0</v>
      </c>
      <c r="Q47" s="86"/>
      <c r="R47" s="1381">
        <f>D47*Q47</f>
        <v>0</v>
      </c>
      <c r="S47" s="86"/>
      <c r="T47" s="1381">
        <f>D47*S47</f>
        <v>0</v>
      </c>
      <c r="U47" s="86"/>
      <c r="V47" s="1381">
        <f>D47*U47</f>
        <v>0</v>
      </c>
      <c r="W47" s="86"/>
      <c r="X47" s="1381">
        <f>D47*W47</f>
        <v>0</v>
      </c>
      <c r="Y47" s="86"/>
      <c r="Z47" s="1381">
        <f>D47*Y47</f>
        <v>0</v>
      </c>
      <c r="AA47" s="86"/>
      <c r="AB47" s="1381">
        <f>D47*AA47</f>
        <v>0</v>
      </c>
      <c r="AC47" s="1130">
        <f t="shared" ref="AC47:AC56" si="35">E47+G47+I47+K47+M47+O47+Q47+S47+U47+W47+Y47+AA47</f>
        <v>0</v>
      </c>
      <c r="AD47" s="1131">
        <f>(E47+G47+I47+K47+M47+O47+Q47+S47+U47+W47+Y47+AA47)*C47</f>
        <v>0</v>
      </c>
      <c r="AE47" s="1163" t="e">
        <f>AD47/$AD$57</f>
        <v>#DIV/0!</v>
      </c>
      <c r="AF47" s="2097"/>
    </row>
    <row r="48" spans="1:32" ht="15.75" customHeight="1">
      <c r="A48" s="1109"/>
      <c r="B48" s="150" t="s">
        <v>330</v>
      </c>
      <c r="C48" s="1377"/>
      <c r="D48" s="1373"/>
      <c r="E48" s="1360"/>
      <c r="F48" s="1381">
        <f t="shared" ref="F48:F56" si="36">D48*E48</f>
        <v>0</v>
      </c>
      <c r="G48" s="86"/>
      <c r="H48" s="1381">
        <f t="shared" ref="H48:H56" si="37">D48*G48</f>
        <v>0</v>
      </c>
      <c r="I48" s="86"/>
      <c r="J48" s="1381">
        <f t="shared" si="34"/>
        <v>0</v>
      </c>
      <c r="K48" s="86"/>
      <c r="L48" s="1381">
        <f t="shared" ref="L48:L56" si="38">D48*K48</f>
        <v>0</v>
      </c>
      <c r="M48" s="86"/>
      <c r="N48" s="1381">
        <f t="shared" ref="N48:N56" si="39">D48*M48</f>
        <v>0</v>
      </c>
      <c r="O48" s="86"/>
      <c r="P48" s="1381">
        <f t="shared" ref="P48:P56" si="40">D48*O48</f>
        <v>0</v>
      </c>
      <c r="Q48" s="86"/>
      <c r="R48" s="1381">
        <f t="shared" ref="R48:R56" si="41">D48*Q48</f>
        <v>0</v>
      </c>
      <c r="S48" s="86"/>
      <c r="T48" s="1381">
        <f t="shared" ref="T48:T56" si="42">D48*S48</f>
        <v>0</v>
      </c>
      <c r="U48" s="86"/>
      <c r="V48" s="1381">
        <f t="shared" ref="V48:V56" si="43">D48*U48</f>
        <v>0</v>
      </c>
      <c r="W48" s="86"/>
      <c r="X48" s="1381">
        <f t="shared" ref="X48:X56" si="44">D48*W48</f>
        <v>0</v>
      </c>
      <c r="Y48" s="86"/>
      <c r="Z48" s="1381">
        <f t="shared" ref="Z48:Z56" si="45">D48*Y48</f>
        <v>0</v>
      </c>
      <c r="AA48" s="86"/>
      <c r="AB48" s="1381">
        <f t="shared" ref="AB48:AB56" si="46">D48*AA48</f>
        <v>0</v>
      </c>
      <c r="AC48" s="1130">
        <f t="shared" si="35"/>
        <v>0</v>
      </c>
      <c r="AD48" s="1131">
        <f t="shared" ref="AD48:AD56" si="47">(E48+G48+I48+K48+M48+O48+Q48+S48+U48+W48+Y48+AA48)*C48</f>
        <v>0</v>
      </c>
      <c r="AE48" s="1163" t="e">
        <f>AD48/$AD$57</f>
        <v>#DIV/0!</v>
      </c>
      <c r="AF48" s="2097"/>
    </row>
    <row r="49" spans="1:32" ht="15.75" customHeight="1">
      <c r="A49" s="1109"/>
      <c r="B49" s="150" t="s">
        <v>331</v>
      </c>
      <c r="C49" s="1377"/>
      <c r="D49" s="1373"/>
      <c r="E49" s="1360"/>
      <c r="F49" s="1381">
        <f t="shared" si="36"/>
        <v>0</v>
      </c>
      <c r="G49" s="86"/>
      <c r="H49" s="1381">
        <f t="shared" si="37"/>
        <v>0</v>
      </c>
      <c r="I49" s="86"/>
      <c r="J49" s="1381">
        <f t="shared" si="34"/>
        <v>0</v>
      </c>
      <c r="K49" s="86"/>
      <c r="L49" s="1381">
        <f t="shared" si="38"/>
        <v>0</v>
      </c>
      <c r="M49" s="86"/>
      <c r="N49" s="1381">
        <f t="shared" si="39"/>
        <v>0</v>
      </c>
      <c r="O49" s="86"/>
      <c r="P49" s="1381">
        <f t="shared" si="40"/>
        <v>0</v>
      </c>
      <c r="Q49" s="86"/>
      <c r="R49" s="1381">
        <f t="shared" si="41"/>
        <v>0</v>
      </c>
      <c r="S49" s="86"/>
      <c r="T49" s="1381">
        <f t="shared" si="42"/>
        <v>0</v>
      </c>
      <c r="U49" s="86"/>
      <c r="V49" s="1381">
        <f t="shared" si="43"/>
        <v>0</v>
      </c>
      <c r="W49" s="86"/>
      <c r="X49" s="1381">
        <f t="shared" si="44"/>
        <v>0</v>
      </c>
      <c r="Y49" s="86"/>
      <c r="Z49" s="1381">
        <f t="shared" si="45"/>
        <v>0</v>
      </c>
      <c r="AA49" s="86"/>
      <c r="AB49" s="1381">
        <f t="shared" si="46"/>
        <v>0</v>
      </c>
      <c r="AC49" s="1130">
        <f t="shared" si="35"/>
        <v>0</v>
      </c>
      <c r="AD49" s="1131">
        <f t="shared" si="47"/>
        <v>0</v>
      </c>
      <c r="AE49" s="1163" t="e">
        <f t="shared" ref="AE49:AE56" si="48">AD49/$AD$57</f>
        <v>#DIV/0!</v>
      </c>
      <c r="AF49" s="2097"/>
    </row>
    <row r="50" spans="1:32" ht="15.75" customHeight="1">
      <c r="A50" s="1109"/>
      <c r="B50" s="150" t="s">
        <v>332</v>
      </c>
      <c r="C50" s="1377"/>
      <c r="D50" s="1373"/>
      <c r="E50" s="1360"/>
      <c r="F50" s="1381">
        <f t="shared" si="36"/>
        <v>0</v>
      </c>
      <c r="G50" s="86"/>
      <c r="H50" s="1381">
        <f t="shared" si="37"/>
        <v>0</v>
      </c>
      <c r="I50" s="86"/>
      <c r="J50" s="1381">
        <f t="shared" si="34"/>
        <v>0</v>
      </c>
      <c r="K50" s="86"/>
      <c r="L50" s="1381">
        <f t="shared" si="38"/>
        <v>0</v>
      </c>
      <c r="M50" s="86"/>
      <c r="N50" s="1381">
        <f t="shared" si="39"/>
        <v>0</v>
      </c>
      <c r="O50" s="86"/>
      <c r="P50" s="1381">
        <f t="shared" si="40"/>
        <v>0</v>
      </c>
      <c r="Q50" s="86"/>
      <c r="R50" s="1381">
        <f t="shared" si="41"/>
        <v>0</v>
      </c>
      <c r="S50" s="86"/>
      <c r="T50" s="1381">
        <f t="shared" si="42"/>
        <v>0</v>
      </c>
      <c r="U50" s="86"/>
      <c r="V50" s="1381">
        <f t="shared" si="43"/>
        <v>0</v>
      </c>
      <c r="W50" s="86"/>
      <c r="X50" s="1381">
        <f t="shared" si="44"/>
        <v>0</v>
      </c>
      <c r="Y50" s="86"/>
      <c r="Z50" s="1381">
        <f t="shared" si="45"/>
        <v>0</v>
      </c>
      <c r="AA50" s="86"/>
      <c r="AB50" s="1381">
        <f t="shared" si="46"/>
        <v>0</v>
      </c>
      <c r="AC50" s="1130">
        <f t="shared" si="35"/>
        <v>0</v>
      </c>
      <c r="AD50" s="1131">
        <f t="shared" si="47"/>
        <v>0</v>
      </c>
      <c r="AE50" s="1163" t="e">
        <f t="shared" si="48"/>
        <v>#DIV/0!</v>
      </c>
      <c r="AF50" s="2097"/>
    </row>
    <row r="51" spans="1:32" ht="15.75" customHeight="1">
      <c r="A51" s="1109"/>
      <c r="B51" s="150" t="s">
        <v>322</v>
      </c>
      <c r="C51" s="1378"/>
      <c r="D51" s="1374"/>
      <c r="E51" s="1360"/>
      <c r="F51" s="1381">
        <f t="shared" si="36"/>
        <v>0</v>
      </c>
      <c r="G51" s="86"/>
      <c r="H51" s="1381">
        <f t="shared" si="37"/>
        <v>0</v>
      </c>
      <c r="I51" s="86"/>
      <c r="J51" s="1381">
        <f t="shared" si="34"/>
        <v>0</v>
      </c>
      <c r="K51" s="86"/>
      <c r="L51" s="1381">
        <f t="shared" si="38"/>
        <v>0</v>
      </c>
      <c r="M51" s="86"/>
      <c r="N51" s="1381">
        <f t="shared" si="39"/>
        <v>0</v>
      </c>
      <c r="O51" s="86"/>
      <c r="P51" s="1381">
        <f t="shared" si="40"/>
        <v>0</v>
      </c>
      <c r="Q51" s="86"/>
      <c r="R51" s="1381">
        <f t="shared" si="41"/>
        <v>0</v>
      </c>
      <c r="S51" s="86"/>
      <c r="T51" s="1381">
        <f t="shared" si="42"/>
        <v>0</v>
      </c>
      <c r="U51" s="86"/>
      <c r="V51" s="1381">
        <f t="shared" si="43"/>
        <v>0</v>
      </c>
      <c r="W51" s="86"/>
      <c r="X51" s="1381">
        <f t="shared" si="44"/>
        <v>0</v>
      </c>
      <c r="Y51" s="86"/>
      <c r="Z51" s="1381">
        <f t="shared" si="45"/>
        <v>0</v>
      </c>
      <c r="AA51" s="86"/>
      <c r="AB51" s="1381">
        <f t="shared" si="46"/>
        <v>0</v>
      </c>
      <c r="AC51" s="1130">
        <f t="shared" si="35"/>
        <v>0</v>
      </c>
      <c r="AD51" s="1131">
        <f t="shared" si="47"/>
        <v>0</v>
      </c>
      <c r="AE51" s="1163" t="e">
        <f t="shared" si="48"/>
        <v>#DIV/0!</v>
      </c>
      <c r="AF51" s="2097"/>
    </row>
    <row r="52" spans="1:32" ht="15.75" customHeight="1">
      <c r="A52" s="1109"/>
      <c r="B52" s="150" t="s">
        <v>323</v>
      </c>
      <c r="C52" s="1378"/>
      <c r="D52" s="1374"/>
      <c r="E52" s="1360"/>
      <c r="F52" s="1381">
        <f t="shared" si="36"/>
        <v>0</v>
      </c>
      <c r="G52" s="86"/>
      <c r="H52" s="1381">
        <f t="shared" si="37"/>
        <v>0</v>
      </c>
      <c r="I52" s="86"/>
      <c r="J52" s="1381">
        <f t="shared" si="34"/>
        <v>0</v>
      </c>
      <c r="K52" s="86"/>
      <c r="L52" s="1381">
        <f t="shared" si="38"/>
        <v>0</v>
      </c>
      <c r="M52" s="86"/>
      <c r="N52" s="1381">
        <f t="shared" si="39"/>
        <v>0</v>
      </c>
      <c r="O52" s="86"/>
      <c r="P52" s="1381">
        <f t="shared" si="40"/>
        <v>0</v>
      </c>
      <c r="Q52" s="86"/>
      <c r="R52" s="1381">
        <f t="shared" si="41"/>
        <v>0</v>
      </c>
      <c r="S52" s="86"/>
      <c r="T52" s="1381">
        <f t="shared" si="42"/>
        <v>0</v>
      </c>
      <c r="U52" s="86"/>
      <c r="V52" s="1381">
        <f t="shared" si="43"/>
        <v>0</v>
      </c>
      <c r="W52" s="86"/>
      <c r="X52" s="1381">
        <f t="shared" si="44"/>
        <v>0</v>
      </c>
      <c r="Y52" s="86"/>
      <c r="Z52" s="1381">
        <f t="shared" si="45"/>
        <v>0</v>
      </c>
      <c r="AA52" s="86"/>
      <c r="AB52" s="1381">
        <f t="shared" si="46"/>
        <v>0</v>
      </c>
      <c r="AC52" s="1130">
        <f t="shared" si="35"/>
        <v>0</v>
      </c>
      <c r="AD52" s="1131">
        <f t="shared" si="47"/>
        <v>0</v>
      </c>
      <c r="AE52" s="1163" t="e">
        <f t="shared" si="48"/>
        <v>#DIV/0!</v>
      </c>
      <c r="AF52" s="2097"/>
    </row>
    <row r="53" spans="1:32" ht="15.75" customHeight="1">
      <c r="A53" s="1109"/>
      <c r="B53" s="150" t="s">
        <v>324</v>
      </c>
      <c r="C53" s="1378"/>
      <c r="D53" s="1374"/>
      <c r="E53" s="1360"/>
      <c r="F53" s="1381">
        <f t="shared" si="36"/>
        <v>0</v>
      </c>
      <c r="G53" s="86"/>
      <c r="H53" s="1381">
        <f t="shared" si="37"/>
        <v>0</v>
      </c>
      <c r="I53" s="86"/>
      <c r="J53" s="1381">
        <f t="shared" si="34"/>
        <v>0</v>
      </c>
      <c r="K53" s="86"/>
      <c r="L53" s="1381">
        <f t="shared" si="38"/>
        <v>0</v>
      </c>
      <c r="M53" s="86"/>
      <c r="N53" s="1381">
        <f t="shared" si="39"/>
        <v>0</v>
      </c>
      <c r="O53" s="86"/>
      <c r="P53" s="1381">
        <f t="shared" si="40"/>
        <v>0</v>
      </c>
      <c r="Q53" s="86"/>
      <c r="R53" s="1381">
        <f t="shared" si="41"/>
        <v>0</v>
      </c>
      <c r="S53" s="86"/>
      <c r="T53" s="1381">
        <f t="shared" si="42"/>
        <v>0</v>
      </c>
      <c r="U53" s="86"/>
      <c r="V53" s="1381">
        <f t="shared" si="43"/>
        <v>0</v>
      </c>
      <c r="W53" s="86"/>
      <c r="X53" s="1381">
        <f t="shared" si="44"/>
        <v>0</v>
      </c>
      <c r="Y53" s="86"/>
      <c r="Z53" s="1381">
        <f t="shared" si="45"/>
        <v>0</v>
      </c>
      <c r="AA53" s="86"/>
      <c r="AB53" s="1381">
        <f t="shared" si="46"/>
        <v>0</v>
      </c>
      <c r="AC53" s="1130">
        <f t="shared" si="35"/>
        <v>0</v>
      </c>
      <c r="AD53" s="1131">
        <f t="shared" si="47"/>
        <v>0</v>
      </c>
      <c r="AE53" s="1163" t="e">
        <f t="shared" si="48"/>
        <v>#DIV/0!</v>
      </c>
      <c r="AF53" s="2097"/>
    </row>
    <row r="54" spans="1:32" ht="15.75" customHeight="1">
      <c r="A54" s="1109"/>
      <c r="B54" s="150" t="s">
        <v>325</v>
      </c>
      <c r="C54" s="1378"/>
      <c r="D54" s="1374"/>
      <c r="E54" s="1360"/>
      <c r="F54" s="1381">
        <f t="shared" si="36"/>
        <v>0</v>
      </c>
      <c r="G54" s="86"/>
      <c r="H54" s="1381">
        <f t="shared" si="37"/>
        <v>0</v>
      </c>
      <c r="I54" s="86"/>
      <c r="J54" s="1381">
        <f t="shared" si="34"/>
        <v>0</v>
      </c>
      <c r="K54" s="86"/>
      <c r="L54" s="1381">
        <f t="shared" si="38"/>
        <v>0</v>
      </c>
      <c r="M54" s="86"/>
      <c r="N54" s="1381">
        <f t="shared" si="39"/>
        <v>0</v>
      </c>
      <c r="O54" s="86"/>
      <c r="P54" s="1381">
        <f t="shared" si="40"/>
        <v>0</v>
      </c>
      <c r="Q54" s="86"/>
      <c r="R54" s="1381">
        <f t="shared" si="41"/>
        <v>0</v>
      </c>
      <c r="S54" s="86"/>
      <c r="T54" s="1381">
        <f t="shared" si="42"/>
        <v>0</v>
      </c>
      <c r="U54" s="86"/>
      <c r="V54" s="1381">
        <f t="shared" si="43"/>
        <v>0</v>
      </c>
      <c r="W54" s="86"/>
      <c r="X54" s="1381">
        <f t="shared" si="44"/>
        <v>0</v>
      </c>
      <c r="Y54" s="86"/>
      <c r="Z54" s="1381">
        <f t="shared" si="45"/>
        <v>0</v>
      </c>
      <c r="AA54" s="86"/>
      <c r="AB54" s="1381">
        <f t="shared" si="46"/>
        <v>0</v>
      </c>
      <c r="AC54" s="1130">
        <f t="shared" si="35"/>
        <v>0</v>
      </c>
      <c r="AD54" s="1131">
        <f t="shared" si="47"/>
        <v>0</v>
      </c>
      <c r="AE54" s="1163" t="e">
        <f t="shared" si="48"/>
        <v>#DIV/0!</v>
      </c>
      <c r="AF54" s="2097"/>
    </row>
    <row r="55" spans="1:32" ht="15.75" customHeight="1">
      <c r="A55" s="1109"/>
      <c r="B55" s="150" t="s">
        <v>326</v>
      </c>
      <c r="C55" s="1378"/>
      <c r="D55" s="1374"/>
      <c r="E55" s="1360"/>
      <c r="F55" s="1381">
        <f t="shared" si="36"/>
        <v>0</v>
      </c>
      <c r="G55" s="86"/>
      <c r="H55" s="1381">
        <f t="shared" si="37"/>
        <v>0</v>
      </c>
      <c r="I55" s="86"/>
      <c r="J55" s="1381">
        <f t="shared" si="34"/>
        <v>0</v>
      </c>
      <c r="K55" s="86"/>
      <c r="L55" s="1381">
        <f t="shared" si="38"/>
        <v>0</v>
      </c>
      <c r="M55" s="86"/>
      <c r="N55" s="1381">
        <f t="shared" si="39"/>
        <v>0</v>
      </c>
      <c r="O55" s="86"/>
      <c r="P55" s="1381">
        <f t="shared" si="40"/>
        <v>0</v>
      </c>
      <c r="Q55" s="86"/>
      <c r="R55" s="1381">
        <f t="shared" si="41"/>
        <v>0</v>
      </c>
      <c r="S55" s="86"/>
      <c r="T55" s="1381">
        <f t="shared" si="42"/>
        <v>0</v>
      </c>
      <c r="U55" s="86"/>
      <c r="V55" s="1381">
        <f t="shared" si="43"/>
        <v>0</v>
      </c>
      <c r="W55" s="86"/>
      <c r="X55" s="1381">
        <f t="shared" si="44"/>
        <v>0</v>
      </c>
      <c r="Y55" s="86"/>
      <c r="Z55" s="1381">
        <f t="shared" si="45"/>
        <v>0</v>
      </c>
      <c r="AA55" s="86"/>
      <c r="AB55" s="1381">
        <f t="shared" si="46"/>
        <v>0</v>
      </c>
      <c r="AC55" s="1130">
        <f t="shared" si="35"/>
        <v>0</v>
      </c>
      <c r="AD55" s="1131">
        <f t="shared" si="47"/>
        <v>0</v>
      </c>
      <c r="AE55" s="1163" t="e">
        <f t="shared" si="48"/>
        <v>#DIV/0!</v>
      </c>
      <c r="AF55" s="2097"/>
    </row>
    <row r="56" spans="1:32" ht="15.75" customHeight="1">
      <c r="A56" s="1109"/>
      <c r="B56" s="151" t="s">
        <v>327</v>
      </c>
      <c r="C56" s="1377"/>
      <c r="D56" s="1375"/>
      <c r="E56" s="1361"/>
      <c r="F56" s="1381">
        <f t="shared" si="36"/>
        <v>0</v>
      </c>
      <c r="G56" s="87"/>
      <c r="H56" s="1381">
        <f t="shared" si="37"/>
        <v>0</v>
      </c>
      <c r="I56" s="87"/>
      <c r="J56" s="1381">
        <f t="shared" si="34"/>
        <v>0</v>
      </c>
      <c r="K56" s="87"/>
      <c r="L56" s="1381">
        <f t="shared" si="38"/>
        <v>0</v>
      </c>
      <c r="M56" s="87"/>
      <c r="N56" s="1381">
        <f t="shared" si="39"/>
        <v>0</v>
      </c>
      <c r="O56" s="87"/>
      <c r="P56" s="1381">
        <f t="shared" si="40"/>
        <v>0</v>
      </c>
      <c r="Q56" s="87"/>
      <c r="R56" s="1381">
        <f t="shared" si="41"/>
        <v>0</v>
      </c>
      <c r="S56" s="87"/>
      <c r="T56" s="1381">
        <f t="shared" si="42"/>
        <v>0</v>
      </c>
      <c r="U56" s="87"/>
      <c r="V56" s="1381">
        <f t="shared" si="43"/>
        <v>0</v>
      </c>
      <c r="W56" s="87"/>
      <c r="X56" s="1381">
        <f t="shared" si="44"/>
        <v>0</v>
      </c>
      <c r="Y56" s="87"/>
      <c r="Z56" s="1381">
        <f t="shared" si="45"/>
        <v>0</v>
      </c>
      <c r="AA56" s="87"/>
      <c r="AB56" s="1381">
        <f t="shared" si="46"/>
        <v>0</v>
      </c>
      <c r="AC56" s="1130">
        <f t="shared" si="35"/>
        <v>0</v>
      </c>
      <c r="AD56" s="1131">
        <f t="shared" si="47"/>
        <v>0</v>
      </c>
      <c r="AE56" s="1163" t="e">
        <f t="shared" si="48"/>
        <v>#DIV/0!</v>
      </c>
      <c r="AF56" s="2097"/>
    </row>
    <row r="57" spans="1:32" s="1141" customFormat="1" ht="15.75" customHeight="1" thickBot="1">
      <c r="A57" s="1133"/>
      <c r="B57" s="1164" t="s">
        <v>227</v>
      </c>
      <c r="C57" s="1380"/>
      <c r="D57" s="1376"/>
      <c r="E57" s="1165">
        <f>SUM($C$47*E47)+($C$48*E48)+($C$49*E49)+($C$50*E50)+($C$51*E51)+($C$52*E52)+($C$53*E53)+($C$54*E54)+($C$55*E55)+($C$56*E56)</f>
        <v>0</v>
      </c>
      <c r="F57" s="1167"/>
      <c r="G57" s="1166">
        <f>SUM($C$47*G47)+($C$48*G48)+($C$49*G49)+($C$50*G50)+($C$51*G51)+($C$52*G52)+($C$53*G53)+($C$54*G54)+($C$55*G55)+($C$56*G56)</f>
        <v>0</v>
      </c>
      <c r="H57" s="1167"/>
      <c r="I57" s="1166">
        <f>SUM($C$47*I47)+($C$48*I48)+($C$49*I49)+($C$50*I50)+($C$51*I51)+($C$52*I52)+($C$53*I53)+($C$54*I54)+($C$55*I55)+($C$56*I56)</f>
        <v>0</v>
      </c>
      <c r="J57" s="1167"/>
      <c r="K57" s="1166">
        <f>SUM($C$47*K47)+($C$48*K48)+($C$49*K49)+($C$50*K50)+($C$51*K51)+($C$52*K52)+($C$53*K53)+($C$54*K54)+($C$55*K55)+($C$56*K56)</f>
        <v>0</v>
      </c>
      <c r="L57" s="1167"/>
      <c r="M57" s="1166">
        <f>SUM($C$47*M47)+($C$48*M48)+($C$49*M49)+($C$50*M50)+($C$51*M51)+($C$52*M52)+($C$53*M53)+($C$54*M54)+($C$55*M55)+($C$56*M56)</f>
        <v>0</v>
      </c>
      <c r="N57" s="1167"/>
      <c r="O57" s="1166">
        <f>SUM($C$47*O47)+($C$48*O48)+($C$49*O49)+($C$50*O50)+($C$51*O51)+($C$52*O52)+($C$53*O53)+($C$54*O54)+($C$55*O55)+($C$56*O56)</f>
        <v>0</v>
      </c>
      <c r="P57" s="1167"/>
      <c r="Q57" s="1166">
        <f>SUM($C$47*Q47)+($C$48*Q48)+($C$49*Q49)+($C$50*Q50)+($C$51*Q51)+($C$52*Q52)+($C$53*Q53)+($C$54*Q54)+($C$55*Q55)+($C$56*Q56)</f>
        <v>0</v>
      </c>
      <c r="R57" s="1167"/>
      <c r="S57" s="1166">
        <f>SUM($C$47*S47)+($C$48*S48)+($C$49*S49)+($C$50*S50)+($C$51*S51)+($C$52*S52)+($C$53*S53)+($C$54*S54)+($C$55*S55)+($C$56*S56)</f>
        <v>0</v>
      </c>
      <c r="T57" s="1167"/>
      <c r="U57" s="1166">
        <f>SUM($C$47*U47)+($C$48*U48)+($C$49*U49)+($C$50*U50)+($C$51*U51)+($C$52*U52)+($C$53*U53)+($C$54*U54)+($C$55*U55)+($C$56*U56)</f>
        <v>0</v>
      </c>
      <c r="V57" s="1167"/>
      <c r="W57" s="1166">
        <f>SUM($C$47*W47)+($C$48*W48)+($C$49*W49)+($C$50*W50)+($C$51*W51)+($C$52*W52)+($C$53*W53)+($C$54*W54)+($C$55*W55)+($C$56*W56)</f>
        <v>0</v>
      </c>
      <c r="X57" s="1167"/>
      <c r="Y57" s="1166">
        <f>SUM($C$47*Y47)+($C$48*Y48)+($C$49*Y49)+($C$50*Y50)+($C$51*Y51)+($C$52*Y52)+($C$53*Y53)+($C$54*Y54)+($C$55*Y55)+($C$56*Y56)</f>
        <v>0</v>
      </c>
      <c r="Z57" s="1167"/>
      <c r="AA57" s="1166">
        <f>SUM($C$47*AA47)+($C$48*AA48)+($C$49*AA49)+($C$50*AA50)+($C$51*AA51)+($C$52*AA52)+($C$53*AA53)+($C$54*AA54)+($C$55*AA55)+($C$56*AA56)</f>
        <v>0</v>
      </c>
      <c r="AB57" s="1167"/>
      <c r="AC57" s="1168">
        <f>SUM(AC46:AC56)</f>
        <v>0</v>
      </c>
      <c r="AD57" s="1169">
        <f>SUM(AD47:AD56)</f>
        <v>0</v>
      </c>
      <c r="AE57" s="1170" t="e">
        <f>SUM(AE47:AE56)</f>
        <v>#DIV/0!</v>
      </c>
      <c r="AF57" s="2098"/>
    </row>
    <row r="58" spans="1:32" s="1141" customFormat="1" ht="15.75" customHeight="1" thickTop="1">
      <c r="A58" s="1133"/>
      <c r="B58" s="1384"/>
      <c r="C58" s="1384"/>
      <c r="D58" s="1384"/>
      <c r="E58" s="1384"/>
      <c r="F58" s="1384"/>
      <c r="G58" s="1384"/>
      <c r="H58" s="1384"/>
      <c r="I58" s="1384"/>
      <c r="J58" s="1384"/>
      <c r="K58" s="1384"/>
      <c r="L58" s="1384"/>
      <c r="M58" s="1384"/>
      <c r="N58" s="1384"/>
      <c r="O58" s="1384"/>
      <c r="P58" s="1384"/>
      <c r="Q58" s="1384"/>
      <c r="R58" s="1384"/>
      <c r="S58" s="1384"/>
      <c r="T58" s="1384"/>
      <c r="U58" s="1384"/>
      <c r="V58" s="1384"/>
      <c r="W58" s="1384"/>
      <c r="X58" s="1384"/>
      <c r="Y58" s="1384"/>
      <c r="Z58" s="1384"/>
      <c r="AA58" s="1384"/>
      <c r="AB58" s="1384"/>
      <c r="AC58" s="1385"/>
      <c r="AD58" s="1142"/>
      <c r="AE58" s="1386"/>
      <c r="AF58" s="2098"/>
    </row>
    <row r="59" spans="1:32" ht="30.75" customHeight="1" thickBot="1">
      <c r="A59" s="1173"/>
      <c r="B59" s="1404" t="s">
        <v>334</v>
      </c>
      <c r="C59" s="2094"/>
      <c r="D59" s="2094"/>
      <c r="E59" s="2094"/>
      <c r="F59" s="2094"/>
      <c r="G59" s="2094"/>
      <c r="H59" s="2094"/>
      <c r="I59" s="2094"/>
      <c r="J59" s="2094"/>
      <c r="K59" s="2094"/>
      <c r="L59" s="2094"/>
      <c r="M59" s="2094"/>
      <c r="N59" s="2094"/>
      <c r="O59" s="2094"/>
      <c r="P59" s="2094"/>
      <c r="Q59" s="2094"/>
      <c r="R59" s="2094"/>
      <c r="S59" s="2094"/>
      <c r="T59" s="2094"/>
      <c r="U59" s="2094"/>
      <c r="V59" s="2094"/>
      <c r="W59" s="2094"/>
      <c r="X59" s="2094"/>
      <c r="Y59" s="2094"/>
      <c r="Z59" s="2094"/>
      <c r="AA59" s="2094"/>
      <c r="AB59" s="2094"/>
      <c r="AC59" s="1174"/>
      <c r="AD59" s="1144"/>
      <c r="AE59" s="365"/>
      <c r="AF59" s="2097"/>
    </row>
    <row r="60" spans="1:32" ht="87" customHeight="1">
      <c r="A60" s="1109"/>
      <c r="B60" s="1175"/>
      <c r="C60" s="2293" t="s">
        <v>335</v>
      </c>
      <c r="D60" s="2294"/>
      <c r="E60" s="2294"/>
      <c r="F60" s="2294"/>
      <c r="G60" s="2294"/>
      <c r="H60" s="2294"/>
      <c r="I60" s="2294"/>
      <c r="J60" s="2294"/>
      <c r="K60" s="2294"/>
      <c r="L60" s="2294"/>
      <c r="M60" s="2294"/>
      <c r="N60" s="2294"/>
      <c r="O60" s="2294"/>
      <c r="P60" s="2294"/>
      <c r="Q60" s="2294"/>
      <c r="R60" s="2294"/>
      <c r="S60" s="2294"/>
      <c r="T60" s="2294"/>
      <c r="U60" s="2294"/>
      <c r="V60" s="2294"/>
      <c r="W60" s="2294"/>
      <c r="X60" s="2294"/>
      <c r="Y60" s="2294"/>
      <c r="Z60" s="2294"/>
      <c r="AA60" s="2294"/>
      <c r="AB60" s="2295"/>
      <c r="AC60" s="1174"/>
      <c r="AD60" s="1144"/>
      <c r="AE60" s="365"/>
      <c r="AF60" s="2097"/>
    </row>
    <row r="61" spans="1:32">
      <c r="A61" s="1109"/>
      <c r="B61" s="1175"/>
      <c r="C61" s="2296"/>
      <c r="D61" s="2297"/>
      <c r="E61" s="2298"/>
      <c r="F61" s="2298"/>
      <c r="G61" s="2298"/>
      <c r="H61" s="2298"/>
      <c r="I61" s="2298"/>
      <c r="J61" s="2298"/>
      <c r="K61" s="2298"/>
      <c r="L61" s="2298"/>
      <c r="M61" s="2298"/>
      <c r="N61" s="2298"/>
      <c r="O61" s="2298"/>
      <c r="P61" s="2298"/>
      <c r="Q61" s="2298"/>
      <c r="R61" s="2298"/>
      <c r="S61" s="2298"/>
      <c r="T61" s="2298"/>
      <c r="U61" s="2298"/>
      <c r="V61" s="2298"/>
      <c r="W61" s="2298"/>
      <c r="X61" s="2298"/>
      <c r="Y61" s="2298"/>
      <c r="Z61" s="2298"/>
      <c r="AA61" s="2298"/>
      <c r="AB61" s="2299"/>
      <c r="AC61" s="1174"/>
      <c r="AD61" s="1144"/>
      <c r="AE61" s="365"/>
      <c r="AF61" s="2097"/>
    </row>
    <row r="62" spans="1:32">
      <c r="A62" s="1109"/>
      <c r="B62" s="1176"/>
      <c r="C62" s="2284"/>
      <c r="D62" s="2285"/>
      <c r="E62" s="2286"/>
      <c r="F62" s="2286"/>
      <c r="G62" s="2286"/>
      <c r="H62" s="2286"/>
      <c r="I62" s="2286"/>
      <c r="J62" s="2286"/>
      <c r="K62" s="2286"/>
      <c r="L62" s="2286"/>
      <c r="M62" s="2286"/>
      <c r="N62" s="2286"/>
      <c r="O62" s="2286"/>
      <c r="P62" s="2286"/>
      <c r="Q62" s="2286"/>
      <c r="R62" s="2286"/>
      <c r="S62" s="2286"/>
      <c r="T62" s="2286"/>
      <c r="U62" s="2286"/>
      <c r="V62" s="2286"/>
      <c r="W62" s="2286"/>
      <c r="X62" s="2286"/>
      <c r="Y62" s="2286"/>
      <c r="Z62" s="2286"/>
      <c r="AA62" s="2286"/>
      <c r="AB62" s="2287"/>
      <c r="AC62" s="1174"/>
      <c r="AD62" s="1144"/>
      <c r="AE62" s="365"/>
      <c r="AF62" s="2097"/>
    </row>
    <row r="63" spans="1:32">
      <c r="A63" s="1109"/>
      <c r="B63" s="1176"/>
      <c r="C63" s="2284"/>
      <c r="D63" s="2285"/>
      <c r="E63" s="2286"/>
      <c r="F63" s="2286"/>
      <c r="G63" s="2286"/>
      <c r="H63" s="2286"/>
      <c r="I63" s="2286"/>
      <c r="J63" s="2286"/>
      <c r="K63" s="2286"/>
      <c r="L63" s="2286"/>
      <c r="M63" s="2286"/>
      <c r="N63" s="2286"/>
      <c r="O63" s="2286"/>
      <c r="P63" s="2286"/>
      <c r="Q63" s="2286"/>
      <c r="R63" s="2286"/>
      <c r="S63" s="2286"/>
      <c r="T63" s="2286"/>
      <c r="U63" s="2286"/>
      <c r="V63" s="2286"/>
      <c r="W63" s="2286"/>
      <c r="X63" s="2286"/>
      <c r="Y63" s="2286"/>
      <c r="Z63" s="2286"/>
      <c r="AA63" s="2286"/>
      <c r="AB63" s="2287"/>
      <c r="AC63" s="2100"/>
      <c r="AD63" s="2101"/>
      <c r="AE63" s="2102"/>
      <c r="AF63" s="2097"/>
    </row>
    <row r="64" spans="1:32">
      <c r="A64" s="1109"/>
      <c r="B64" s="1176"/>
      <c r="C64" s="2284"/>
      <c r="D64" s="2285"/>
      <c r="E64" s="2286"/>
      <c r="F64" s="2286"/>
      <c r="G64" s="2286"/>
      <c r="H64" s="2286"/>
      <c r="I64" s="2286"/>
      <c r="J64" s="2286"/>
      <c r="K64" s="2286"/>
      <c r="L64" s="2286"/>
      <c r="M64" s="2286"/>
      <c r="N64" s="2286"/>
      <c r="O64" s="2286"/>
      <c r="P64" s="2286"/>
      <c r="Q64" s="2286"/>
      <c r="R64" s="2286"/>
      <c r="S64" s="2286"/>
      <c r="T64" s="2286"/>
      <c r="U64" s="2286"/>
      <c r="V64" s="2286"/>
      <c r="W64" s="2286"/>
      <c r="X64" s="2286"/>
      <c r="Y64" s="2286"/>
      <c r="Z64" s="2286"/>
      <c r="AA64" s="2286"/>
      <c r="AB64" s="2287"/>
      <c r="AC64" s="2100"/>
      <c r="AD64" s="2101"/>
      <c r="AE64" s="2102"/>
      <c r="AF64" s="2097"/>
    </row>
    <row r="65" spans="1:32">
      <c r="A65" s="1109"/>
      <c r="B65" s="1176"/>
      <c r="C65" s="2284"/>
      <c r="D65" s="2285"/>
      <c r="E65" s="2286"/>
      <c r="F65" s="2286"/>
      <c r="G65" s="2286"/>
      <c r="H65" s="2286"/>
      <c r="I65" s="2286"/>
      <c r="J65" s="2286"/>
      <c r="K65" s="2286"/>
      <c r="L65" s="2286"/>
      <c r="M65" s="2286"/>
      <c r="N65" s="2286"/>
      <c r="O65" s="2286"/>
      <c r="P65" s="2286"/>
      <c r="Q65" s="2286"/>
      <c r="R65" s="2286"/>
      <c r="S65" s="2286"/>
      <c r="T65" s="2286"/>
      <c r="U65" s="2286"/>
      <c r="V65" s="2286"/>
      <c r="W65" s="2286"/>
      <c r="X65" s="2286"/>
      <c r="Y65" s="2286"/>
      <c r="Z65" s="2286"/>
      <c r="AA65" s="2286"/>
      <c r="AB65" s="2287"/>
      <c r="AC65" s="2100"/>
      <c r="AD65" s="2101"/>
      <c r="AE65" s="2102"/>
      <c r="AF65" s="2097"/>
    </row>
    <row r="66" spans="1:32">
      <c r="A66" s="1109"/>
      <c r="B66" s="1176"/>
      <c r="C66" s="2284"/>
      <c r="D66" s="2285"/>
      <c r="E66" s="2286"/>
      <c r="F66" s="2286"/>
      <c r="G66" s="2286"/>
      <c r="H66" s="2286"/>
      <c r="I66" s="2286"/>
      <c r="J66" s="2286"/>
      <c r="K66" s="2286"/>
      <c r="L66" s="2286"/>
      <c r="M66" s="2286"/>
      <c r="N66" s="2286"/>
      <c r="O66" s="2286"/>
      <c r="P66" s="2286"/>
      <c r="Q66" s="2286"/>
      <c r="R66" s="2286"/>
      <c r="S66" s="2286"/>
      <c r="T66" s="2286"/>
      <c r="U66" s="2286"/>
      <c r="V66" s="2286"/>
      <c r="W66" s="2286"/>
      <c r="X66" s="2286"/>
      <c r="Y66" s="2286"/>
      <c r="Z66" s="2286"/>
      <c r="AA66" s="2286"/>
      <c r="AB66" s="2287"/>
      <c r="AC66" s="2100"/>
      <c r="AD66" s="2101"/>
      <c r="AE66" s="2102"/>
      <c r="AF66" s="2097"/>
    </row>
    <row r="67" spans="1:32">
      <c r="A67" s="1109"/>
      <c r="B67" s="1176"/>
      <c r="C67" s="2284"/>
      <c r="D67" s="2285"/>
      <c r="E67" s="2286"/>
      <c r="F67" s="2286"/>
      <c r="G67" s="2286"/>
      <c r="H67" s="2286"/>
      <c r="I67" s="2286"/>
      <c r="J67" s="2286"/>
      <c r="K67" s="2286"/>
      <c r="L67" s="2286"/>
      <c r="M67" s="2286"/>
      <c r="N67" s="2286"/>
      <c r="O67" s="2286"/>
      <c r="P67" s="2286"/>
      <c r="Q67" s="2286"/>
      <c r="R67" s="2286"/>
      <c r="S67" s="2286"/>
      <c r="T67" s="2286"/>
      <c r="U67" s="2286"/>
      <c r="V67" s="2286"/>
      <c r="W67" s="2286"/>
      <c r="X67" s="2286"/>
      <c r="Y67" s="2286"/>
      <c r="Z67" s="2286"/>
      <c r="AA67" s="2286"/>
      <c r="AB67" s="2287"/>
      <c r="AC67" s="2100"/>
      <c r="AD67" s="2101"/>
      <c r="AE67" s="2102"/>
      <c r="AF67" s="2097"/>
    </row>
    <row r="68" spans="1:32">
      <c r="A68" s="1109"/>
      <c r="B68" s="1176"/>
      <c r="C68" s="2094"/>
      <c r="D68" s="2094"/>
      <c r="E68" s="2094"/>
      <c r="F68" s="2094"/>
      <c r="G68" s="2094"/>
      <c r="H68" s="2094"/>
      <c r="I68" s="2094"/>
      <c r="J68" s="2094"/>
      <c r="K68" s="2094"/>
      <c r="L68" s="2094"/>
      <c r="M68" s="2094"/>
      <c r="N68" s="2094"/>
      <c r="O68" s="2094"/>
      <c r="P68" s="2094"/>
      <c r="Q68" s="2094"/>
      <c r="R68" s="2094"/>
      <c r="S68" s="2094"/>
      <c r="T68" s="2094"/>
      <c r="U68" s="2094"/>
      <c r="V68" s="2094"/>
      <c r="W68" s="2094"/>
      <c r="X68" s="2094"/>
      <c r="Y68" s="2094"/>
      <c r="Z68" s="2094"/>
      <c r="AA68" s="2094"/>
      <c r="AB68" s="2094"/>
      <c r="AC68" s="2100"/>
      <c r="AD68" s="2101"/>
      <c r="AE68" s="2102"/>
      <c r="AF68" s="2097"/>
    </row>
    <row r="69" spans="1:32">
      <c r="A69" s="1109"/>
      <c r="B69" s="1176"/>
      <c r="C69" s="2284"/>
      <c r="D69" s="2285"/>
      <c r="E69" s="2286"/>
      <c r="F69" s="2286"/>
      <c r="G69" s="2286"/>
      <c r="H69" s="2286"/>
      <c r="I69" s="2286"/>
      <c r="J69" s="2286"/>
      <c r="K69" s="2286"/>
      <c r="L69" s="2286"/>
      <c r="M69" s="2286"/>
      <c r="N69" s="2286"/>
      <c r="O69" s="2286"/>
      <c r="P69" s="2286"/>
      <c r="Q69" s="2286"/>
      <c r="R69" s="2286"/>
      <c r="S69" s="2286"/>
      <c r="T69" s="2286"/>
      <c r="U69" s="2286"/>
      <c r="V69" s="2286"/>
      <c r="W69" s="2286"/>
      <c r="X69" s="2286"/>
      <c r="Y69" s="2286"/>
      <c r="Z69" s="2286"/>
      <c r="AA69" s="2286"/>
      <c r="AB69" s="2287"/>
      <c r="AC69" s="2100"/>
      <c r="AD69" s="2101"/>
      <c r="AE69" s="2102"/>
      <c r="AF69" s="2097"/>
    </row>
    <row r="70" spans="1:32">
      <c r="A70" s="1109"/>
      <c r="B70" s="1176"/>
      <c r="C70" s="2284"/>
      <c r="D70" s="2285"/>
      <c r="E70" s="2286"/>
      <c r="F70" s="2286"/>
      <c r="G70" s="2286"/>
      <c r="H70" s="2286"/>
      <c r="I70" s="2286"/>
      <c r="J70" s="2286"/>
      <c r="K70" s="2286"/>
      <c r="L70" s="2286"/>
      <c r="M70" s="2286"/>
      <c r="N70" s="2286"/>
      <c r="O70" s="2286"/>
      <c r="P70" s="2286"/>
      <c r="Q70" s="2286"/>
      <c r="R70" s="2286"/>
      <c r="S70" s="2286"/>
      <c r="T70" s="2286"/>
      <c r="U70" s="2286"/>
      <c r="V70" s="2286"/>
      <c r="W70" s="2286"/>
      <c r="X70" s="2286"/>
      <c r="Y70" s="2286"/>
      <c r="Z70" s="2286"/>
      <c r="AA70" s="2286"/>
      <c r="AB70" s="2287"/>
      <c r="AC70" s="2100"/>
      <c r="AD70" s="2101"/>
      <c r="AE70" s="2102"/>
      <c r="AF70" s="2097"/>
    </row>
    <row r="71" spans="1:32">
      <c r="A71" s="1109"/>
      <c r="B71" s="1176"/>
      <c r="C71" s="2284"/>
      <c r="D71" s="2285"/>
      <c r="E71" s="2286"/>
      <c r="F71" s="2286"/>
      <c r="G71" s="2286"/>
      <c r="H71" s="2286"/>
      <c r="I71" s="2286"/>
      <c r="J71" s="2286"/>
      <c r="K71" s="2286"/>
      <c r="L71" s="2286"/>
      <c r="M71" s="2286"/>
      <c r="N71" s="2286"/>
      <c r="O71" s="2286"/>
      <c r="P71" s="2286"/>
      <c r="Q71" s="2286"/>
      <c r="R71" s="2286"/>
      <c r="S71" s="2286"/>
      <c r="T71" s="2286"/>
      <c r="U71" s="2286"/>
      <c r="V71" s="2286"/>
      <c r="W71" s="2286"/>
      <c r="X71" s="2286"/>
      <c r="Y71" s="2286"/>
      <c r="Z71" s="2286"/>
      <c r="AA71" s="2286"/>
      <c r="AB71" s="2287"/>
      <c r="AC71" s="2100"/>
      <c r="AD71" s="2101"/>
      <c r="AE71" s="2102"/>
      <c r="AF71" s="2097"/>
    </row>
    <row r="72" spans="1:32">
      <c r="A72" s="1109"/>
      <c r="B72" s="1176"/>
      <c r="C72" s="2288"/>
      <c r="D72" s="2289"/>
      <c r="E72" s="2289"/>
      <c r="F72" s="2289"/>
      <c r="G72" s="2289"/>
      <c r="H72" s="2289"/>
      <c r="I72" s="2289"/>
      <c r="J72" s="2289"/>
      <c r="K72" s="2289"/>
      <c r="L72" s="2289"/>
      <c r="M72" s="2289"/>
      <c r="N72" s="2289"/>
      <c r="O72" s="2289"/>
      <c r="P72" s="2289"/>
      <c r="Q72" s="2289"/>
      <c r="R72" s="2289"/>
      <c r="S72" s="2289"/>
      <c r="T72" s="2289"/>
      <c r="U72" s="2289"/>
      <c r="V72" s="2289"/>
      <c r="W72" s="2289"/>
      <c r="X72" s="2289"/>
      <c r="Y72" s="2289"/>
      <c r="Z72" s="2289"/>
      <c r="AA72" s="2289"/>
      <c r="AB72" s="2290"/>
      <c r="AC72" s="2100"/>
      <c r="AD72" s="2101"/>
      <c r="AE72" s="2102"/>
      <c r="AF72" s="2097"/>
    </row>
    <row r="73" spans="1:32">
      <c r="A73" s="1109"/>
      <c r="B73" s="1176"/>
      <c r="C73" s="2288"/>
      <c r="D73" s="2289"/>
      <c r="E73" s="2289"/>
      <c r="F73" s="2289"/>
      <c r="G73" s="2289"/>
      <c r="H73" s="2289"/>
      <c r="I73" s="2289"/>
      <c r="J73" s="2289"/>
      <c r="K73" s="2289"/>
      <c r="L73" s="2289"/>
      <c r="M73" s="2289"/>
      <c r="N73" s="2289"/>
      <c r="O73" s="2289"/>
      <c r="P73" s="2289"/>
      <c r="Q73" s="2289"/>
      <c r="R73" s="2289"/>
      <c r="S73" s="2289"/>
      <c r="T73" s="2289"/>
      <c r="U73" s="2289"/>
      <c r="V73" s="2289"/>
      <c r="W73" s="2289"/>
      <c r="X73" s="2289"/>
      <c r="Y73" s="2289"/>
      <c r="Z73" s="2289"/>
      <c r="AA73" s="2289"/>
      <c r="AB73" s="2290"/>
      <c r="AC73" s="2100"/>
      <c r="AD73" s="2101"/>
      <c r="AE73" s="2102"/>
      <c r="AF73" s="2097"/>
    </row>
    <row r="74" spans="1:32">
      <c r="A74" s="1109"/>
      <c r="B74" s="1176"/>
      <c r="C74" s="2288"/>
      <c r="D74" s="2289"/>
      <c r="E74" s="2289"/>
      <c r="F74" s="2289"/>
      <c r="G74" s="2289"/>
      <c r="H74" s="2289"/>
      <c r="I74" s="2289"/>
      <c r="J74" s="2289"/>
      <c r="K74" s="2289"/>
      <c r="L74" s="2289"/>
      <c r="M74" s="2289"/>
      <c r="N74" s="2289"/>
      <c r="O74" s="2289"/>
      <c r="P74" s="2289"/>
      <c r="Q74" s="2289"/>
      <c r="R74" s="2289"/>
      <c r="S74" s="2289"/>
      <c r="T74" s="2289"/>
      <c r="U74" s="2289"/>
      <c r="V74" s="2289"/>
      <c r="W74" s="2289"/>
      <c r="X74" s="2289"/>
      <c r="Y74" s="2289"/>
      <c r="Z74" s="2289"/>
      <c r="AA74" s="2289"/>
      <c r="AB74" s="2290"/>
      <c r="AC74" s="2100"/>
      <c r="AD74" s="2101"/>
      <c r="AE74" s="2102"/>
      <c r="AF74" s="2097"/>
    </row>
    <row r="75" spans="1:32" ht="13.5" thickBot="1">
      <c r="A75" s="1109"/>
      <c r="B75" s="1176"/>
      <c r="C75" s="2281"/>
      <c r="D75" s="2282"/>
      <c r="E75" s="2282"/>
      <c r="F75" s="2282"/>
      <c r="G75" s="2282"/>
      <c r="H75" s="2282"/>
      <c r="I75" s="2282"/>
      <c r="J75" s="2282"/>
      <c r="K75" s="2282"/>
      <c r="L75" s="2282"/>
      <c r="M75" s="2282"/>
      <c r="N75" s="2282"/>
      <c r="O75" s="2282"/>
      <c r="P75" s="2282"/>
      <c r="Q75" s="2282"/>
      <c r="R75" s="2282"/>
      <c r="S75" s="2282"/>
      <c r="T75" s="2282"/>
      <c r="U75" s="2282"/>
      <c r="V75" s="2282"/>
      <c r="W75" s="2282"/>
      <c r="X75" s="2282"/>
      <c r="Y75" s="2282"/>
      <c r="Z75" s="2282"/>
      <c r="AA75" s="2282"/>
      <c r="AB75" s="2283"/>
      <c r="AC75" s="2100"/>
      <c r="AD75" s="2101"/>
      <c r="AE75" s="2102"/>
      <c r="AF75" s="2097"/>
    </row>
    <row r="76" spans="1:32" ht="13.5" thickBot="1">
      <c r="A76" s="1177"/>
      <c r="B76" s="2103"/>
      <c r="C76" s="2104"/>
      <c r="D76" s="2104"/>
      <c r="E76" s="2103"/>
      <c r="F76" s="2103"/>
      <c r="G76" s="2103"/>
      <c r="H76" s="2103"/>
      <c r="I76" s="2103"/>
      <c r="J76" s="2103"/>
      <c r="K76" s="2103"/>
      <c r="L76" s="2103"/>
      <c r="M76" s="2103"/>
      <c r="N76" s="2103"/>
      <c r="O76" s="2103"/>
      <c r="P76" s="2103"/>
      <c r="Q76" s="2103"/>
      <c r="R76" s="2103"/>
      <c r="S76" s="2103"/>
      <c r="T76" s="2103"/>
      <c r="U76" s="2103"/>
      <c r="V76" s="2103"/>
      <c r="W76" s="2103"/>
      <c r="X76" s="2103"/>
      <c r="Y76" s="2103"/>
      <c r="Z76" s="2103"/>
      <c r="AA76" s="2103"/>
      <c r="AB76" s="2103"/>
      <c r="AC76" s="2105"/>
      <c r="AD76" s="2106"/>
      <c r="AE76" s="2103"/>
      <c r="AF76" s="2107"/>
    </row>
    <row r="77" spans="1:32" ht="13.5" thickTop="1">
      <c r="A77" s="2093"/>
      <c r="B77" s="2093"/>
      <c r="C77" s="2108"/>
      <c r="D77" s="2108"/>
      <c r="E77" s="2094"/>
      <c r="F77" s="2094"/>
      <c r="G77" s="2094"/>
      <c r="H77" s="2094"/>
      <c r="I77" s="2094"/>
      <c r="J77" s="2094"/>
      <c r="K77" s="2094"/>
      <c r="L77" s="2094"/>
      <c r="M77" s="2094"/>
      <c r="N77" s="2094"/>
      <c r="O77" s="2094"/>
      <c r="P77" s="2094"/>
      <c r="Q77" s="2094"/>
      <c r="R77" s="2094"/>
      <c r="S77" s="2094"/>
      <c r="T77" s="2094"/>
      <c r="U77" s="2094"/>
      <c r="V77" s="2094"/>
      <c r="W77" s="2094"/>
      <c r="X77" s="2094"/>
      <c r="Y77" s="2094"/>
      <c r="Z77" s="2094"/>
      <c r="AA77" s="2094"/>
      <c r="AB77" s="2094"/>
      <c r="AC77" s="2095"/>
      <c r="AD77" s="2096"/>
      <c r="AE77" s="2094"/>
      <c r="AF77" s="2094"/>
    </row>
    <row r="78" spans="1:32">
      <c r="A78" s="2093"/>
      <c r="B78" s="2093"/>
      <c r="C78" s="2108"/>
      <c r="D78" s="2108"/>
      <c r="E78" s="2094"/>
      <c r="F78" s="2094"/>
      <c r="G78" s="2094"/>
      <c r="H78" s="2094"/>
      <c r="I78" s="2094"/>
      <c r="J78" s="2094"/>
      <c r="K78" s="2094"/>
      <c r="L78" s="2094"/>
      <c r="M78" s="2094"/>
      <c r="N78" s="2094"/>
      <c r="O78" s="2094"/>
      <c r="P78" s="2094"/>
      <c r="Q78" s="2094"/>
      <c r="R78" s="2094"/>
      <c r="S78" s="2094"/>
      <c r="T78" s="2094"/>
      <c r="U78" s="2094"/>
      <c r="V78" s="2094"/>
      <c r="W78" s="2094"/>
      <c r="X78" s="2094"/>
      <c r="Y78" s="2094"/>
      <c r="Z78" s="2094"/>
      <c r="AA78" s="2094"/>
      <c r="AB78" s="2094"/>
      <c r="AC78" s="2095"/>
      <c r="AD78" s="2096"/>
      <c r="AE78" s="2094"/>
      <c r="AF78" s="2094"/>
    </row>
    <row r="79" spans="1:32">
      <c r="A79" s="2093"/>
      <c r="B79" s="2093"/>
      <c r="C79" s="2108"/>
      <c r="D79" s="2108"/>
      <c r="E79" s="2094"/>
      <c r="F79" s="2094"/>
      <c r="G79" s="2094"/>
      <c r="H79" s="2094"/>
      <c r="I79" s="2094"/>
      <c r="J79" s="2094"/>
      <c r="K79" s="2094"/>
      <c r="L79" s="2094"/>
      <c r="M79" s="2094"/>
      <c r="N79" s="2094"/>
      <c r="O79" s="2094"/>
      <c r="P79" s="2094"/>
      <c r="Q79" s="2094"/>
      <c r="R79" s="2094"/>
      <c r="S79" s="2094"/>
      <c r="T79" s="2094"/>
      <c r="U79" s="2094"/>
      <c r="V79" s="2094"/>
      <c r="W79" s="2094"/>
      <c r="X79" s="2094"/>
      <c r="Y79" s="2094"/>
      <c r="Z79" s="2094"/>
      <c r="AA79" s="2094"/>
      <c r="AB79" s="2094"/>
      <c r="AC79" s="2095"/>
      <c r="AD79" s="2096"/>
      <c r="AE79" s="2094"/>
      <c r="AF79" s="2094"/>
    </row>
    <row r="80" spans="1:32">
      <c r="A80" s="2093"/>
      <c r="B80" s="2093"/>
      <c r="C80" s="2108"/>
      <c r="D80" s="2108"/>
      <c r="E80" s="2094"/>
      <c r="F80" s="2094"/>
      <c r="G80" s="2094"/>
      <c r="H80" s="2094"/>
      <c r="I80" s="2094"/>
      <c r="J80" s="2094"/>
      <c r="K80" s="2094"/>
      <c r="L80" s="2094"/>
      <c r="M80" s="2094"/>
      <c r="N80" s="2094"/>
      <c r="O80" s="2094"/>
      <c r="P80" s="2094"/>
      <c r="Q80" s="2094"/>
      <c r="R80" s="2094"/>
      <c r="S80" s="2094"/>
      <c r="T80" s="2094"/>
      <c r="U80" s="2094"/>
      <c r="V80" s="2094"/>
      <c r="W80" s="2094"/>
      <c r="X80" s="2094"/>
      <c r="Y80" s="2094"/>
      <c r="Z80" s="2094"/>
      <c r="AA80" s="2094"/>
      <c r="AB80" s="2094"/>
      <c r="AC80" s="2095"/>
      <c r="AD80" s="2096"/>
      <c r="AE80" s="2094"/>
      <c r="AF80" s="2094"/>
    </row>
    <row r="81" spans="1:2">
      <c r="A81" s="2093"/>
      <c r="B81" s="2093"/>
    </row>
    <row r="82" spans="1:2">
      <c r="A82" s="2093"/>
      <c r="B82" s="2093"/>
    </row>
    <row r="83" spans="1:2">
      <c r="A83" s="2093"/>
      <c r="B83" s="2093"/>
    </row>
    <row r="84" spans="1:2">
      <c r="A84" s="2093"/>
      <c r="B84" s="2093"/>
    </row>
    <row r="85" spans="1:2">
      <c r="A85" s="2093"/>
      <c r="B85" s="2093"/>
    </row>
    <row r="86" spans="1:2">
      <c r="A86" s="2093"/>
      <c r="B86" s="2093"/>
    </row>
    <row r="87" spans="1:2">
      <c r="A87" s="2093"/>
      <c r="B87" s="2093"/>
    </row>
    <row r="88" spans="1:2">
      <c r="A88" s="2093"/>
      <c r="B88" s="2093"/>
    </row>
    <row r="89" spans="1:2">
      <c r="A89" s="2093"/>
      <c r="B89" s="2093"/>
    </row>
    <row r="90" spans="1:2">
      <c r="A90" s="2093"/>
      <c r="B90" s="2093"/>
    </row>
    <row r="91" spans="1:2">
      <c r="A91" s="2093"/>
      <c r="B91" s="2093"/>
    </row>
    <row r="92" spans="1:2">
      <c r="A92" s="2093"/>
      <c r="B92" s="2093"/>
    </row>
    <row r="93" spans="1:2">
      <c r="A93" s="2093"/>
      <c r="B93" s="2093"/>
    </row>
    <row r="94" spans="1:2">
      <c r="A94" s="2093"/>
      <c r="B94" s="2093"/>
    </row>
    <row r="95" spans="1:2">
      <c r="A95" s="2093"/>
      <c r="B95" s="2093"/>
    </row>
    <row r="96" spans="1:2">
      <c r="A96" s="2093"/>
      <c r="B96" s="2093"/>
    </row>
    <row r="97" spans="1:2">
      <c r="A97" s="2093"/>
      <c r="B97" s="2093"/>
    </row>
    <row r="98" spans="1:2">
      <c r="A98" s="2093"/>
      <c r="B98" s="2093"/>
    </row>
    <row r="99" spans="1:2">
      <c r="A99" s="2093"/>
      <c r="B99" s="2093"/>
    </row>
    <row r="100" spans="1:2">
      <c r="A100" s="2093"/>
      <c r="B100" s="2093"/>
    </row>
    <row r="101" spans="1:2">
      <c r="A101" s="2093"/>
      <c r="B101" s="2093"/>
    </row>
    <row r="102" spans="1:2">
      <c r="A102" s="2093"/>
      <c r="B102" s="2093"/>
    </row>
    <row r="103" spans="1:2">
      <c r="A103" s="2093"/>
      <c r="B103" s="2093"/>
    </row>
    <row r="104" spans="1:2">
      <c r="A104" s="2093"/>
      <c r="B104" s="2093"/>
    </row>
    <row r="105" spans="1:2">
      <c r="A105" s="2093"/>
      <c r="B105" s="2093"/>
    </row>
    <row r="106" spans="1:2">
      <c r="A106" s="2093"/>
      <c r="B106" s="2093"/>
    </row>
    <row r="107" spans="1:2">
      <c r="A107" s="2093"/>
      <c r="B107" s="2093"/>
    </row>
    <row r="108" spans="1:2">
      <c r="A108" s="2093"/>
      <c r="B108" s="2093"/>
    </row>
    <row r="109" spans="1:2">
      <c r="A109" s="2093"/>
      <c r="B109" s="2093"/>
    </row>
    <row r="110" spans="1:2">
      <c r="A110" s="2093"/>
      <c r="B110" s="2093"/>
    </row>
    <row r="111" spans="1:2">
      <c r="A111" s="2093"/>
      <c r="B111" s="2093"/>
    </row>
    <row r="112" spans="1:2">
      <c r="A112" s="2093"/>
      <c r="B112" s="2093"/>
    </row>
    <row r="113" spans="1:2">
      <c r="A113" s="2093"/>
      <c r="B113" s="2093"/>
    </row>
    <row r="114" spans="1:2">
      <c r="A114" s="2093"/>
      <c r="B114" s="2093"/>
    </row>
    <row r="115" spans="1:2">
      <c r="A115" s="2093"/>
      <c r="B115" s="2093"/>
    </row>
    <row r="116" spans="1:2">
      <c r="A116" s="2093"/>
      <c r="B116" s="2093"/>
    </row>
    <row r="117" spans="1:2">
      <c r="A117" s="2093"/>
      <c r="B117" s="2093"/>
    </row>
    <row r="118" spans="1:2">
      <c r="A118" s="2093"/>
      <c r="B118" s="2093"/>
    </row>
    <row r="119" spans="1:2">
      <c r="A119" s="2093"/>
      <c r="B119" s="2093"/>
    </row>
    <row r="120" spans="1:2">
      <c r="A120" s="2093"/>
      <c r="B120" s="2093"/>
    </row>
    <row r="121" spans="1:2">
      <c r="A121" s="2093"/>
      <c r="B121" s="2093"/>
    </row>
    <row r="122" spans="1:2">
      <c r="A122" s="2093"/>
      <c r="B122" s="2093"/>
    </row>
    <row r="123" spans="1:2">
      <c r="A123" s="2093"/>
      <c r="B123" s="2093"/>
    </row>
    <row r="124" spans="1:2">
      <c r="A124" s="2093"/>
      <c r="B124" s="2093"/>
    </row>
    <row r="125" spans="1:2">
      <c r="A125" s="2093"/>
      <c r="B125" s="2093"/>
    </row>
    <row r="126" spans="1:2">
      <c r="A126" s="2093"/>
      <c r="B126" s="2093"/>
    </row>
    <row r="127" spans="1:2">
      <c r="A127" s="2093"/>
      <c r="B127" s="2093"/>
    </row>
    <row r="128" spans="1:2">
      <c r="A128" s="2093"/>
      <c r="B128" s="2093"/>
    </row>
    <row r="129" spans="1:2">
      <c r="A129" s="2093"/>
      <c r="B129" s="2093"/>
    </row>
    <row r="130" spans="1:2">
      <c r="A130" s="2093"/>
      <c r="B130" s="2093"/>
    </row>
    <row r="131" spans="1:2">
      <c r="A131" s="2093"/>
      <c r="B131" s="2093"/>
    </row>
    <row r="132" spans="1:2">
      <c r="A132" s="2093"/>
      <c r="B132" s="2093"/>
    </row>
    <row r="133" spans="1:2">
      <c r="A133" s="2093"/>
      <c r="B133" s="2093"/>
    </row>
  </sheetData>
  <customSheetViews>
    <customSheetView guid="{FC62AB03-1E1B-40DD-97B7-FC10FADA3A15}">
      <pane xSplit="1" topLeftCell="B1" activePane="topRight" state="frozen"/>
      <selection pane="topRight" activeCell="D5" sqref="D5"/>
      <pageMargins left="0" right="0" top="0" bottom="0" header="0" footer="0"/>
      <printOptions horizontalCentered="1" verticalCentered="1" gridLines="1"/>
      <pageSetup paperSize="9" scale="73" orientation="landscape" r:id="rId1"/>
      <headerFooter alignWithMargins="0">
        <oddHeader>&amp;F</oddHeader>
        <oddFooter>Seite &amp;P von &amp;N</oddFooter>
      </headerFooter>
    </customSheetView>
  </customSheetViews>
  <mergeCells count="74">
    <mergeCell ref="B1:AA1"/>
    <mergeCell ref="C69:AB69"/>
    <mergeCell ref="B2:AE2"/>
    <mergeCell ref="AE3:AE4"/>
    <mergeCell ref="B22:B23"/>
    <mergeCell ref="Q22:R23"/>
    <mergeCell ref="S22:T23"/>
    <mergeCell ref="C3:C4"/>
    <mergeCell ref="C22:C23"/>
    <mergeCell ref="C41:C42"/>
    <mergeCell ref="C62:AB62"/>
    <mergeCell ref="C63:AB63"/>
    <mergeCell ref="C64:AB64"/>
    <mergeCell ref="C70:AB70"/>
    <mergeCell ref="E3:F4"/>
    <mergeCell ref="G3:H4"/>
    <mergeCell ref="I3:J4"/>
    <mergeCell ref="M3:N4"/>
    <mergeCell ref="U22:V23"/>
    <mergeCell ref="E22:F23"/>
    <mergeCell ref="K41:L42"/>
    <mergeCell ref="M41:N42"/>
    <mergeCell ref="O41:P42"/>
    <mergeCell ref="U3:V4"/>
    <mergeCell ref="W22:X23"/>
    <mergeCell ref="G22:H23"/>
    <mergeCell ref="W41:X42"/>
    <mergeCell ref="C75:AB75"/>
    <mergeCell ref="S41:T42"/>
    <mergeCell ref="C65:AB65"/>
    <mergeCell ref="C66:AB66"/>
    <mergeCell ref="C73:AB73"/>
    <mergeCell ref="E41:F42"/>
    <mergeCell ref="G41:H42"/>
    <mergeCell ref="Q41:R42"/>
    <mergeCell ref="C74:AB74"/>
    <mergeCell ref="C67:AB67"/>
    <mergeCell ref="C60:AB60"/>
    <mergeCell ref="C61:AB61"/>
    <mergeCell ref="I41:J42"/>
    <mergeCell ref="C71:AB71"/>
    <mergeCell ref="C72:AB72"/>
    <mergeCell ref="AA41:AB42"/>
    <mergeCell ref="AD41:AD42"/>
    <mergeCell ref="O22:P23"/>
    <mergeCell ref="O3:P4"/>
    <mergeCell ref="Y3:Z4"/>
    <mergeCell ref="AC41:AC42"/>
    <mergeCell ref="AC3:AC4"/>
    <mergeCell ref="AD3:AD4"/>
    <mergeCell ref="B21:AE21"/>
    <mergeCell ref="B3:B4"/>
    <mergeCell ref="W3:X4"/>
    <mergeCell ref="S3:T4"/>
    <mergeCell ref="AA3:AB4"/>
    <mergeCell ref="Q3:R4"/>
    <mergeCell ref="B41:B42"/>
    <mergeCell ref="U41:V42"/>
    <mergeCell ref="AG3:AI5"/>
    <mergeCell ref="C24:D25"/>
    <mergeCell ref="C43:D44"/>
    <mergeCell ref="K3:L4"/>
    <mergeCell ref="I22:J23"/>
    <mergeCell ref="K22:L23"/>
    <mergeCell ref="M22:N23"/>
    <mergeCell ref="C5:D6"/>
    <mergeCell ref="B40:AE40"/>
    <mergeCell ref="AC22:AC23"/>
    <mergeCell ref="AE22:AE23"/>
    <mergeCell ref="AD22:AD23"/>
    <mergeCell ref="Y22:Z23"/>
    <mergeCell ref="AA22:AB23"/>
    <mergeCell ref="AE41:AE42"/>
    <mergeCell ref="Y41:Z42"/>
  </mergeCells>
  <phoneticPr fontId="31" type="noConversion"/>
  <printOptions horizontalCentered="1" gridLines="1"/>
  <pageMargins left="0.6692913385826772" right="0.55118110236220474" top="0.98425196850393704" bottom="1.7322834645669292" header="0.51181102362204722" footer="0.51181102362204722"/>
  <pageSetup paperSize="9" scale="41" fitToHeight="2" orientation="landscape" r:id="rId2"/>
  <headerFooter alignWithMargins="0">
    <oddHeader>&amp;CSeite&amp;P</oddHeader>
    <oddFooter>&amp;L&amp;"Verdana,Standard"Die Vorlage dieser Datei wurde zur Verfügung gestellt durch die Wirtschafts-Senioren Hannover&amp;R&amp;D</oddFooter>
  </headerFooter>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85130-86C9-405A-9D50-28D806F8A808}">
  <sheetPr>
    <tabColor indexed="13"/>
    <pageSetUpPr autoPageBreaks="0"/>
  </sheetPr>
  <dimension ref="A1:Q88"/>
  <sheetViews>
    <sheetView showGridLines="0" showRuler="0" showOutlineSymbols="0" topLeftCell="A55" zoomScale="95" zoomScaleNormal="95" zoomScalePageLayoutView="50" workbookViewId="0">
      <selection activeCell="P14" sqref="P14"/>
    </sheetView>
  </sheetViews>
  <sheetFormatPr defaultColWidth="11.42578125" defaultRowHeight="12.75"/>
  <cols>
    <col min="1" max="1" width="3" style="1100" customWidth="1"/>
    <col min="2" max="2" width="11.42578125" style="1182"/>
    <col min="3" max="3" width="25.28515625" style="1183" customWidth="1"/>
    <col min="4" max="4" width="12.42578125" style="1184" customWidth="1"/>
    <col min="5" max="5" width="12.7109375" style="1184" customWidth="1"/>
    <col min="6" max="6" width="12" style="1184" customWidth="1"/>
    <col min="7" max="7" width="12.5703125" style="1184" customWidth="1"/>
    <col min="8" max="9" width="12" style="1184" customWidth="1"/>
    <col min="10" max="10" width="12.42578125" style="1184" customWidth="1"/>
    <col min="11" max="11" width="12" style="1184" customWidth="1"/>
    <col min="12" max="13" width="11.85546875" style="1184" customWidth="1"/>
    <col min="14" max="15" width="12.28515625" style="1184" customWidth="1"/>
    <col min="16" max="16" width="12.85546875" style="1185" customWidth="1"/>
    <col min="17" max="17" width="5.28515625" style="1100" customWidth="1"/>
    <col min="18" max="18" width="6.28515625" style="1100" customWidth="1"/>
    <col min="19" max="19" width="7" style="1100" customWidth="1"/>
    <col min="20" max="20" width="5.85546875" style="1100" customWidth="1"/>
    <col min="21" max="21" width="6" style="1100" customWidth="1"/>
    <col min="22" max="22" width="6.85546875" style="1100" customWidth="1"/>
    <col min="23" max="16384" width="11.42578125" style="1100"/>
  </cols>
  <sheetData>
    <row r="1" spans="1:17" ht="30" customHeight="1" thickTop="1" thickBot="1">
      <c r="A1" s="670"/>
      <c r="B1" s="671" t="s">
        <v>336</v>
      </c>
      <c r="C1" s="672"/>
      <c r="D1" s="673"/>
      <c r="E1" s="673"/>
      <c r="F1" s="673"/>
      <c r="G1" s="673"/>
      <c r="H1" s="2316" t="str">
        <f>Deckblatt!C5</f>
        <v>Max Mustermann</v>
      </c>
      <c r="I1" s="2316"/>
      <c r="J1" s="2316"/>
      <c r="K1" s="673"/>
      <c r="L1" s="673"/>
      <c r="M1" s="673"/>
      <c r="N1" s="673"/>
      <c r="O1" s="673"/>
      <c r="P1" s="681"/>
      <c r="Q1" s="674"/>
    </row>
    <row r="2" spans="1:17" ht="41.25" customHeight="1">
      <c r="A2" s="675"/>
      <c r="B2" s="54">
        <v>1</v>
      </c>
      <c r="C2" s="2312" t="s">
        <v>337</v>
      </c>
      <c r="D2" s="2313"/>
      <c r="E2" s="2313"/>
      <c r="F2" s="2313"/>
      <c r="G2" s="2313"/>
      <c r="H2" s="155"/>
      <c r="I2" s="155"/>
      <c r="J2" s="155"/>
      <c r="K2" s="155"/>
      <c r="L2" s="155"/>
      <c r="M2" s="155"/>
      <c r="N2" s="156"/>
      <c r="O2" s="157" t="s">
        <v>338</v>
      </c>
      <c r="P2" s="158">
        <f>Deckblatt!C9</f>
        <v>0.19</v>
      </c>
      <c r="Q2" s="676"/>
    </row>
    <row r="3" spans="1:17" ht="30" customHeight="1">
      <c r="A3" s="675"/>
      <c r="B3" s="2319">
        <f>ZusammenführErgebn!C3</f>
        <v>2025</v>
      </c>
      <c r="C3" s="2320"/>
      <c r="D3" s="159" t="str">
        <f>'Ertragsv. 2025'!C2</f>
        <v>Jan.</v>
      </c>
      <c r="E3" s="159" t="str">
        <f>'Ertragsv. 2025'!D2</f>
        <v>Febr.</v>
      </c>
      <c r="F3" s="159" t="str">
        <f>'Ertragsv. 2025'!E2</f>
        <v>März</v>
      </c>
      <c r="G3" s="159" t="str">
        <f>'Ertragsv. 2025'!F2</f>
        <v>April</v>
      </c>
      <c r="H3" s="159" t="str">
        <f>'Ertragsv. 2025'!G2</f>
        <v>Mai</v>
      </c>
      <c r="I3" s="159" t="str">
        <f>'Ertragsv. 2025'!H2</f>
        <v>Juni</v>
      </c>
      <c r="J3" s="159" t="str">
        <f>'Ertragsv. 2025'!I2</f>
        <v>Juli</v>
      </c>
      <c r="K3" s="159" t="str">
        <f>'Ertragsv. 2025'!J2</f>
        <v>Aug.</v>
      </c>
      <c r="L3" s="159" t="str">
        <f>'Ertragsv. 2025'!K2</f>
        <v>Sept.</v>
      </c>
      <c r="M3" s="159" t="str">
        <f>'Ertragsv. 2025'!L2</f>
        <v>Okt.</v>
      </c>
      <c r="N3" s="159" t="str">
        <f>'Ertragsv. 2025'!M2</f>
        <v>Nov.</v>
      </c>
      <c r="O3" s="159" t="str">
        <f>'Ertragsv. 2025'!N2</f>
        <v>Dez.</v>
      </c>
      <c r="P3" s="160" t="s">
        <v>339</v>
      </c>
      <c r="Q3" s="676"/>
    </row>
    <row r="4" spans="1:17" ht="17.25" customHeight="1">
      <c r="A4" s="675"/>
      <c r="B4" s="161" t="s">
        <v>340</v>
      </c>
      <c r="C4" s="620"/>
      <c r="D4" s="162"/>
      <c r="E4" s="162"/>
      <c r="F4" s="162"/>
      <c r="G4" s="162"/>
      <c r="H4" s="162"/>
      <c r="I4" s="162"/>
      <c r="J4" s="162"/>
      <c r="K4" s="162"/>
      <c r="L4" s="162"/>
      <c r="M4" s="162"/>
      <c r="N4" s="162"/>
      <c r="O4" s="162"/>
      <c r="P4" s="627"/>
      <c r="Q4" s="676"/>
    </row>
    <row r="5" spans="1:17" ht="17.25" customHeight="1">
      <c r="A5" s="675"/>
      <c r="B5" s="617" t="s">
        <v>341</v>
      </c>
      <c r="C5" s="618"/>
      <c r="D5" s="628">
        <f>IF($B$2=0,'Ertragsv. 2025'!C3,IF($B$2=1,0,IF($B$2=2,0,IF($B$2=3,0))))</f>
        <v>0</v>
      </c>
      <c r="E5" s="628">
        <f>IF($B$2=0,'Ertragsv. 2025'!D3,IF($B$2=1,'Ertragsv. 2025'!C3,IF($B$2=2,0,IF($B$2=3,'Ertragsv. 2025'!C3*50%))))</f>
        <v>0</v>
      </c>
      <c r="F5" s="628">
        <f>IF($B$2=0,'Ertragsv. 2025'!E3,IF($B$2=1,'Ertragsv. 2025'!D3,IF($B$2=2,'Ertragsv. 2025'!C3,IF($B$2=3,'Ertragsv. 2025'!C3*50%+'Ertragsv. 2025'!D3*50%))))</f>
        <v>0</v>
      </c>
      <c r="G5" s="628">
        <f>IF($B$2=0,'Ertragsv. 2025'!F3,IF($B$2=1,'Ertragsv. 2025'!E3,IF($B$2=2,'Ertragsv. 2025'!D3,IF($B$2=3,'Ertragsv. 2025'!D3*50%+'Ertragsv. 2025'!E3*50%))))</f>
        <v>0</v>
      </c>
      <c r="H5" s="628">
        <f>IF($B$2=0,'Ertragsv. 2025'!G3,IF($B$2=1,'Ertragsv. 2025'!F3,IF($B$2=2,'Ertragsv. 2025'!E3,IF($B$2=3,'Ertragsv. 2025'!E3*50%+'Ertragsv. 2025'!F3*50%))))</f>
        <v>0</v>
      </c>
      <c r="I5" s="628">
        <f>IF($B$2=0,'Ertragsv. 2025'!H3,IF($B$2=1,'Ertragsv. 2025'!G3,IF($B$2=2,'Ertragsv. 2025'!F3,IF($B$2=3,'Ertragsv. 2025'!F3*50%+'Ertragsv. 2025'!G3*50%))))</f>
        <v>0</v>
      </c>
      <c r="J5" s="628">
        <f>IF($B$2=0,'Ertragsv. 2025'!I3,IF($B$2=1,'Ertragsv. 2025'!H3,IF($B$2=2,'Ertragsv. 2025'!G3,IF($B$2=3,'Ertragsv. 2025'!G3*50%+('Ertragsv. 2025'!H3*50%)))))</f>
        <v>0</v>
      </c>
      <c r="K5" s="628">
        <f>IF($B$2=0,'Ertragsv. 2025'!J3,IF($B$2=1,'Ertragsv. 2025'!I3,IF($B$2=2,'Ertragsv. 2025'!H3,IF($B$2=3,'Ertragsv. 2025'!H3*50%+('Ertragsv. 2025'!I3*50%)))))</f>
        <v>0</v>
      </c>
      <c r="L5" s="628">
        <f>IF($B$2=0,'Ertragsv. 2025'!K3,IF($B$2=1,'Ertragsv. 2025'!J3,IF($B$2=2,'Ertragsv. 2025'!I3,IF($B$2=3,'Ertragsv. 2025'!I3*50%+'Ertragsv. 2025'!J3*50%))))</f>
        <v>0</v>
      </c>
      <c r="M5" s="628">
        <f>IF($B$2=0,'Ertragsv. 2025'!L3,IF($B$2=1,'Ertragsv. 2025'!K3,IF($B$2=2,'Ertragsv. 2025'!J3,IF($B$2=3,'Ertragsv. 2025'!J3*50%+'Ertragsv. 2025'!K3*50%))))</f>
        <v>0</v>
      </c>
      <c r="N5" s="628">
        <f>IF($B$2=0,'Ertragsv. 2025'!M3,IF($B$2=1,'Ertragsv. 2025'!L3,IF($B$2=2,'Ertragsv. 2025'!K3,IF($B$2=3,'Ertragsv. 2025'!K3*50%+'Ertragsv. 2025'!L3*50%))))</f>
        <v>0</v>
      </c>
      <c r="O5" s="628">
        <f>IF($B$2=0,'Ertragsv. 2025'!N3,IF($B$2=1,'Ertragsv. 2025'!M3,IF($B$2=2,'Ertragsv. 2025'!L3,IF($B$2=3,'Ertragsv. 2025'!L3*50%+'Ertragsv. 2025'!M3*50%))))</f>
        <v>0</v>
      </c>
      <c r="P5" s="629">
        <f t="shared" ref="P5:P10" si="0">SUM(D5:O5)</f>
        <v>0</v>
      </c>
      <c r="Q5" s="676"/>
    </row>
    <row r="6" spans="1:17" ht="17.25" customHeight="1">
      <c r="A6" s="675"/>
      <c r="B6" s="2048" t="s">
        <v>342</v>
      </c>
      <c r="C6" s="630"/>
      <c r="D6" s="70">
        <f>Finanz_AfA_Investitionen!C31</f>
        <v>0</v>
      </c>
      <c r="E6" s="70"/>
      <c r="F6" s="70"/>
      <c r="G6" s="70"/>
      <c r="H6" s="70"/>
      <c r="I6" s="70"/>
      <c r="J6" s="70"/>
      <c r="K6" s="70"/>
      <c r="L6" s="70"/>
      <c r="M6" s="70"/>
      <c r="N6" s="70"/>
      <c r="O6" s="70"/>
      <c r="P6" s="631">
        <f t="shared" si="0"/>
        <v>0</v>
      </c>
      <c r="Q6" s="676"/>
    </row>
    <row r="7" spans="1:17" ht="17.25" customHeight="1">
      <c r="A7" s="675"/>
      <c r="B7" s="2323" t="s">
        <v>343</v>
      </c>
      <c r="C7" s="2324"/>
      <c r="D7" s="70"/>
      <c r="E7" s="71"/>
      <c r="F7" s="71"/>
      <c r="G7" s="71"/>
      <c r="H7" s="71"/>
      <c r="I7" s="71"/>
      <c r="J7" s="71"/>
      <c r="K7" s="71"/>
      <c r="L7" s="71"/>
      <c r="M7" s="71"/>
      <c r="N7" s="71"/>
      <c r="O7" s="71"/>
      <c r="P7" s="631">
        <f t="shared" si="0"/>
        <v>0</v>
      </c>
      <c r="Q7" s="676"/>
    </row>
    <row r="8" spans="1:17" ht="17.25" customHeight="1">
      <c r="A8" s="675"/>
      <c r="B8" s="2048" t="s">
        <v>344</v>
      </c>
      <c r="C8" s="632"/>
      <c r="D8" s="70"/>
      <c r="E8" s="70"/>
      <c r="F8" s="70"/>
      <c r="G8" s="70"/>
      <c r="H8" s="70"/>
      <c r="I8" s="70"/>
      <c r="J8" s="70"/>
      <c r="K8" s="70"/>
      <c r="L8" s="70"/>
      <c r="M8" s="70"/>
      <c r="N8" s="70"/>
      <c r="O8" s="70"/>
      <c r="P8" s="631">
        <f t="shared" si="0"/>
        <v>0</v>
      </c>
      <c r="Q8" s="676"/>
    </row>
    <row r="9" spans="1:17" ht="17.25" customHeight="1">
      <c r="A9" s="675"/>
      <c r="B9" s="617" t="s">
        <v>345</v>
      </c>
      <c r="C9" s="622"/>
      <c r="D9" s="633">
        <f>IF($P$2&lt;0,0,IF($P$2&gt;0,D5*19%,0))</f>
        <v>0</v>
      </c>
      <c r="E9" s="633">
        <f t="shared" ref="E9:O9" si="1">IF($P$2&lt;0,0,IF($P$2&gt;0,E5*19%,0))</f>
        <v>0</v>
      </c>
      <c r="F9" s="633">
        <f t="shared" si="1"/>
        <v>0</v>
      </c>
      <c r="G9" s="633">
        <f t="shared" si="1"/>
        <v>0</v>
      </c>
      <c r="H9" s="633">
        <f t="shared" si="1"/>
        <v>0</v>
      </c>
      <c r="I9" s="633">
        <f t="shared" si="1"/>
        <v>0</v>
      </c>
      <c r="J9" s="633">
        <f t="shared" si="1"/>
        <v>0</v>
      </c>
      <c r="K9" s="633">
        <f t="shared" si="1"/>
        <v>0</v>
      </c>
      <c r="L9" s="633">
        <f t="shared" si="1"/>
        <v>0</v>
      </c>
      <c r="M9" s="633">
        <f t="shared" si="1"/>
        <v>0</v>
      </c>
      <c r="N9" s="633">
        <f t="shared" si="1"/>
        <v>0</v>
      </c>
      <c r="O9" s="633">
        <f t="shared" si="1"/>
        <v>0</v>
      </c>
      <c r="P9" s="627">
        <f t="shared" si="0"/>
        <v>0</v>
      </c>
      <c r="Q9" s="676"/>
    </row>
    <row r="10" spans="1:17" ht="17.25" customHeight="1" thickBot="1">
      <c r="A10" s="675"/>
      <c r="B10" s="163" t="s">
        <v>346</v>
      </c>
      <c r="C10" s="623"/>
      <c r="D10" s="634">
        <f>SUM(D5:D9)</f>
        <v>0</v>
      </c>
      <c r="E10" s="634">
        <f t="shared" ref="E10:O10" si="2">SUM(E5:E9)</f>
        <v>0</v>
      </c>
      <c r="F10" s="634">
        <f t="shared" si="2"/>
        <v>0</v>
      </c>
      <c r="G10" s="634">
        <f t="shared" si="2"/>
        <v>0</v>
      </c>
      <c r="H10" s="634">
        <f t="shared" si="2"/>
        <v>0</v>
      </c>
      <c r="I10" s="634">
        <f t="shared" si="2"/>
        <v>0</v>
      </c>
      <c r="J10" s="634">
        <f t="shared" si="2"/>
        <v>0</v>
      </c>
      <c r="K10" s="634">
        <f t="shared" si="2"/>
        <v>0</v>
      </c>
      <c r="L10" s="634">
        <f t="shared" si="2"/>
        <v>0</v>
      </c>
      <c r="M10" s="634">
        <f t="shared" si="2"/>
        <v>0</v>
      </c>
      <c r="N10" s="634">
        <f t="shared" si="2"/>
        <v>0</v>
      </c>
      <c r="O10" s="634">
        <f t="shared" si="2"/>
        <v>0</v>
      </c>
      <c r="P10" s="635">
        <f t="shared" si="0"/>
        <v>0</v>
      </c>
      <c r="Q10" s="676"/>
    </row>
    <row r="11" spans="1:17" ht="17.25" customHeight="1" thickTop="1">
      <c r="A11" s="675"/>
      <c r="B11" s="2325" t="s">
        <v>347</v>
      </c>
      <c r="C11" s="2326"/>
      <c r="D11" s="164"/>
      <c r="E11" s="164"/>
      <c r="F11" s="164"/>
      <c r="G11" s="164"/>
      <c r="H11" s="164"/>
      <c r="I11" s="164"/>
      <c r="J11" s="164"/>
      <c r="K11" s="164"/>
      <c r="L11" s="164"/>
      <c r="M11" s="164"/>
      <c r="N11" s="164"/>
      <c r="O11" s="164"/>
      <c r="P11" s="636"/>
      <c r="Q11" s="676"/>
    </row>
    <row r="12" spans="1:17" ht="17.25" customHeight="1">
      <c r="A12" s="675"/>
      <c r="B12" s="2048" t="s">
        <v>348</v>
      </c>
      <c r="C12" s="630"/>
      <c r="D12" s="70"/>
      <c r="E12" s="70"/>
      <c r="F12" s="70"/>
      <c r="G12" s="70"/>
      <c r="H12" s="70"/>
      <c r="I12" s="70"/>
      <c r="J12" s="70"/>
      <c r="K12" s="70"/>
      <c r="L12" s="70"/>
      <c r="M12" s="70"/>
      <c r="N12" s="70"/>
      <c r="O12" s="70"/>
      <c r="P12" s="631">
        <f t="shared" ref="P12:P17" si="3">SUM(D12:O12)</f>
        <v>0</v>
      </c>
      <c r="Q12" s="676"/>
    </row>
    <row r="13" spans="1:17" ht="17.25" customHeight="1">
      <c r="A13" s="675"/>
      <c r="B13" s="617" t="s">
        <v>349</v>
      </c>
      <c r="C13" s="618"/>
      <c r="D13" s="633">
        <f>IF($P$2&gt;0,(D14)*$P$2+(D12+D15)*19%-('Ertragsv. 2025'!C7+'Ertragsv. 2025'!C14+'Ertragsv. 2025'!C17+'Ertragsv. 2025'!C18)*19%,0)</f>
        <v>0</v>
      </c>
      <c r="E13" s="633">
        <f>IF($P$2&gt;0,(E14)*$P$2+(E12+E15)*19%-('Ertragsv. 2025'!D7+'Ertragsv. 2025'!D14+'Ertragsv. 2025'!D17+'Ertragsv. 2025'!D18)*19%,0)</f>
        <v>0</v>
      </c>
      <c r="F13" s="633">
        <f>IF($P$2&gt;0,(F14)*$P$2+(F12+F15)*19%-('Ertragsv. 2025'!E7+'Ertragsv. 2025'!E14+'Ertragsv. 2025'!E17+'Ertragsv. 2025'!E18)*19%,0)</f>
        <v>0</v>
      </c>
      <c r="G13" s="633">
        <f>IF($P$2&gt;0,(G14)*$P$2+(G12+G15)*19%-('Ertragsv. 2025'!F7+'Ertragsv. 2025'!F14+'Ertragsv. 2025'!F17+'Ertragsv. 2025'!F18)*19%,0)</f>
        <v>0</v>
      </c>
      <c r="H13" s="633">
        <f>IF($P$2&gt;0,(H14)*$P$2+(H12+H15)*19%-('Ertragsv. 2025'!G7+'Ertragsv. 2025'!G14+'Ertragsv. 2025'!G17+'Ertragsv. 2025'!G18)*19%,0)</f>
        <v>0</v>
      </c>
      <c r="I13" s="633">
        <f>IF($P$2&gt;0,(I14)*$P$2+(I12+I15)*19%-('Ertragsv. 2025'!H7+'Ertragsv. 2025'!H14+'Ertragsv. 2025'!H17+'Ertragsv. 2025'!H18)*19%,0)</f>
        <v>0</v>
      </c>
      <c r="J13" s="633">
        <f>IF($P$2&gt;0,(J14)*$P$2+(J12+J15)*19%-('Ertragsv. 2025'!I7+'Ertragsv. 2025'!I14+'Ertragsv. 2025'!I17+'Ertragsv. 2025'!I18)*19%,0)</f>
        <v>0</v>
      </c>
      <c r="K13" s="633">
        <f>IF($P$2&gt;0,(K14)*$P$2+(K12+K15)*19%-('Ertragsv. 2025'!J7+'Ertragsv. 2025'!J14+'Ertragsv. 2025'!J17+'Ertragsv. 2025'!J18)*19%,0)</f>
        <v>0</v>
      </c>
      <c r="L13" s="633">
        <f>IF($P$2&gt;0,(L14)*$P$2+(L12+L15)*19%-('Ertragsv. 2025'!K7+'Ertragsv. 2025'!K14+'Ertragsv. 2025'!K17+'Ertragsv. 2025'!K18)*19%,0)</f>
        <v>0</v>
      </c>
      <c r="M13" s="633">
        <f>IF($P$2&gt;0,(M14)*$P$2+(M12+M15)*19%-('Ertragsv. 2025'!L7+'Ertragsv. 2025'!L14+'Ertragsv. 2025'!L17+'Ertragsv. 2025'!L18)*19%,0)</f>
        <v>0</v>
      </c>
      <c r="N13" s="633">
        <f>IF($P$2&gt;0,(N14)*$P$2+(N12+N15)*19%-('Ertragsv. 2025'!M7+'Ertragsv. 2025'!M14+'Ertragsv. 2025'!M17+'Ertragsv. 2025'!M18)*19%,0)</f>
        <v>0</v>
      </c>
      <c r="O13" s="633">
        <f>IF($P$2&gt;0,(O14)*$P$2+(O12+O15)*19%-('Ertragsv. 2025'!N7+'Ertragsv. 2025'!N14+'Ertragsv. 2025'!N17+'Ertragsv. 2025'!N18)*19%,0)</f>
        <v>0</v>
      </c>
      <c r="P13" s="629">
        <f t="shared" si="3"/>
        <v>0</v>
      </c>
      <c r="Q13" s="676"/>
    </row>
    <row r="14" spans="1:17" ht="17.25" customHeight="1">
      <c r="A14" s="675"/>
      <c r="B14" s="2048" t="s">
        <v>350</v>
      </c>
      <c r="C14" s="620"/>
      <c r="D14" s="637">
        <f>'Ertragsv. 2025'!C4</f>
        <v>0</v>
      </c>
      <c r="E14" s="637">
        <f>'Ertragsv. 2025'!D4</f>
        <v>0</v>
      </c>
      <c r="F14" s="637">
        <f>'Ertragsv. 2025'!E4</f>
        <v>0</v>
      </c>
      <c r="G14" s="637">
        <f>'Ertragsv. 2025'!F4</f>
        <v>0</v>
      </c>
      <c r="H14" s="637">
        <f>'Ertragsv. 2025'!G4</f>
        <v>0</v>
      </c>
      <c r="I14" s="637">
        <f>'Ertragsv. 2025'!H4</f>
        <v>0</v>
      </c>
      <c r="J14" s="637">
        <f>'Ertragsv. 2025'!I4</f>
        <v>0</v>
      </c>
      <c r="K14" s="637">
        <f>'Ertragsv. 2025'!J4</f>
        <v>0</v>
      </c>
      <c r="L14" s="637">
        <f>'Ertragsv. 2025'!K4</f>
        <v>0</v>
      </c>
      <c r="M14" s="637">
        <f>'Ertragsv. 2025'!L4</f>
        <v>0</v>
      </c>
      <c r="N14" s="637">
        <f>'Ertragsv. 2025'!M4</f>
        <v>0</v>
      </c>
      <c r="O14" s="637">
        <f>'Ertragsv. 2025'!N4</f>
        <v>0</v>
      </c>
      <c r="P14" s="629">
        <f t="shared" si="3"/>
        <v>0</v>
      </c>
      <c r="Q14" s="676"/>
    </row>
    <row r="15" spans="1:17" ht="17.25" customHeight="1">
      <c r="A15" s="675"/>
      <c r="B15" s="2048" t="s">
        <v>351</v>
      </c>
      <c r="C15" s="620"/>
      <c r="D15" s="637">
        <f>'Ertragsv. 2025'!C20-'Ertragsv. 2025'!C4</f>
        <v>0</v>
      </c>
      <c r="E15" s="637">
        <f>'Ertragsv. 2025'!D20-'Ertragsv. 2025'!D4</f>
        <v>0</v>
      </c>
      <c r="F15" s="637">
        <f>'Ertragsv. 2025'!E20-'Ertragsv. 2025'!E4</f>
        <v>0</v>
      </c>
      <c r="G15" s="637">
        <f>'Ertragsv. 2025'!F20-'Ertragsv. 2025'!F4</f>
        <v>0</v>
      </c>
      <c r="H15" s="637">
        <f>'Ertragsv. 2025'!G20-'Ertragsv. 2025'!G4</f>
        <v>0</v>
      </c>
      <c r="I15" s="637">
        <f>'Ertragsv. 2025'!H20-'Ertragsv. 2025'!H4</f>
        <v>0</v>
      </c>
      <c r="J15" s="637">
        <f>'Ertragsv. 2025'!I20-'Ertragsv. 2025'!I4</f>
        <v>0</v>
      </c>
      <c r="K15" s="637">
        <f>'Ertragsv. 2025'!J20-'Ertragsv. 2025'!J4</f>
        <v>0</v>
      </c>
      <c r="L15" s="637">
        <f>'Ertragsv. 2025'!K20-'Ertragsv. 2025'!K4</f>
        <v>0</v>
      </c>
      <c r="M15" s="637">
        <f>'Ertragsv. 2025'!L20-'Ertragsv. 2025'!L4</f>
        <v>0</v>
      </c>
      <c r="N15" s="637">
        <f>'Ertragsv. 2025'!M20-'Ertragsv. 2025'!M4</f>
        <v>0</v>
      </c>
      <c r="O15" s="637">
        <f>'Ertragsv. 2025'!N20-'Ertragsv. 2025'!N4</f>
        <v>0</v>
      </c>
      <c r="P15" s="629">
        <f t="shared" si="3"/>
        <v>0</v>
      </c>
      <c r="Q15" s="676"/>
    </row>
    <row r="16" spans="1:17" ht="17.25" customHeight="1">
      <c r="A16" s="675"/>
      <c r="B16" s="2048" t="s">
        <v>352</v>
      </c>
      <c r="C16" s="620"/>
      <c r="D16" s="637">
        <f>Finanz_AfA_Investitionen!G38-Finanz_AfA_Investitionen!G37+'Mikrostarter Geschäftsplan'!C16</f>
        <v>0</v>
      </c>
      <c r="E16" s="637">
        <f>Finanz_AfA_Investitionen!G38-Finanz_AfA_Investitionen!G37+'Mikrostarter Geschäftsplan'!C17</f>
        <v>0</v>
      </c>
      <c r="F16" s="637">
        <f>Finanz_AfA_Investitionen!G38-Finanz_AfA_Investitionen!G37+'Mikrostarter Geschäftsplan'!C18</f>
        <v>0</v>
      </c>
      <c r="G16" s="637">
        <f>Finanz_AfA_Investitionen!G38-Finanz_AfA_Investitionen!G37+'Mikrostarter Geschäftsplan'!C20</f>
        <v>0</v>
      </c>
      <c r="H16" s="637">
        <f>Finanz_AfA_Investitionen!G38-Finanz_AfA_Investitionen!G37+'Mikrostarter Geschäftsplan'!C21</f>
        <v>0</v>
      </c>
      <c r="I16" s="637">
        <f>Finanz_AfA_Investitionen!G38-Finanz_AfA_Investitionen!G37+'Mikrostarter Geschäftsplan'!C22</f>
        <v>0</v>
      </c>
      <c r="J16" s="637">
        <f>Finanz_AfA_Investitionen!G38-Finanz_AfA_Investitionen!G37+'Mikrostarter Geschäftsplan'!C24</f>
        <v>0</v>
      </c>
      <c r="K16" s="637">
        <f>Finanz_AfA_Investitionen!G38-Finanz_AfA_Investitionen!G37+'Mikrostarter Geschäftsplan'!C25</f>
        <v>0</v>
      </c>
      <c r="L16" s="637">
        <f>Finanz_AfA_Investitionen!G38-Finanz_AfA_Investitionen!G37+'Mikrostarter Geschäftsplan'!C26</f>
        <v>0</v>
      </c>
      <c r="M16" s="637">
        <f>Finanz_AfA_Investitionen!G38-Finanz_AfA_Investitionen!G37+'Mikrostarter Geschäftsplan'!C28</f>
        <v>0</v>
      </c>
      <c r="N16" s="637">
        <f>Finanz_AfA_Investitionen!G38-Finanz_AfA_Investitionen!G37+'Mikrostarter Geschäftsplan'!C29</f>
        <v>0</v>
      </c>
      <c r="O16" s="637">
        <f>Finanz_AfA_Investitionen!G38-Finanz_AfA_Investitionen!G37+'Mikrostarter Geschäftsplan'!C30</f>
        <v>0</v>
      </c>
      <c r="P16" s="629">
        <f t="shared" si="3"/>
        <v>0</v>
      </c>
      <c r="Q16" s="676"/>
    </row>
    <row r="17" spans="1:17" ht="17.25" customHeight="1">
      <c r="A17" s="675"/>
      <c r="B17" s="650" t="s">
        <v>353</v>
      </c>
      <c r="C17" s="620"/>
      <c r="D17" s="72"/>
      <c r="E17" s="73"/>
      <c r="F17" s="73"/>
      <c r="G17" s="73"/>
      <c r="H17" s="73"/>
      <c r="I17" s="73"/>
      <c r="J17" s="73"/>
      <c r="K17" s="73"/>
      <c r="L17" s="73"/>
      <c r="M17" s="73"/>
      <c r="N17" s="73"/>
      <c r="O17" s="74"/>
      <c r="P17" s="629">
        <f t="shared" si="3"/>
        <v>0</v>
      </c>
      <c r="Q17" s="676"/>
    </row>
    <row r="18" spans="1:17" ht="17.25" customHeight="1">
      <c r="A18" s="675"/>
      <c r="B18" s="2323" t="s">
        <v>354</v>
      </c>
      <c r="C18" s="2318"/>
      <c r="D18" s="638"/>
      <c r="E18" s="637">
        <f>D9-D13</f>
        <v>0</v>
      </c>
      <c r="F18" s="637">
        <f>E9-E13</f>
        <v>0</v>
      </c>
      <c r="G18" s="637">
        <f t="shared" ref="G18:O18" si="4">F9-F13</f>
        <v>0</v>
      </c>
      <c r="H18" s="637">
        <f t="shared" si="4"/>
        <v>0</v>
      </c>
      <c r="I18" s="637">
        <f t="shared" si="4"/>
        <v>0</v>
      </c>
      <c r="J18" s="637">
        <f t="shared" si="4"/>
        <v>0</v>
      </c>
      <c r="K18" s="637">
        <f t="shared" si="4"/>
        <v>0</v>
      </c>
      <c r="L18" s="637">
        <f t="shared" si="4"/>
        <v>0</v>
      </c>
      <c r="M18" s="637">
        <f t="shared" si="4"/>
        <v>0</v>
      </c>
      <c r="N18" s="637">
        <f t="shared" si="4"/>
        <v>0</v>
      </c>
      <c r="O18" s="637">
        <f t="shared" si="4"/>
        <v>0</v>
      </c>
      <c r="P18" s="629">
        <f>SUM(E18:O18)</f>
        <v>0</v>
      </c>
      <c r="Q18" s="676"/>
    </row>
    <row r="19" spans="1:17" ht="17.25" customHeight="1">
      <c r="A19" s="675"/>
      <c r="B19" s="617" t="s">
        <v>355</v>
      </c>
      <c r="C19" s="618"/>
      <c r="D19" s="637">
        <f>'Ertragsv. 2025'!C25</f>
        <v>0</v>
      </c>
      <c r="E19" s="637">
        <f>'Ertragsv. 2025'!D25</f>
        <v>0</v>
      </c>
      <c r="F19" s="637">
        <f>'Ertragsv. 2025'!E25</f>
        <v>0</v>
      </c>
      <c r="G19" s="637">
        <f>'Ertragsv. 2025'!F25</f>
        <v>0</v>
      </c>
      <c r="H19" s="637">
        <f>'Ertragsv. 2025'!G25</f>
        <v>0</v>
      </c>
      <c r="I19" s="637">
        <f>'Ertragsv. 2025'!H25</f>
        <v>0</v>
      </c>
      <c r="J19" s="637">
        <f>'Ertragsv. 2025'!I25</f>
        <v>0</v>
      </c>
      <c r="K19" s="637">
        <f>'Ertragsv. 2025'!J25</f>
        <v>0</v>
      </c>
      <c r="L19" s="637">
        <f>'Ertragsv. 2025'!K25</f>
        <v>0</v>
      </c>
      <c r="M19" s="637">
        <f>'Ertragsv. 2025'!L25</f>
        <v>0</v>
      </c>
      <c r="N19" s="637">
        <f>'Ertragsv. 2025'!M25</f>
        <v>0</v>
      </c>
      <c r="O19" s="637">
        <f>'Ertragsv. 2025'!N25</f>
        <v>0</v>
      </c>
      <c r="P19" s="629">
        <f>SUM(D19:O19)</f>
        <v>0</v>
      </c>
      <c r="Q19" s="676"/>
    </row>
    <row r="20" spans="1:17" ht="15.75" customHeight="1">
      <c r="A20" s="675"/>
      <c r="B20" s="2048" t="s">
        <v>356</v>
      </c>
      <c r="C20" s="618"/>
      <c r="D20" s="637">
        <f>'Ertragsv. 2025'!C27</f>
        <v>0</v>
      </c>
      <c r="E20" s="637">
        <f>'Ertragsv. 2025'!D27</f>
        <v>0</v>
      </c>
      <c r="F20" s="637">
        <f>'Ertragsv. 2025'!E27</f>
        <v>0</v>
      </c>
      <c r="G20" s="637">
        <f>'Ertragsv. 2025'!F27</f>
        <v>0</v>
      </c>
      <c r="H20" s="637">
        <f>'Ertragsv. 2025'!G27</f>
        <v>0</v>
      </c>
      <c r="I20" s="637">
        <f>'Ertragsv. 2025'!H27</f>
        <v>0</v>
      </c>
      <c r="J20" s="637">
        <f>'Ertragsv. 2025'!I27</f>
        <v>0</v>
      </c>
      <c r="K20" s="637">
        <f>'Ertragsv. 2025'!J27</f>
        <v>0</v>
      </c>
      <c r="L20" s="637">
        <f>'Ertragsv. 2025'!K27</f>
        <v>0</v>
      </c>
      <c r="M20" s="637">
        <f>'Ertragsv. 2025'!L27</f>
        <v>0</v>
      </c>
      <c r="N20" s="637">
        <f>'Ertragsv. 2025'!M27</f>
        <v>0</v>
      </c>
      <c r="O20" s="637">
        <f>'Ertragsv. 2025'!N27</f>
        <v>0</v>
      </c>
      <c r="P20" s="629">
        <f>SUM(D20:O20)</f>
        <v>0</v>
      </c>
      <c r="Q20" s="676"/>
    </row>
    <row r="21" spans="1:17" ht="15.75" customHeight="1">
      <c r="A21" s="675"/>
      <c r="B21" s="2048" t="s">
        <v>357</v>
      </c>
      <c r="C21" s="620"/>
      <c r="D21" s="72"/>
      <c r="E21" s="73"/>
      <c r="F21" s="73"/>
      <c r="G21" s="73"/>
      <c r="H21" s="73"/>
      <c r="I21" s="73"/>
      <c r="J21" s="73"/>
      <c r="K21" s="73"/>
      <c r="L21" s="73"/>
      <c r="M21" s="73"/>
      <c r="N21" s="73"/>
      <c r="O21" s="74"/>
      <c r="P21" s="629">
        <f>SUM(D21:O21)</f>
        <v>0</v>
      </c>
      <c r="Q21" s="676"/>
    </row>
    <row r="22" spans="1:17" ht="15.75" customHeight="1" thickBot="1">
      <c r="A22" s="675"/>
      <c r="B22" s="163" t="s">
        <v>358</v>
      </c>
      <c r="C22" s="623"/>
      <c r="D22" s="634">
        <f>SUM(D12:D21)</f>
        <v>0</v>
      </c>
      <c r="E22" s="634">
        <f t="shared" ref="E22:O22" si="5">SUM(E12:E21)</f>
        <v>0</v>
      </c>
      <c r="F22" s="634">
        <f t="shared" si="5"/>
        <v>0</v>
      </c>
      <c r="G22" s="634">
        <f t="shared" si="5"/>
        <v>0</v>
      </c>
      <c r="H22" s="634">
        <f t="shared" si="5"/>
        <v>0</v>
      </c>
      <c r="I22" s="634">
        <f t="shared" si="5"/>
        <v>0</v>
      </c>
      <c r="J22" s="634">
        <f t="shared" si="5"/>
        <v>0</v>
      </c>
      <c r="K22" s="634">
        <f t="shared" si="5"/>
        <v>0</v>
      </c>
      <c r="L22" s="634">
        <f t="shared" si="5"/>
        <v>0</v>
      </c>
      <c r="M22" s="634">
        <f t="shared" si="5"/>
        <v>0</v>
      </c>
      <c r="N22" s="634">
        <f t="shared" si="5"/>
        <v>0</v>
      </c>
      <c r="O22" s="634">
        <f t="shared" si="5"/>
        <v>0</v>
      </c>
      <c r="P22" s="635">
        <f>SUM(D22:O22)</f>
        <v>0</v>
      </c>
      <c r="Q22" s="676"/>
    </row>
    <row r="23" spans="1:17" ht="15.75" customHeight="1" thickTop="1" thickBot="1">
      <c r="A23" s="675"/>
      <c r="B23" s="165" t="s">
        <v>359</v>
      </c>
      <c r="C23" s="166"/>
      <c r="D23" s="634">
        <f>D10-D22</f>
        <v>0</v>
      </c>
      <c r="E23" s="634">
        <f t="shared" ref="E23:O23" si="6">E10-E22</f>
        <v>0</v>
      </c>
      <c r="F23" s="634">
        <f t="shared" si="6"/>
        <v>0</v>
      </c>
      <c r="G23" s="634">
        <f t="shared" si="6"/>
        <v>0</v>
      </c>
      <c r="H23" s="634">
        <f t="shared" si="6"/>
        <v>0</v>
      </c>
      <c r="I23" s="634">
        <f t="shared" si="6"/>
        <v>0</v>
      </c>
      <c r="J23" s="634">
        <f t="shared" si="6"/>
        <v>0</v>
      </c>
      <c r="K23" s="634">
        <f t="shared" si="6"/>
        <v>0</v>
      </c>
      <c r="L23" s="634">
        <f t="shared" si="6"/>
        <v>0</v>
      </c>
      <c r="M23" s="634">
        <f t="shared" si="6"/>
        <v>0</v>
      </c>
      <c r="N23" s="634">
        <f t="shared" si="6"/>
        <v>0</v>
      </c>
      <c r="O23" s="634">
        <f t="shared" si="6"/>
        <v>0</v>
      </c>
      <c r="P23" s="639">
        <f>SUM(D23:O23)</f>
        <v>0</v>
      </c>
      <c r="Q23" s="676"/>
    </row>
    <row r="24" spans="1:17" ht="15.75" customHeight="1" thickTop="1" thickBot="1">
      <c r="A24" s="675"/>
      <c r="B24" s="165" t="s">
        <v>360</v>
      </c>
      <c r="C24" s="166"/>
      <c r="D24" s="634">
        <f>D23</f>
        <v>0</v>
      </c>
      <c r="E24" s="634">
        <f>D24+E23</f>
        <v>0</v>
      </c>
      <c r="F24" s="634">
        <f>E24+F23</f>
        <v>0</v>
      </c>
      <c r="G24" s="634">
        <f>F24+G23</f>
        <v>0</v>
      </c>
      <c r="H24" s="634">
        <f t="shared" ref="H24:O24" si="7">G24+H23</f>
        <v>0</v>
      </c>
      <c r="I24" s="634">
        <f t="shared" si="7"/>
        <v>0</v>
      </c>
      <c r="J24" s="634">
        <f t="shared" si="7"/>
        <v>0</v>
      </c>
      <c r="K24" s="634">
        <f t="shared" si="7"/>
        <v>0</v>
      </c>
      <c r="L24" s="634">
        <f t="shared" si="7"/>
        <v>0</v>
      </c>
      <c r="M24" s="634">
        <f t="shared" si="7"/>
        <v>0</v>
      </c>
      <c r="N24" s="634">
        <f t="shared" si="7"/>
        <v>0</v>
      </c>
      <c r="O24" s="634">
        <f t="shared" si="7"/>
        <v>0</v>
      </c>
      <c r="P24" s="639">
        <f>P23</f>
        <v>0</v>
      </c>
      <c r="Q24" s="676"/>
    </row>
    <row r="25" spans="1:17" ht="7.5" customHeight="1" thickTop="1">
      <c r="A25" s="675"/>
      <c r="B25" s="167"/>
      <c r="C25" s="168"/>
      <c r="D25" s="169"/>
      <c r="E25" s="169"/>
      <c r="F25" s="169"/>
      <c r="G25" s="169"/>
      <c r="H25" s="169"/>
      <c r="I25" s="169"/>
      <c r="J25" s="169"/>
      <c r="K25" s="169"/>
      <c r="L25" s="169"/>
      <c r="M25" s="169"/>
      <c r="N25" s="169"/>
      <c r="O25" s="169"/>
      <c r="P25" s="170"/>
      <c r="Q25" s="676"/>
    </row>
    <row r="26" spans="1:17" ht="15.75" customHeight="1" thickBot="1">
      <c r="A26" s="675"/>
      <c r="B26" s="165" t="s">
        <v>361</v>
      </c>
      <c r="C26" s="166"/>
      <c r="D26" s="171">
        <f>Finanz_AfA_Investitionen!C34</f>
        <v>0</v>
      </c>
      <c r="E26" s="171">
        <f>D26</f>
        <v>0</v>
      </c>
      <c r="F26" s="171">
        <f t="shared" ref="F26:O26" si="8">E26</f>
        <v>0</v>
      </c>
      <c r="G26" s="171">
        <f t="shared" si="8"/>
        <v>0</v>
      </c>
      <c r="H26" s="171">
        <f t="shared" si="8"/>
        <v>0</v>
      </c>
      <c r="I26" s="171">
        <f t="shared" si="8"/>
        <v>0</v>
      </c>
      <c r="J26" s="171">
        <f t="shared" si="8"/>
        <v>0</v>
      </c>
      <c r="K26" s="171">
        <f t="shared" si="8"/>
        <v>0</v>
      </c>
      <c r="L26" s="171">
        <f t="shared" si="8"/>
        <v>0</v>
      </c>
      <c r="M26" s="171">
        <f t="shared" si="8"/>
        <v>0</v>
      </c>
      <c r="N26" s="171">
        <f t="shared" si="8"/>
        <v>0</v>
      </c>
      <c r="O26" s="171">
        <f t="shared" si="8"/>
        <v>0</v>
      </c>
      <c r="P26" s="172"/>
      <c r="Q26" s="676"/>
    </row>
    <row r="27" spans="1:17" ht="7.5" customHeight="1" thickTop="1">
      <c r="A27" s="675"/>
      <c r="B27" s="167"/>
      <c r="C27" s="168"/>
      <c r="D27" s="169"/>
      <c r="E27" s="169"/>
      <c r="F27" s="169"/>
      <c r="G27" s="169"/>
      <c r="H27" s="169"/>
      <c r="I27" s="169"/>
      <c r="J27" s="169"/>
      <c r="K27" s="169"/>
      <c r="L27" s="169"/>
      <c r="M27" s="169"/>
      <c r="N27" s="169"/>
      <c r="O27" s="169"/>
      <c r="P27" s="170"/>
      <c r="Q27" s="676"/>
    </row>
    <row r="28" spans="1:17" ht="15.75" customHeight="1" thickBot="1">
      <c r="A28" s="675"/>
      <c r="B28" s="640" t="s">
        <v>362</v>
      </c>
      <c r="C28" s="641"/>
      <c r="D28" s="642">
        <f>D24+D26</f>
        <v>0</v>
      </c>
      <c r="E28" s="642">
        <f t="shared" ref="E28:O28" si="9">E24+E26</f>
        <v>0</v>
      </c>
      <c r="F28" s="642">
        <f t="shared" si="9"/>
        <v>0</v>
      </c>
      <c r="G28" s="642">
        <f t="shared" si="9"/>
        <v>0</v>
      </c>
      <c r="H28" s="642">
        <f t="shared" si="9"/>
        <v>0</v>
      </c>
      <c r="I28" s="642">
        <f t="shared" si="9"/>
        <v>0</v>
      </c>
      <c r="J28" s="642">
        <f t="shared" si="9"/>
        <v>0</v>
      </c>
      <c r="K28" s="642">
        <f t="shared" si="9"/>
        <v>0</v>
      </c>
      <c r="L28" s="642">
        <f t="shared" si="9"/>
        <v>0</v>
      </c>
      <c r="M28" s="642">
        <f t="shared" si="9"/>
        <v>0</v>
      </c>
      <c r="N28" s="642">
        <f t="shared" si="9"/>
        <v>0</v>
      </c>
      <c r="O28" s="642">
        <f t="shared" si="9"/>
        <v>0</v>
      </c>
      <c r="P28" s="643"/>
      <c r="Q28" s="676"/>
    </row>
    <row r="29" spans="1:17" ht="15.75" customHeight="1">
      <c r="A29" s="675"/>
      <c r="B29" s="611"/>
      <c r="C29" s="612"/>
      <c r="D29" s="817"/>
      <c r="E29" s="817"/>
      <c r="F29" s="817"/>
      <c r="G29" s="817"/>
      <c r="H29" s="817"/>
      <c r="I29" s="817"/>
      <c r="J29" s="817"/>
      <c r="K29" s="817"/>
      <c r="L29" s="817"/>
      <c r="M29" s="817"/>
      <c r="N29" s="817"/>
      <c r="O29" s="817"/>
      <c r="P29" s="817"/>
      <c r="Q29" s="676"/>
    </row>
    <row r="30" spans="1:17" ht="22.5" customHeight="1" thickBot="1">
      <c r="A30" s="675"/>
      <c r="B30" s="818" t="s">
        <v>363</v>
      </c>
      <c r="C30" s="612"/>
      <c r="D30" s="613"/>
      <c r="E30" s="613"/>
      <c r="F30" s="613"/>
      <c r="G30" s="613"/>
      <c r="H30" s="613"/>
      <c r="I30" s="613"/>
      <c r="J30" s="613"/>
      <c r="K30" s="613"/>
      <c r="L30" s="613"/>
      <c r="M30" s="613"/>
      <c r="N30" s="613"/>
      <c r="O30" s="613"/>
      <c r="P30" s="613"/>
      <c r="Q30" s="676"/>
    </row>
    <row r="31" spans="1:17" ht="39.75" customHeight="1">
      <c r="A31" s="675"/>
      <c r="B31" s="644">
        <v>1</v>
      </c>
      <c r="C31" s="2314" t="s">
        <v>364</v>
      </c>
      <c r="D31" s="2314"/>
      <c r="E31" s="2314"/>
      <c r="F31" s="2314"/>
      <c r="G31" s="2314"/>
      <c r="H31" s="645"/>
      <c r="I31" s="645"/>
      <c r="J31" s="645"/>
      <c r="K31" s="645"/>
      <c r="L31" s="645"/>
      <c r="M31" s="645"/>
      <c r="N31" s="645"/>
      <c r="O31" s="645"/>
      <c r="P31" s="646"/>
      <c r="Q31" s="676"/>
    </row>
    <row r="32" spans="1:17" ht="30" customHeight="1">
      <c r="A32" s="675"/>
      <c r="B32" s="2321">
        <f>ZusammenführErgebn!D3</f>
        <v>2026</v>
      </c>
      <c r="C32" s="2322"/>
      <c r="D32" s="610" t="str">
        <f>D3</f>
        <v>Jan.</v>
      </c>
      <c r="E32" s="610" t="str">
        <f t="shared" ref="E32:O32" si="10">E3</f>
        <v>Febr.</v>
      </c>
      <c r="F32" s="610" t="str">
        <f t="shared" si="10"/>
        <v>März</v>
      </c>
      <c r="G32" s="610" t="str">
        <f t="shared" si="10"/>
        <v>April</v>
      </c>
      <c r="H32" s="610" t="str">
        <f t="shared" si="10"/>
        <v>Mai</v>
      </c>
      <c r="I32" s="610" t="str">
        <f t="shared" si="10"/>
        <v>Juni</v>
      </c>
      <c r="J32" s="610" t="str">
        <f t="shared" si="10"/>
        <v>Juli</v>
      </c>
      <c r="K32" s="610" t="str">
        <f t="shared" si="10"/>
        <v>Aug.</v>
      </c>
      <c r="L32" s="610" t="str">
        <f t="shared" si="10"/>
        <v>Sept.</v>
      </c>
      <c r="M32" s="610" t="str">
        <f t="shared" si="10"/>
        <v>Okt.</v>
      </c>
      <c r="N32" s="610" t="str">
        <f t="shared" si="10"/>
        <v>Nov.</v>
      </c>
      <c r="O32" s="610" t="str">
        <f t="shared" si="10"/>
        <v>Dez.</v>
      </c>
      <c r="P32" s="647" t="s">
        <v>339</v>
      </c>
      <c r="Q32" s="676"/>
    </row>
    <row r="33" spans="1:17" ht="15.75" customHeight="1">
      <c r="A33" s="675"/>
      <c r="B33" s="648" t="s">
        <v>340</v>
      </c>
      <c r="C33" s="615"/>
      <c r="D33" s="162"/>
      <c r="E33" s="162"/>
      <c r="F33" s="162"/>
      <c r="G33" s="162"/>
      <c r="H33" s="162"/>
      <c r="I33" s="162"/>
      <c r="J33" s="162"/>
      <c r="K33" s="162"/>
      <c r="L33" s="162"/>
      <c r="M33" s="162"/>
      <c r="N33" s="162"/>
      <c r="O33" s="162"/>
      <c r="P33" s="649"/>
      <c r="Q33" s="676"/>
    </row>
    <row r="34" spans="1:17" ht="15.75" customHeight="1">
      <c r="A34" s="675"/>
      <c r="B34" s="650" t="s">
        <v>341</v>
      </c>
      <c r="C34" s="618"/>
      <c r="D34" s="619">
        <f>IF($B$31=0,'Ertragsv. 2026'!C3,IF($B$31=1,'Ertragsv. 2025'!N3,IF($B$31=2,'Ertragsv. 2025'!M3,IF($B$31=3,'Ertragsv. 2025'!M3*50%+'Ertragsv. 2025'!N3*50%))))</f>
        <v>0</v>
      </c>
      <c r="E34" s="619">
        <f>IF($B$31=0,'Ertragsv. 2026'!D3,IF($B$31=1,'Ertragsv. 2026'!C3,IF($B$31=2,'Ertragsv. 2025'!N3,IF($B$31=3,'Ertragsv. 2025'!N3*50%+'Ertragsv. 2026'!C3*50%))))</f>
        <v>0</v>
      </c>
      <c r="F34" s="619">
        <f>IF($B$31=0,'Ertragsv. 2026'!E3,IF($B$31=1,'Ertragsv. 2026'!D3,IF($B$31=2,'Ertragsv. 2026'!C3,IF($B$31=3,'Ertragsv. 2026'!C3*50%+'Ertragsv. 2026'!D3*50%))))</f>
        <v>0</v>
      </c>
      <c r="G34" s="619">
        <f>IF($B$31=0,'Ertragsv. 2026'!F3,IF($B$31=1,'Ertragsv. 2026'!E3,IF($B$31=2,'Ertragsv. 2026'!D3,IF($B$31=3,'Ertragsv. 2026'!E3*50%+'Ertragsv. 2026'!D3*50%))))</f>
        <v>0</v>
      </c>
      <c r="H34" s="619">
        <f>IF($B$31=0,'Ertragsv. 2026'!G3,IF($B$31=1,'Ertragsv. 2026'!F3,IF($B$31=2,'Ertragsv. 2026'!E3,IF($B$31=3,'Ertragsv. 2026'!E3*50%+'Ertragsv. 2026'!F3*50%))))</f>
        <v>0</v>
      </c>
      <c r="I34" s="619">
        <f>IF($B$31=0,'Ertragsv. 2026'!H3,IF($B$31=1,'Ertragsv. 2026'!G3,IF($B$31=2,'Ertragsv. 2026'!F3,IF($B$31=3,'Ertragsv. 2026'!F3*50%+'Ertragsv. 2026'!G3*50%))))</f>
        <v>0</v>
      </c>
      <c r="J34" s="619">
        <f>IF($B$31=0,'Ertragsv. 2026'!I3,IF($B$31=1,'Ertragsv. 2026'!H3,IF($B$31=2,'Ertragsv. 2026'!G3,IF($B$31=3,'Ertragsv. 2026'!G3*50%+'Ertragsv. 2026'!H3*50%))))</f>
        <v>0</v>
      </c>
      <c r="K34" s="619">
        <f>IF($B$31=0,'Ertragsv. 2026'!J3,IF($B$31=1,'Ertragsv. 2026'!I3,IF($B$31=2,'Ertragsv. 2026'!H3,IF($B$31=3,'Ertragsv. 2026'!H3*50%+'Ertragsv. 2026'!I3*50%))))</f>
        <v>0</v>
      </c>
      <c r="L34" s="619">
        <f>IF($B$31=0,'Ertragsv. 2026'!K3,IF($B$31=1,'Ertragsv. 2026'!J3,IF($B$31=2,'Ertragsv. 2026'!I3,IF($B$31=3,'Ertragsv. 2026'!I3*50%+'Ertragsv. 2026'!J3*50%))))</f>
        <v>0</v>
      </c>
      <c r="M34" s="619">
        <f>IF($B$31=0,'Ertragsv. 2026'!L3,IF($B$31=1,'Ertragsv. 2026'!K3,IF($B$31=2,'Ertragsv. 2026'!J3,IF($B$31=3,'Ertragsv. 2026'!J3*50%+'Ertragsv. 2026'!K3*50%))))</f>
        <v>0</v>
      </c>
      <c r="N34" s="619">
        <f>IF($B$31=0,'Ertragsv. 2026'!M3,IF($B$31=1,'Ertragsv. 2026'!L3,IF($B$31=2,'Ertragsv. 2026'!K3,IF($B$31=3,'Ertragsv. 2026'!K3*50%+'Ertragsv. 2026'!L3*50%))))</f>
        <v>0</v>
      </c>
      <c r="O34" s="619">
        <f>IF($B$31=0,'Ertragsv. 2026'!N3,IF($B$31=1,'Ertragsv. 2026'!M3,IF($B$31=2,'Ertragsv. 2026'!L3,IF($B$31=3,'Ertragsv. 2026'!L3*50%+'Ertragsv. 2026'!M3*50%))))</f>
        <v>0</v>
      </c>
      <c r="P34" s="651">
        <f t="shared" ref="P34:P39" si="11">SUM(D34:O34)</f>
        <v>0</v>
      </c>
      <c r="Q34" s="676"/>
    </row>
    <row r="35" spans="1:17" ht="15.75" customHeight="1">
      <c r="A35" s="675"/>
      <c r="B35" s="2049" t="s">
        <v>342</v>
      </c>
      <c r="C35" s="620"/>
      <c r="D35" s="75"/>
      <c r="E35" s="76"/>
      <c r="F35" s="76"/>
      <c r="G35" s="76"/>
      <c r="H35" s="76"/>
      <c r="I35" s="76"/>
      <c r="J35" s="76"/>
      <c r="K35" s="76"/>
      <c r="L35" s="76"/>
      <c r="M35" s="76"/>
      <c r="N35" s="76"/>
      <c r="O35" s="77"/>
      <c r="P35" s="651">
        <f t="shared" si="11"/>
        <v>0</v>
      </c>
      <c r="Q35" s="676"/>
    </row>
    <row r="36" spans="1:17" ht="15.75" customHeight="1">
      <c r="A36" s="675"/>
      <c r="B36" s="2317" t="s">
        <v>343</v>
      </c>
      <c r="C36" s="2318"/>
      <c r="D36" s="78"/>
      <c r="E36" s="79"/>
      <c r="F36" s="79"/>
      <c r="G36" s="79"/>
      <c r="H36" s="79"/>
      <c r="I36" s="79"/>
      <c r="J36" s="79"/>
      <c r="K36" s="79"/>
      <c r="L36" s="79"/>
      <c r="M36" s="79"/>
      <c r="N36" s="79"/>
      <c r="O36" s="80"/>
      <c r="P36" s="651">
        <f t="shared" si="11"/>
        <v>0</v>
      </c>
      <c r="Q36" s="676"/>
    </row>
    <row r="37" spans="1:17" ht="15.75" customHeight="1">
      <c r="A37" s="675"/>
      <c r="B37" s="2049" t="s">
        <v>344</v>
      </c>
      <c r="C37" s="621"/>
      <c r="D37" s="81"/>
      <c r="E37" s="82"/>
      <c r="F37" s="82"/>
      <c r="G37" s="153"/>
      <c r="H37" s="153"/>
      <c r="I37" s="153"/>
      <c r="J37" s="153"/>
      <c r="K37" s="153"/>
      <c r="L37" s="153"/>
      <c r="M37" s="153"/>
      <c r="N37" s="153"/>
      <c r="O37" s="154"/>
      <c r="P37" s="651">
        <f t="shared" si="11"/>
        <v>0</v>
      </c>
      <c r="Q37" s="676"/>
    </row>
    <row r="38" spans="1:17" ht="15.75" customHeight="1">
      <c r="A38" s="675"/>
      <c r="B38" s="650" t="s">
        <v>345</v>
      </c>
      <c r="C38" s="622"/>
      <c r="D38" s="633">
        <f t="shared" ref="D38:O38" si="12">IF($P$2&lt;0,0,IF($P$2&gt;0,D34*19%,0))</f>
        <v>0</v>
      </c>
      <c r="E38" s="633">
        <f t="shared" si="12"/>
        <v>0</v>
      </c>
      <c r="F38" s="633">
        <f t="shared" si="12"/>
        <v>0</v>
      </c>
      <c r="G38" s="633">
        <f t="shared" si="12"/>
        <v>0</v>
      </c>
      <c r="H38" s="633">
        <f t="shared" si="12"/>
        <v>0</v>
      </c>
      <c r="I38" s="633">
        <f t="shared" si="12"/>
        <v>0</v>
      </c>
      <c r="J38" s="633">
        <f t="shared" si="12"/>
        <v>0</v>
      </c>
      <c r="K38" s="633">
        <f t="shared" si="12"/>
        <v>0</v>
      </c>
      <c r="L38" s="633">
        <f t="shared" si="12"/>
        <v>0</v>
      </c>
      <c r="M38" s="633">
        <f t="shared" si="12"/>
        <v>0</v>
      </c>
      <c r="N38" s="633">
        <f t="shared" si="12"/>
        <v>0</v>
      </c>
      <c r="O38" s="633">
        <f t="shared" si="12"/>
        <v>0</v>
      </c>
      <c r="P38" s="651">
        <f t="shared" si="11"/>
        <v>0</v>
      </c>
      <c r="Q38" s="676"/>
    </row>
    <row r="39" spans="1:17" ht="15.75" customHeight="1" thickBot="1">
      <c r="A39" s="675"/>
      <c r="B39" s="652" t="s">
        <v>346</v>
      </c>
      <c r="C39" s="626"/>
      <c r="D39" s="624">
        <f>SUM(D34:D38)</f>
        <v>0</v>
      </c>
      <c r="E39" s="624">
        <f t="shared" ref="E39:O39" si="13">SUM(E34:E38)</f>
        <v>0</v>
      </c>
      <c r="F39" s="624">
        <f t="shared" si="13"/>
        <v>0</v>
      </c>
      <c r="G39" s="624">
        <f t="shared" si="13"/>
        <v>0</v>
      </c>
      <c r="H39" s="624">
        <f t="shared" si="13"/>
        <v>0</v>
      </c>
      <c r="I39" s="624">
        <f t="shared" si="13"/>
        <v>0</v>
      </c>
      <c r="J39" s="624">
        <f t="shared" si="13"/>
        <v>0</v>
      </c>
      <c r="K39" s="624">
        <f t="shared" si="13"/>
        <v>0</v>
      </c>
      <c r="L39" s="624">
        <f t="shared" si="13"/>
        <v>0</v>
      </c>
      <c r="M39" s="624">
        <f t="shared" si="13"/>
        <v>0</v>
      </c>
      <c r="N39" s="624">
        <f t="shared" si="13"/>
        <v>0</v>
      </c>
      <c r="O39" s="624">
        <f t="shared" si="13"/>
        <v>0</v>
      </c>
      <c r="P39" s="653">
        <f t="shared" si="11"/>
        <v>0</v>
      </c>
      <c r="Q39" s="676"/>
    </row>
    <row r="40" spans="1:17" ht="15.75" customHeight="1" thickTop="1">
      <c r="A40" s="675"/>
      <c r="B40" s="654" t="s">
        <v>347</v>
      </c>
      <c r="C40" s="615"/>
      <c r="D40" s="625"/>
      <c r="E40" s="625"/>
      <c r="F40" s="625"/>
      <c r="G40" s="625"/>
      <c r="H40" s="625"/>
      <c r="I40" s="625"/>
      <c r="J40" s="625"/>
      <c r="K40" s="625"/>
      <c r="L40" s="625"/>
      <c r="M40" s="625"/>
      <c r="N40" s="625"/>
      <c r="O40" s="625"/>
      <c r="P40" s="655"/>
      <c r="Q40" s="676"/>
    </row>
    <row r="41" spans="1:17" ht="15.75" customHeight="1">
      <c r="A41" s="675"/>
      <c r="B41" s="2049" t="s">
        <v>348</v>
      </c>
      <c r="C41" s="620"/>
      <c r="D41" s="83"/>
      <c r="E41" s="84"/>
      <c r="F41" s="84"/>
      <c r="G41" s="84"/>
      <c r="H41" s="84"/>
      <c r="I41" s="84"/>
      <c r="J41" s="84"/>
      <c r="K41" s="84"/>
      <c r="L41" s="84"/>
      <c r="M41" s="84"/>
      <c r="N41" s="84"/>
      <c r="O41" s="85"/>
      <c r="P41" s="651">
        <f t="shared" ref="P41:P52" si="14">SUM(D41:O41)</f>
        <v>0</v>
      </c>
      <c r="Q41" s="676"/>
    </row>
    <row r="42" spans="1:17" ht="15.75" customHeight="1">
      <c r="A42" s="675"/>
      <c r="B42" s="650" t="s">
        <v>349</v>
      </c>
      <c r="C42" s="618"/>
      <c r="D42" s="619">
        <f>IF($P$2&gt;0,(D43)*$P$2+(D41+D44)*19%-('Ertragsv. 2026'!C7+'Ertragsv. 2026'!C14+'Ertragsv. 2026'!C17+'Ertragsv. 2026'!C18)*19%,0)</f>
        <v>0</v>
      </c>
      <c r="E42" s="619">
        <f>IF($P$2&gt;0,(E43)*$P$2+(E41+E44)*19%-('Ertragsv. 2026'!D7+'Ertragsv. 2026'!D14+'Ertragsv. 2026'!D17+'Ertragsv. 2026'!D18)*19%,0)</f>
        <v>0</v>
      </c>
      <c r="F42" s="619">
        <f>IF($P$2&gt;0,(F43)*$P$2+(F41+F44)*19%-('Ertragsv. 2026'!E7+'Ertragsv. 2026'!E14+'Ertragsv. 2026'!E17+'Ertragsv. 2026'!E18)*19%,0)</f>
        <v>0</v>
      </c>
      <c r="G42" s="619">
        <f>IF($P$2&gt;0,(G43)*$P$2+(G41+G44)*19%-('Ertragsv. 2026'!F7+'Ertragsv. 2026'!F14+'Ertragsv. 2026'!F17+'Ertragsv. 2026'!F18)*19%,0)</f>
        <v>0</v>
      </c>
      <c r="H42" s="619">
        <f>IF($P$2&gt;0,(H43)*$P$2+(H41+H44)*19%-('Ertragsv. 2026'!G7+'Ertragsv. 2026'!G14+'Ertragsv. 2026'!G17+'Ertragsv. 2026'!G18)*19%,0)</f>
        <v>0</v>
      </c>
      <c r="I42" s="619">
        <f>IF($P$2&gt;0,(I43)*$P$2+(I41+I44)*19%-('Ertragsv. 2026'!H7+'Ertragsv. 2026'!H14+'Ertragsv. 2026'!H17+'Ertragsv. 2026'!H18)*19%,0)</f>
        <v>0</v>
      </c>
      <c r="J42" s="619">
        <f>IF($P$2&gt;0,(J43)*$P$2+(J41+J44)*19%-('Ertragsv. 2026'!I7+'Ertragsv. 2026'!I14+'Ertragsv. 2026'!I17+'Ertragsv. 2026'!I18)*19%,0)</f>
        <v>0</v>
      </c>
      <c r="K42" s="619">
        <f>IF($P$2&gt;0,(K43)*$P$2+(K41+K44)*19%-('Ertragsv. 2026'!J7+'Ertragsv. 2026'!J14+'Ertragsv. 2026'!J17+'Ertragsv. 2026'!J18)*19%,0)</f>
        <v>0</v>
      </c>
      <c r="L42" s="619">
        <f>IF($P$2&gt;0,(L43)*$P$2+(L41+L44)*19%-('Ertragsv. 2026'!K7+'Ertragsv. 2026'!K14+'Ertragsv. 2026'!K17+'Ertragsv. 2026'!K18)*19%,0)</f>
        <v>0</v>
      </c>
      <c r="M42" s="619">
        <f>IF($P$2&gt;0,(M43)*$P$2+(M41+M44)*19%-('Ertragsv. 2026'!L7+'Ertragsv. 2026'!L14+'Ertragsv. 2026'!L17+'Ertragsv. 2026'!L18)*19%,0)</f>
        <v>0</v>
      </c>
      <c r="N42" s="619">
        <f>IF($P$2&gt;0,(N43)*$P$2+(N41+N44)*19%-('Ertragsv. 2026'!M7+'Ertragsv. 2026'!M14+'Ertragsv. 2026'!M17+'Ertragsv. 2026'!M18)*19%,0)</f>
        <v>0</v>
      </c>
      <c r="O42" s="619">
        <f>IF($P$2&gt;0,(O43)*$P$2+(O41+O44)*19%-('Ertragsv. 2026'!N7+'Ertragsv. 2026'!N14+'Ertragsv. 2026'!N17+'Ertragsv. 2026'!N18)*19%,0)</f>
        <v>0</v>
      </c>
      <c r="P42" s="651">
        <f t="shared" si="14"/>
        <v>0</v>
      </c>
      <c r="Q42" s="676"/>
    </row>
    <row r="43" spans="1:17" ht="15.75" customHeight="1">
      <c r="A43" s="675"/>
      <c r="B43" s="2049" t="s">
        <v>350</v>
      </c>
      <c r="C43" s="620"/>
      <c r="D43" s="619">
        <f>'Ertragsv. 2026'!C4</f>
        <v>0</v>
      </c>
      <c r="E43" s="619">
        <f>'Ertragsv. 2026'!D4</f>
        <v>0</v>
      </c>
      <c r="F43" s="619">
        <f>'Ertragsv. 2026'!E4</f>
        <v>0</v>
      </c>
      <c r="G43" s="619">
        <f>'Ertragsv. 2026'!F4</f>
        <v>0</v>
      </c>
      <c r="H43" s="619">
        <f>'Ertragsv. 2026'!G4</f>
        <v>0</v>
      </c>
      <c r="I43" s="619">
        <f>'Ertragsv. 2026'!H4</f>
        <v>0</v>
      </c>
      <c r="J43" s="619">
        <f>'Ertragsv. 2026'!I4</f>
        <v>0</v>
      </c>
      <c r="K43" s="619">
        <f>'Ertragsv. 2026'!J4</f>
        <v>0</v>
      </c>
      <c r="L43" s="619">
        <f>'Ertragsv. 2026'!K4</f>
        <v>0</v>
      </c>
      <c r="M43" s="619">
        <f>'Ertragsv. 2026'!L4</f>
        <v>0</v>
      </c>
      <c r="N43" s="619">
        <f>'Ertragsv. 2026'!M4</f>
        <v>0</v>
      </c>
      <c r="O43" s="619">
        <f>'Ertragsv. 2026'!N4</f>
        <v>0</v>
      </c>
      <c r="P43" s="651">
        <f t="shared" si="14"/>
        <v>0</v>
      </c>
      <c r="Q43" s="676"/>
    </row>
    <row r="44" spans="1:17" ht="15.75" customHeight="1">
      <c r="A44" s="675"/>
      <c r="B44" s="2049" t="s">
        <v>351</v>
      </c>
      <c r="C44" s="620"/>
      <c r="D44" s="619">
        <f>'Ertragsv. 2026'!C20-'Ertragsv. 2026'!C4</f>
        <v>0</v>
      </c>
      <c r="E44" s="619">
        <f>'Ertragsv. 2026'!D20-'Ertragsv. 2026'!D4</f>
        <v>0</v>
      </c>
      <c r="F44" s="619">
        <f>'Ertragsv. 2026'!E20-'Ertragsv. 2026'!E4</f>
        <v>0</v>
      </c>
      <c r="G44" s="619">
        <f>'Ertragsv. 2026'!F20-'Ertragsv. 2026'!F4</f>
        <v>0</v>
      </c>
      <c r="H44" s="619">
        <f>'Ertragsv. 2026'!G20-'Ertragsv. 2026'!G4</f>
        <v>0</v>
      </c>
      <c r="I44" s="619">
        <f>'Ertragsv. 2026'!H20-'Ertragsv. 2026'!H4</f>
        <v>0</v>
      </c>
      <c r="J44" s="619">
        <f>'Ertragsv. 2026'!I20-'Ertragsv. 2026'!I4</f>
        <v>0</v>
      </c>
      <c r="K44" s="619">
        <f>'Ertragsv. 2026'!J20-'Ertragsv. 2026'!J4</f>
        <v>0</v>
      </c>
      <c r="L44" s="619">
        <f>'Ertragsv. 2026'!K20-'Ertragsv. 2026'!K4</f>
        <v>0</v>
      </c>
      <c r="M44" s="619">
        <f>'Ertragsv. 2026'!L20-'Ertragsv. 2026'!L4</f>
        <v>0</v>
      </c>
      <c r="N44" s="619">
        <f>'Ertragsv. 2026'!M20-'Ertragsv. 2026'!M4</f>
        <v>0</v>
      </c>
      <c r="O44" s="619">
        <f>'Ertragsv. 2026'!N20-'Ertragsv. 2026'!N4</f>
        <v>0</v>
      </c>
      <c r="P44" s="651">
        <f t="shared" si="14"/>
        <v>0</v>
      </c>
      <c r="Q44" s="676"/>
    </row>
    <row r="45" spans="1:17" ht="15.75" customHeight="1">
      <c r="A45" s="675"/>
      <c r="B45" s="2049" t="s">
        <v>352</v>
      </c>
      <c r="C45" s="620"/>
      <c r="D45" s="619">
        <f>Finanz_AfA_Investitionen!G38-Finanz_AfA_Investitionen!G37+'Mikrostarter Geschäftsplan'!C33</f>
        <v>0</v>
      </c>
      <c r="E45" s="619">
        <f>Finanz_AfA_Investitionen!G38-Finanz_AfA_Investitionen!G37+'Mikrostarter Geschäftsplan'!C34</f>
        <v>0</v>
      </c>
      <c r="F45" s="619">
        <f>Finanz_AfA_Investitionen!G38-Finanz_AfA_Investitionen!G37+'Mikrostarter Geschäftsplan'!C35</f>
        <v>0</v>
      </c>
      <c r="G45" s="619">
        <f>Finanz_AfA_Investitionen!G38-Finanz_AfA_Investitionen!G37+'Mikrostarter Geschäftsplan'!C36</f>
        <v>0</v>
      </c>
      <c r="H45" s="619">
        <f>Finanz_AfA_Investitionen!G38-Finanz_AfA_Investitionen!G37+'Mikrostarter Geschäftsplan'!C37</f>
        <v>0</v>
      </c>
      <c r="I45" s="619">
        <f>Finanz_AfA_Investitionen!G38-Finanz_AfA_Investitionen!G37+'Mikrostarter Geschäftsplan'!C38</f>
        <v>0</v>
      </c>
      <c r="J45" s="619">
        <f>Finanz_AfA_Investitionen!G38-Finanz_AfA_Investitionen!G37+'Mikrostarter Geschäftsplan'!C39</f>
        <v>0</v>
      </c>
      <c r="K45" s="619">
        <f>Finanz_AfA_Investitionen!G38-Finanz_AfA_Investitionen!G37+'Mikrostarter Geschäftsplan'!C40</f>
        <v>0</v>
      </c>
      <c r="L45" s="619">
        <f>Finanz_AfA_Investitionen!G38-Finanz_AfA_Investitionen!G37+'Mikrostarter Geschäftsplan'!C41</f>
        <v>0</v>
      </c>
      <c r="M45" s="619">
        <f>Finanz_AfA_Investitionen!G38-Finanz_AfA_Investitionen!G37+'Mikrostarter Geschäftsplan'!C42</f>
        <v>0</v>
      </c>
      <c r="N45" s="619">
        <f>Finanz_AfA_Investitionen!G38-Finanz_AfA_Investitionen!G37+'Mikrostarter Geschäftsplan'!C43</f>
        <v>0</v>
      </c>
      <c r="O45" s="619">
        <f>Finanz_AfA_Investitionen!G38-Finanz_AfA_Investitionen!G37+'Mikrostarter Geschäftsplan'!C44</f>
        <v>0</v>
      </c>
      <c r="P45" s="651">
        <f t="shared" si="14"/>
        <v>0</v>
      </c>
      <c r="Q45" s="676"/>
    </row>
    <row r="46" spans="1:17" ht="15.75" customHeight="1">
      <c r="A46" s="675"/>
      <c r="B46" s="650" t="s">
        <v>365</v>
      </c>
      <c r="C46" s="618"/>
      <c r="D46" s="83"/>
      <c r="E46" s="84"/>
      <c r="F46" s="84"/>
      <c r="G46" s="84"/>
      <c r="H46" s="84"/>
      <c r="I46" s="84"/>
      <c r="J46" s="84"/>
      <c r="K46" s="84"/>
      <c r="L46" s="84"/>
      <c r="M46" s="84"/>
      <c r="N46" s="84"/>
      <c r="O46" s="85"/>
      <c r="P46" s="651">
        <f t="shared" si="14"/>
        <v>0</v>
      </c>
      <c r="Q46" s="676"/>
    </row>
    <row r="47" spans="1:17" ht="15.75" customHeight="1">
      <c r="A47" s="675"/>
      <c r="B47" s="2317" t="s">
        <v>354</v>
      </c>
      <c r="C47" s="2318"/>
      <c r="D47" s="619">
        <f>O9-O13</f>
        <v>0</v>
      </c>
      <c r="E47" s="619">
        <f>D38-D42</f>
        <v>0</v>
      </c>
      <c r="F47" s="619">
        <f t="shared" ref="F47:O47" si="15">E38-E42</f>
        <v>0</v>
      </c>
      <c r="G47" s="619">
        <f t="shared" si="15"/>
        <v>0</v>
      </c>
      <c r="H47" s="619">
        <f t="shared" si="15"/>
        <v>0</v>
      </c>
      <c r="I47" s="619">
        <f t="shared" si="15"/>
        <v>0</v>
      </c>
      <c r="J47" s="619">
        <f t="shared" si="15"/>
        <v>0</v>
      </c>
      <c r="K47" s="619">
        <f t="shared" si="15"/>
        <v>0</v>
      </c>
      <c r="L47" s="619">
        <f t="shared" si="15"/>
        <v>0</v>
      </c>
      <c r="M47" s="619">
        <f t="shared" si="15"/>
        <v>0</v>
      </c>
      <c r="N47" s="619">
        <f t="shared" si="15"/>
        <v>0</v>
      </c>
      <c r="O47" s="619">
        <f t="shared" si="15"/>
        <v>0</v>
      </c>
      <c r="P47" s="651">
        <f t="shared" si="14"/>
        <v>0</v>
      </c>
      <c r="Q47" s="676"/>
    </row>
    <row r="48" spans="1:17" ht="15.75" customHeight="1">
      <c r="A48" s="675"/>
      <c r="B48" s="650" t="s">
        <v>355</v>
      </c>
      <c r="C48" s="618"/>
      <c r="D48" s="619">
        <f>'Ertragsv. 2026'!C25</f>
        <v>0</v>
      </c>
      <c r="E48" s="619">
        <f>'Ertragsv. 2026'!D25</f>
        <v>0</v>
      </c>
      <c r="F48" s="619">
        <f>'Ertragsv. 2026'!E25</f>
        <v>0</v>
      </c>
      <c r="G48" s="619">
        <f>'Ertragsv. 2026'!F25</f>
        <v>0</v>
      </c>
      <c r="H48" s="619">
        <f>'Ertragsv. 2026'!G25</f>
        <v>0</v>
      </c>
      <c r="I48" s="619">
        <f>'Ertragsv. 2026'!H25</f>
        <v>0</v>
      </c>
      <c r="J48" s="619">
        <f>'Ertragsv. 2026'!I25</f>
        <v>0</v>
      </c>
      <c r="K48" s="619">
        <f>'Ertragsv. 2026'!J25</f>
        <v>0</v>
      </c>
      <c r="L48" s="619">
        <f>'Ertragsv. 2026'!K25</f>
        <v>0</v>
      </c>
      <c r="M48" s="619">
        <f>'Ertragsv. 2026'!L25</f>
        <v>0</v>
      </c>
      <c r="N48" s="619">
        <f>'Ertragsv. 2026'!M25</f>
        <v>0</v>
      </c>
      <c r="O48" s="619">
        <f>'Ertragsv. 2026'!N25</f>
        <v>0</v>
      </c>
      <c r="P48" s="651">
        <f t="shared" si="14"/>
        <v>0</v>
      </c>
      <c r="Q48" s="676"/>
    </row>
    <row r="49" spans="1:17" ht="15.75" customHeight="1">
      <c r="A49" s="675"/>
      <c r="B49" s="2049" t="s">
        <v>356</v>
      </c>
      <c r="C49" s="618"/>
      <c r="D49" s="619">
        <f>'Ertragsv. 2026'!C27</f>
        <v>0</v>
      </c>
      <c r="E49" s="619">
        <f>'Ertragsv. 2026'!D27</f>
        <v>0</v>
      </c>
      <c r="F49" s="619">
        <f>'Ertragsv. 2026'!E27</f>
        <v>0</v>
      </c>
      <c r="G49" s="619">
        <f>'Ertragsv. 2026'!F27</f>
        <v>0</v>
      </c>
      <c r="H49" s="619">
        <f>'Ertragsv. 2026'!G27</f>
        <v>0</v>
      </c>
      <c r="I49" s="619">
        <f>'Ertragsv. 2026'!H27</f>
        <v>0</v>
      </c>
      <c r="J49" s="619">
        <f>'Ertragsv. 2026'!I27</f>
        <v>0</v>
      </c>
      <c r="K49" s="619">
        <f>'Ertragsv. 2026'!J27</f>
        <v>0</v>
      </c>
      <c r="L49" s="619">
        <f>'Ertragsv. 2026'!K27</f>
        <v>0</v>
      </c>
      <c r="M49" s="619">
        <f>'Ertragsv. 2026'!L27</f>
        <v>0</v>
      </c>
      <c r="N49" s="619">
        <f>'Ertragsv. 2026'!M27</f>
        <v>0</v>
      </c>
      <c r="O49" s="619">
        <f>'Ertragsv. 2026'!N27</f>
        <v>0</v>
      </c>
      <c r="P49" s="651">
        <f t="shared" si="14"/>
        <v>0</v>
      </c>
      <c r="Q49" s="676"/>
    </row>
    <row r="50" spans="1:17" ht="15.75" customHeight="1">
      <c r="A50" s="675"/>
      <c r="B50" s="2049" t="s">
        <v>357</v>
      </c>
      <c r="C50" s="620"/>
      <c r="D50" s="83"/>
      <c r="E50" s="84"/>
      <c r="F50" s="84"/>
      <c r="G50" s="84"/>
      <c r="H50" s="84"/>
      <c r="I50" s="84"/>
      <c r="J50" s="84"/>
      <c r="K50" s="84"/>
      <c r="L50" s="84"/>
      <c r="M50" s="84"/>
      <c r="N50" s="84"/>
      <c r="O50" s="85"/>
      <c r="P50" s="651">
        <f t="shared" si="14"/>
        <v>0</v>
      </c>
      <c r="Q50" s="676"/>
    </row>
    <row r="51" spans="1:17" ht="15.75" customHeight="1" thickBot="1">
      <c r="A51" s="675"/>
      <c r="B51" s="656" t="s">
        <v>358</v>
      </c>
      <c r="C51" s="623"/>
      <c r="D51" s="624">
        <f>SUM(D40:D50)</f>
        <v>0</v>
      </c>
      <c r="E51" s="624">
        <f t="shared" ref="E51:O51" si="16">SUM(E40:E50)</f>
        <v>0</v>
      </c>
      <c r="F51" s="624">
        <f t="shared" si="16"/>
        <v>0</v>
      </c>
      <c r="G51" s="624">
        <f t="shared" si="16"/>
        <v>0</v>
      </c>
      <c r="H51" s="624">
        <f t="shared" si="16"/>
        <v>0</v>
      </c>
      <c r="I51" s="624">
        <f t="shared" si="16"/>
        <v>0</v>
      </c>
      <c r="J51" s="624">
        <f t="shared" si="16"/>
        <v>0</v>
      </c>
      <c r="K51" s="624">
        <f t="shared" si="16"/>
        <v>0</v>
      </c>
      <c r="L51" s="624">
        <f t="shared" si="16"/>
        <v>0</v>
      </c>
      <c r="M51" s="624">
        <f t="shared" si="16"/>
        <v>0</v>
      </c>
      <c r="N51" s="624">
        <f t="shared" si="16"/>
        <v>0</v>
      </c>
      <c r="O51" s="624">
        <f t="shared" si="16"/>
        <v>0</v>
      </c>
      <c r="P51" s="653">
        <f t="shared" si="14"/>
        <v>0</v>
      </c>
      <c r="Q51" s="676"/>
    </row>
    <row r="52" spans="1:17" ht="15.75" customHeight="1" thickTop="1" thickBot="1">
      <c r="A52" s="675"/>
      <c r="B52" s="657" t="s">
        <v>359</v>
      </c>
      <c r="C52" s="166"/>
      <c r="D52" s="624">
        <f>D39-D51</f>
        <v>0</v>
      </c>
      <c r="E52" s="624">
        <f t="shared" ref="E52:O52" si="17">E39-E51</f>
        <v>0</v>
      </c>
      <c r="F52" s="624">
        <f t="shared" si="17"/>
        <v>0</v>
      </c>
      <c r="G52" s="624">
        <f t="shared" si="17"/>
        <v>0</v>
      </c>
      <c r="H52" s="624">
        <f t="shared" si="17"/>
        <v>0</v>
      </c>
      <c r="I52" s="624">
        <f t="shared" si="17"/>
        <v>0</v>
      </c>
      <c r="J52" s="624">
        <f t="shared" si="17"/>
        <v>0</v>
      </c>
      <c r="K52" s="624">
        <f t="shared" si="17"/>
        <v>0</v>
      </c>
      <c r="L52" s="624">
        <f t="shared" si="17"/>
        <v>0</v>
      </c>
      <c r="M52" s="624">
        <f t="shared" si="17"/>
        <v>0</v>
      </c>
      <c r="N52" s="624">
        <f t="shared" si="17"/>
        <v>0</v>
      </c>
      <c r="O52" s="624">
        <f t="shared" si="17"/>
        <v>0</v>
      </c>
      <c r="P52" s="658">
        <f t="shared" si="14"/>
        <v>0</v>
      </c>
      <c r="Q52" s="676"/>
    </row>
    <row r="53" spans="1:17" ht="15.75" customHeight="1" thickTop="1" thickBot="1">
      <c r="A53" s="675"/>
      <c r="B53" s="657" t="s">
        <v>360</v>
      </c>
      <c r="C53" s="166"/>
      <c r="D53" s="624">
        <f>D52+P24</f>
        <v>0</v>
      </c>
      <c r="E53" s="624">
        <f t="shared" ref="E53:O53" si="18">D53+E52</f>
        <v>0</v>
      </c>
      <c r="F53" s="624">
        <f t="shared" si="18"/>
        <v>0</v>
      </c>
      <c r="G53" s="624">
        <f t="shared" si="18"/>
        <v>0</v>
      </c>
      <c r="H53" s="624">
        <f t="shared" si="18"/>
        <v>0</v>
      </c>
      <c r="I53" s="624">
        <f t="shared" si="18"/>
        <v>0</v>
      </c>
      <c r="J53" s="624">
        <f t="shared" si="18"/>
        <v>0</v>
      </c>
      <c r="K53" s="624">
        <f t="shared" si="18"/>
        <v>0</v>
      </c>
      <c r="L53" s="624">
        <f t="shared" si="18"/>
        <v>0</v>
      </c>
      <c r="M53" s="624">
        <f t="shared" si="18"/>
        <v>0</v>
      </c>
      <c r="N53" s="624">
        <f t="shared" si="18"/>
        <v>0</v>
      </c>
      <c r="O53" s="624">
        <f t="shared" si="18"/>
        <v>0</v>
      </c>
      <c r="P53" s="658">
        <f>O53</f>
        <v>0</v>
      </c>
      <c r="Q53" s="676"/>
    </row>
    <row r="54" spans="1:17" ht="7.5" customHeight="1" thickTop="1">
      <c r="A54" s="675"/>
      <c r="B54" s="659"/>
      <c r="C54" s="168"/>
      <c r="D54" s="173"/>
      <c r="E54" s="173"/>
      <c r="F54" s="173"/>
      <c r="G54" s="173"/>
      <c r="H54" s="173"/>
      <c r="I54" s="173"/>
      <c r="J54" s="173"/>
      <c r="K54" s="173"/>
      <c r="L54" s="173"/>
      <c r="M54" s="173"/>
      <c r="N54" s="173"/>
      <c r="O54" s="173"/>
      <c r="P54" s="660"/>
      <c r="Q54" s="676"/>
    </row>
    <row r="55" spans="1:17" ht="15.75" customHeight="1" thickBot="1">
      <c r="A55" s="675"/>
      <c r="B55" s="657" t="s">
        <v>361</v>
      </c>
      <c r="C55" s="166"/>
      <c r="D55" s="174">
        <f>O26</f>
        <v>0</v>
      </c>
      <c r="E55" s="174">
        <f>D55</f>
        <v>0</v>
      </c>
      <c r="F55" s="174">
        <f t="shared" ref="F55:O55" si="19">E55</f>
        <v>0</v>
      </c>
      <c r="G55" s="174">
        <f t="shared" si="19"/>
        <v>0</v>
      </c>
      <c r="H55" s="174">
        <f t="shared" si="19"/>
        <v>0</v>
      </c>
      <c r="I55" s="174">
        <f t="shared" si="19"/>
        <v>0</v>
      </c>
      <c r="J55" s="174">
        <f t="shared" si="19"/>
        <v>0</v>
      </c>
      <c r="K55" s="174">
        <f t="shared" si="19"/>
        <v>0</v>
      </c>
      <c r="L55" s="174">
        <f t="shared" si="19"/>
        <v>0</v>
      </c>
      <c r="M55" s="174">
        <f t="shared" si="19"/>
        <v>0</v>
      </c>
      <c r="N55" s="174">
        <f t="shared" si="19"/>
        <v>0</v>
      </c>
      <c r="O55" s="174">
        <f t="shared" si="19"/>
        <v>0</v>
      </c>
      <c r="P55" s="661"/>
      <c r="Q55" s="676"/>
    </row>
    <row r="56" spans="1:17" ht="7.5" customHeight="1" thickTop="1">
      <c r="A56" s="675"/>
      <c r="B56" s="659"/>
      <c r="C56" s="168"/>
      <c r="D56" s="173"/>
      <c r="E56" s="173"/>
      <c r="F56" s="173"/>
      <c r="G56" s="173"/>
      <c r="H56" s="173"/>
      <c r="I56" s="173"/>
      <c r="J56" s="173"/>
      <c r="K56" s="173"/>
      <c r="L56" s="173"/>
      <c r="M56" s="173"/>
      <c r="N56" s="173"/>
      <c r="O56" s="173"/>
      <c r="P56" s="660"/>
      <c r="Q56" s="676"/>
    </row>
    <row r="57" spans="1:17" ht="15.75" customHeight="1" thickBot="1">
      <c r="A57" s="675"/>
      <c r="B57" s="662" t="s">
        <v>362</v>
      </c>
      <c r="C57" s="663"/>
      <c r="D57" s="664">
        <f>D53+D55</f>
        <v>0</v>
      </c>
      <c r="E57" s="664">
        <f t="shared" ref="E57:O57" si="20">E53+E55</f>
        <v>0</v>
      </c>
      <c r="F57" s="664">
        <f t="shared" si="20"/>
        <v>0</v>
      </c>
      <c r="G57" s="664">
        <f t="shared" si="20"/>
        <v>0</v>
      </c>
      <c r="H57" s="664">
        <f t="shared" si="20"/>
        <v>0</v>
      </c>
      <c r="I57" s="664">
        <f t="shared" si="20"/>
        <v>0</v>
      </c>
      <c r="J57" s="664">
        <f t="shared" si="20"/>
        <v>0</v>
      </c>
      <c r="K57" s="664">
        <f t="shared" si="20"/>
        <v>0</v>
      </c>
      <c r="L57" s="664">
        <f t="shared" si="20"/>
        <v>0</v>
      </c>
      <c r="M57" s="664">
        <f t="shared" si="20"/>
        <v>0</v>
      </c>
      <c r="N57" s="664">
        <f t="shared" si="20"/>
        <v>0</v>
      </c>
      <c r="O57" s="664">
        <f t="shared" si="20"/>
        <v>0</v>
      </c>
      <c r="P57" s="665"/>
      <c r="Q57" s="676"/>
    </row>
    <row r="58" spans="1:17" ht="15.75" customHeight="1">
      <c r="A58" s="675"/>
      <c r="B58" s="611"/>
      <c r="C58" s="612"/>
      <c r="D58" s="614"/>
      <c r="E58" s="614"/>
      <c r="F58" s="614"/>
      <c r="G58" s="614"/>
      <c r="H58" s="614"/>
      <c r="I58" s="614"/>
      <c r="J58" s="614"/>
      <c r="K58" s="614"/>
      <c r="L58" s="614"/>
      <c r="M58" s="614"/>
      <c r="N58" s="614"/>
      <c r="O58" s="614"/>
      <c r="P58" s="614"/>
      <c r="Q58" s="676"/>
    </row>
    <row r="59" spans="1:17" ht="22.5" customHeight="1" thickBot="1">
      <c r="A59" s="675"/>
      <c r="B59" s="818" t="s">
        <v>366</v>
      </c>
      <c r="C59" s="612"/>
      <c r="D59" s="614"/>
      <c r="E59" s="614"/>
      <c r="F59" s="614"/>
      <c r="G59" s="614"/>
      <c r="H59" s="614"/>
      <c r="I59" s="614"/>
      <c r="J59" s="614"/>
      <c r="K59" s="614"/>
      <c r="L59" s="614"/>
      <c r="M59" s="614"/>
      <c r="N59" s="614"/>
      <c r="O59" s="614"/>
      <c r="P59" s="614"/>
      <c r="Q59" s="676"/>
    </row>
    <row r="60" spans="1:17" ht="39.75" customHeight="1">
      <c r="A60" s="675"/>
      <c r="B60" s="644">
        <v>1</v>
      </c>
      <c r="C60" s="2315" t="s">
        <v>364</v>
      </c>
      <c r="D60" s="2315"/>
      <c r="E60" s="2315"/>
      <c r="F60" s="2315"/>
      <c r="G60" s="2315"/>
      <c r="H60" s="666"/>
      <c r="I60" s="666"/>
      <c r="J60" s="666"/>
      <c r="K60" s="666"/>
      <c r="L60" s="666"/>
      <c r="M60" s="666"/>
      <c r="N60" s="666"/>
      <c r="O60" s="666"/>
      <c r="P60" s="667"/>
      <c r="Q60" s="676"/>
    </row>
    <row r="61" spans="1:17" ht="30" customHeight="1">
      <c r="A61" s="675"/>
      <c r="B61" s="2321">
        <f>ZusammenführErgebn!E3</f>
        <v>2027</v>
      </c>
      <c r="C61" s="2322"/>
      <c r="D61" s="609" t="str">
        <f>D32</f>
        <v>Jan.</v>
      </c>
      <c r="E61" s="609" t="str">
        <f t="shared" ref="E61:O61" si="21">E32</f>
        <v>Febr.</v>
      </c>
      <c r="F61" s="609" t="str">
        <f t="shared" si="21"/>
        <v>März</v>
      </c>
      <c r="G61" s="609" t="str">
        <f t="shared" si="21"/>
        <v>April</v>
      </c>
      <c r="H61" s="609" t="str">
        <f t="shared" si="21"/>
        <v>Mai</v>
      </c>
      <c r="I61" s="609" t="str">
        <f t="shared" si="21"/>
        <v>Juni</v>
      </c>
      <c r="J61" s="609" t="str">
        <f t="shared" si="21"/>
        <v>Juli</v>
      </c>
      <c r="K61" s="609" t="str">
        <f t="shared" si="21"/>
        <v>Aug.</v>
      </c>
      <c r="L61" s="609" t="str">
        <f t="shared" si="21"/>
        <v>Sept.</v>
      </c>
      <c r="M61" s="609" t="str">
        <f t="shared" si="21"/>
        <v>Okt.</v>
      </c>
      <c r="N61" s="609" t="str">
        <f t="shared" si="21"/>
        <v>Nov.</v>
      </c>
      <c r="O61" s="609" t="str">
        <f t="shared" si="21"/>
        <v>Dez.</v>
      </c>
      <c r="P61" s="668" t="s">
        <v>339</v>
      </c>
      <c r="Q61" s="676"/>
    </row>
    <row r="62" spans="1:17" ht="15.75" customHeight="1">
      <c r="A62" s="675"/>
      <c r="B62" s="648" t="s">
        <v>340</v>
      </c>
      <c r="C62" s="615"/>
      <c r="D62" s="616"/>
      <c r="E62" s="616"/>
      <c r="F62" s="616"/>
      <c r="G62" s="616"/>
      <c r="H62" s="616"/>
      <c r="I62" s="616"/>
      <c r="J62" s="616"/>
      <c r="K62" s="616"/>
      <c r="L62" s="616"/>
      <c r="M62" s="616"/>
      <c r="N62" s="616"/>
      <c r="O62" s="616"/>
      <c r="P62" s="669"/>
      <c r="Q62" s="676"/>
    </row>
    <row r="63" spans="1:17" ht="15.75" customHeight="1">
      <c r="A63" s="675"/>
      <c r="B63" s="650" t="s">
        <v>341</v>
      </c>
      <c r="C63" s="618"/>
      <c r="D63" s="619">
        <f>IF($B$60=0,'Ertragsv. 2027'!C3,IF($B$60=1,'Ertragsv. 2026'!N3,IF($B$60=2,'Ertragsv. 2026'!M3,IF($B$60=3,'Ertragsv. 2026'!M3*50%+'Ertragsv. 2026'!N3*50%))))</f>
        <v>0</v>
      </c>
      <c r="E63" s="619">
        <f>IF($B$60=0,'Ertragsv. 2027'!D3,IF($B$60=1,'Ertragsv. 2027'!C3,IF($B$60=2,'Ertragsv. 2026'!N3,IF($B$60=3,'Ertragsv. 2026'!N3*50%+'Ertragsv. 2027'!C3*50%))))</f>
        <v>0</v>
      </c>
      <c r="F63" s="619">
        <f>IF($B$60=0,'Ertragsv. 2027'!E3,IF($B$60=1,'Ertragsv. 2027'!D3,IF($B$60=2,'Ertragsv. 2027'!C3,IF($B$60=3,'Ertragsv. 2027'!C3*50%+'Ertragsv. 2027'!D3*50%))))</f>
        <v>0</v>
      </c>
      <c r="G63" s="619">
        <f>IF($B$60=0,'Ertragsv. 2027'!F3,IF($B$60=1,'Ertragsv. 2027'!E3,IF($B$60=2,'Ertragsv. 2027'!D3,IF($B$60=3,'Ertragsv. 2027'!D3*50%+'Ertragsv. 2027'!E3*50%))))</f>
        <v>0</v>
      </c>
      <c r="H63" s="619">
        <f>IF($B$60=0,'Ertragsv. 2027'!G3,IF($B$60=1,'Ertragsv. 2027'!F3,IF($B$60=2,'Ertragsv. 2027'!E3,IF($B$60=3,'Ertragsv. 2027'!E3*50%+'Ertragsv. 2027'!F3*50%))))</f>
        <v>0</v>
      </c>
      <c r="I63" s="619">
        <f>IF($B$60=0,'Ertragsv. 2027'!H3,IF($B$60=1,'Ertragsv. 2027'!G3,IF($B$60=2,'Ertragsv. 2027'!F3,IF($B$60=3,'Ertragsv. 2027'!F3*50%+'Ertragsv. 2027'!G3*50%))))</f>
        <v>0</v>
      </c>
      <c r="J63" s="619">
        <f>IF($B$60=0,'Ertragsv. 2027'!I3,IF($B$60=1,'Ertragsv. 2027'!H3,IF($B$60=2,'Ertragsv. 2027'!G3,IF($B$60=3,'Ertragsv. 2027'!G3*50%+'Ertragsv. 2027'!H3*50%))))</f>
        <v>0</v>
      </c>
      <c r="K63" s="619">
        <f>IF($B$60=0,'Ertragsv. 2027'!J3,IF($B$60=1,'Ertragsv. 2027'!I3,IF($B$60=2,'Ertragsv. 2027'!H3,IF($B$60=3,'Ertragsv. 2027'!H3*50%+'Ertragsv. 2027'!I3*50%))))</f>
        <v>0</v>
      </c>
      <c r="L63" s="619">
        <f>IF($B$60=0,'Ertragsv. 2027'!K3,IF($B$60=1,'Ertragsv. 2027'!J3,IF($B$60=2,'Ertragsv. 2027'!I3,IF($B$60=3,'Ertragsv. 2027'!I3*50%+'Ertragsv. 2027'!J3*50%))))</f>
        <v>0</v>
      </c>
      <c r="M63" s="619">
        <f>IF($B$60=0,'Ertragsv. 2027'!L3,IF($B$60=1,'Ertragsv. 2027'!K3,IF($B$60=2,'Ertragsv. 2027'!J3,IF($B$60=3,'Ertragsv. 2027'!J3*50%+'Ertragsv. 2027'!K3*50%))))</f>
        <v>0</v>
      </c>
      <c r="N63" s="619">
        <f>IF($B$60=0,'Ertragsv. 2027'!M3,IF($B$60=1,'Ertragsv. 2027'!L3,IF($B$60=2,'Ertragsv. 2027'!K3,IF($B$60=3,'Ertragsv. 2027'!K3*50%+'Ertragsv. 2027'!L3*50%))))</f>
        <v>0</v>
      </c>
      <c r="O63" s="619">
        <f>IF($B$60=0,'Ertragsv. 2027'!N3,IF($B$60=1,'Ertragsv. 2027'!M3,IF($B$60=2,'Ertragsv. 2027'!L3,IF($B$60=3,'Ertragsv. 2027'!L3*50%+'Ertragsv. 2027'!M3*50%))))</f>
        <v>0</v>
      </c>
      <c r="P63" s="651">
        <f t="shared" ref="P63:P68" si="22">SUM(D63:O63)</f>
        <v>0</v>
      </c>
      <c r="Q63" s="676"/>
    </row>
    <row r="64" spans="1:17" ht="15.75" customHeight="1">
      <c r="A64" s="675"/>
      <c r="B64" s="2049" t="s">
        <v>342</v>
      </c>
      <c r="C64" s="620"/>
      <c r="D64" s="75"/>
      <c r="E64" s="76"/>
      <c r="F64" s="76"/>
      <c r="G64" s="76"/>
      <c r="H64" s="76"/>
      <c r="I64" s="76"/>
      <c r="J64" s="76"/>
      <c r="K64" s="76"/>
      <c r="L64" s="76"/>
      <c r="M64" s="76"/>
      <c r="N64" s="76"/>
      <c r="O64" s="77"/>
      <c r="P64" s="651">
        <f t="shared" si="22"/>
        <v>0</v>
      </c>
      <c r="Q64" s="676"/>
    </row>
    <row r="65" spans="1:17" ht="15.75" customHeight="1">
      <c r="A65" s="675"/>
      <c r="B65" s="2317" t="s">
        <v>343</v>
      </c>
      <c r="C65" s="2318"/>
      <c r="D65" s="78"/>
      <c r="E65" s="79"/>
      <c r="F65" s="79"/>
      <c r="G65" s="79"/>
      <c r="H65" s="79"/>
      <c r="I65" s="79"/>
      <c r="J65" s="79"/>
      <c r="K65" s="79"/>
      <c r="L65" s="79"/>
      <c r="M65" s="79"/>
      <c r="N65" s="79"/>
      <c r="O65" s="80"/>
      <c r="P65" s="651">
        <f t="shared" si="22"/>
        <v>0</v>
      </c>
      <c r="Q65" s="676"/>
    </row>
    <row r="66" spans="1:17" ht="15.75" customHeight="1">
      <c r="A66" s="675"/>
      <c r="B66" s="2049" t="s">
        <v>344</v>
      </c>
      <c r="C66" s="621"/>
      <c r="D66" s="152"/>
      <c r="E66" s="153"/>
      <c r="F66" s="153"/>
      <c r="G66" s="153"/>
      <c r="H66" s="153"/>
      <c r="I66" s="153"/>
      <c r="J66" s="153"/>
      <c r="K66" s="153"/>
      <c r="L66" s="153"/>
      <c r="M66" s="153"/>
      <c r="N66" s="153"/>
      <c r="O66" s="154"/>
      <c r="P66" s="651">
        <f t="shared" si="22"/>
        <v>0</v>
      </c>
      <c r="Q66" s="676"/>
    </row>
    <row r="67" spans="1:17" ht="15.75" customHeight="1">
      <c r="A67" s="675"/>
      <c r="B67" s="650" t="s">
        <v>345</v>
      </c>
      <c r="C67" s="622"/>
      <c r="D67" s="633">
        <f t="shared" ref="D67:O67" si="23">IF($P$2&lt;0,0,IF($P$2&gt;0,D63*19%,0))</f>
        <v>0</v>
      </c>
      <c r="E67" s="633">
        <f t="shared" si="23"/>
        <v>0</v>
      </c>
      <c r="F67" s="633">
        <f t="shared" si="23"/>
        <v>0</v>
      </c>
      <c r="G67" s="633">
        <f t="shared" si="23"/>
        <v>0</v>
      </c>
      <c r="H67" s="633">
        <f t="shared" si="23"/>
        <v>0</v>
      </c>
      <c r="I67" s="633">
        <f t="shared" si="23"/>
        <v>0</v>
      </c>
      <c r="J67" s="633">
        <f t="shared" si="23"/>
        <v>0</v>
      </c>
      <c r="K67" s="633">
        <f t="shared" si="23"/>
        <v>0</v>
      </c>
      <c r="L67" s="633">
        <f t="shared" si="23"/>
        <v>0</v>
      </c>
      <c r="M67" s="633">
        <f t="shared" si="23"/>
        <v>0</v>
      </c>
      <c r="N67" s="633">
        <f t="shared" si="23"/>
        <v>0</v>
      </c>
      <c r="O67" s="633">
        <f t="shared" si="23"/>
        <v>0</v>
      </c>
      <c r="P67" s="651">
        <f t="shared" si="22"/>
        <v>0</v>
      </c>
      <c r="Q67" s="676"/>
    </row>
    <row r="68" spans="1:17" ht="15.75" customHeight="1" thickBot="1">
      <c r="A68" s="675"/>
      <c r="B68" s="656" t="s">
        <v>346</v>
      </c>
      <c r="C68" s="623"/>
      <c r="D68" s="624">
        <f>SUM(D63:D67)</f>
        <v>0</v>
      </c>
      <c r="E68" s="624">
        <f t="shared" ref="E68:O68" si="24">SUM(E63:E67)</f>
        <v>0</v>
      </c>
      <c r="F68" s="624">
        <f t="shared" si="24"/>
        <v>0</v>
      </c>
      <c r="G68" s="624">
        <f t="shared" si="24"/>
        <v>0</v>
      </c>
      <c r="H68" s="624">
        <f t="shared" si="24"/>
        <v>0</v>
      </c>
      <c r="I68" s="624">
        <f t="shared" si="24"/>
        <v>0</v>
      </c>
      <c r="J68" s="624">
        <f t="shared" si="24"/>
        <v>0</v>
      </c>
      <c r="K68" s="624">
        <f t="shared" si="24"/>
        <v>0</v>
      </c>
      <c r="L68" s="624">
        <f t="shared" si="24"/>
        <v>0</v>
      </c>
      <c r="M68" s="624">
        <f t="shared" si="24"/>
        <v>0</v>
      </c>
      <c r="N68" s="624">
        <f t="shared" si="24"/>
        <v>0</v>
      </c>
      <c r="O68" s="624">
        <f t="shared" si="24"/>
        <v>0</v>
      </c>
      <c r="P68" s="653">
        <f t="shared" si="22"/>
        <v>0</v>
      </c>
      <c r="Q68" s="676"/>
    </row>
    <row r="69" spans="1:17" ht="15.75" customHeight="1" thickTop="1">
      <c r="A69" s="675"/>
      <c r="B69" s="654" t="s">
        <v>347</v>
      </c>
      <c r="C69" s="615"/>
      <c r="D69" s="625"/>
      <c r="E69" s="625"/>
      <c r="F69" s="625"/>
      <c r="G69" s="625"/>
      <c r="H69" s="625"/>
      <c r="I69" s="625"/>
      <c r="J69" s="625"/>
      <c r="K69" s="625"/>
      <c r="L69" s="625"/>
      <c r="M69" s="625"/>
      <c r="N69" s="625"/>
      <c r="O69" s="625"/>
      <c r="P69" s="655"/>
      <c r="Q69" s="676"/>
    </row>
    <row r="70" spans="1:17" ht="15.75" customHeight="1">
      <c r="A70" s="675"/>
      <c r="B70" s="2049" t="s">
        <v>348</v>
      </c>
      <c r="C70" s="620"/>
      <c r="D70" s="83"/>
      <c r="E70" s="84"/>
      <c r="F70" s="84"/>
      <c r="G70" s="84"/>
      <c r="H70" s="84"/>
      <c r="I70" s="84"/>
      <c r="J70" s="84"/>
      <c r="K70" s="84"/>
      <c r="L70" s="84"/>
      <c r="M70" s="84"/>
      <c r="N70" s="84"/>
      <c r="O70" s="85"/>
      <c r="P70" s="651">
        <f>SUM(D70:O70)</f>
        <v>0</v>
      </c>
      <c r="Q70" s="676"/>
    </row>
    <row r="71" spans="1:17" ht="15.75" customHeight="1">
      <c r="A71" s="675"/>
      <c r="B71" s="650" t="s">
        <v>349</v>
      </c>
      <c r="C71" s="618"/>
      <c r="D71" s="619">
        <f>IF($P$2&gt;0,(D72)*$P$2+(D70+D73)*19%-('Ertragsv. 2027'!C7+'Ertragsv. 2027'!C14+'Ertragsv. 2027'!C17+'Ertragsv. 2027'!C18)*19%,0)</f>
        <v>0</v>
      </c>
      <c r="E71" s="619">
        <f>IF($P$2&gt;0,(E72)*$P$2+(E70+E73)*19%-('Ertragsv. 2027'!D7+'Ertragsv. 2027'!D14+'Ertragsv. 2027'!D17+'Ertragsv. 2027'!D18)*19%,0)</f>
        <v>0</v>
      </c>
      <c r="F71" s="619">
        <f>IF($P$2&gt;0,(F72)*$P$2+(F70+F73)*19%-('Ertragsv. 2027'!E7+'Ertragsv. 2027'!E14+'Ertragsv. 2027'!E17+'Ertragsv. 2027'!E18)*19%,0)</f>
        <v>0</v>
      </c>
      <c r="G71" s="619">
        <f>IF($P$2&gt;0,(G72)*$P$2+(G70+G73)*19%-('Ertragsv. 2027'!F7+'Ertragsv. 2027'!F14+'Ertragsv. 2027'!F17+'Ertragsv. 2027'!F18)*19%,0)</f>
        <v>0</v>
      </c>
      <c r="H71" s="619">
        <f>IF($P$2&gt;0,(H72)*$P$2+(H70+H73)*19%-('Ertragsv. 2027'!G7+'Ertragsv. 2027'!G14+'Ertragsv. 2027'!G17+'Ertragsv. 2027'!G18)*19%,0)</f>
        <v>0</v>
      </c>
      <c r="I71" s="619">
        <f>IF($P$2&gt;0,(I72)*$P$2+(I70+I73)*19%-('Ertragsv. 2027'!H7+'Ertragsv. 2027'!H14+'Ertragsv. 2027'!H17+'Ertragsv. 2027'!H18)*19%,0)</f>
        <v>0</v>
      </c>
      <c r="J71" s="619">
        <f>IF($P$2&gt;0,(J72)*$P$2+(J70+J73)*19%-('Ertragsv. 2027'!I7+'Ertragsv. 2027'!I14+'Ertragsv. 2027'!I17+'Ertragsv. 2027'!I18)*19%,0)</f>
        <v>0</v>
      </c>
      <c r="K71" s="619">
        <f>IF($P$2&gt;0,(K72)*$P$2+(K70+K73)*19%-('Ertragsv. 2027'!J7+'Ertragsv. 2027'!J14+'Ertragsv. 2027'!J17+'Ertragsv. 2027'!J18)*19%,0)</f>
        <v>0</v>
      </c>
      <c r="L71" s="619">
        <f>IF($P$2&gt;0,(L72)*$P$2+(L70+L73)*19%-('Ertragsv. 2027'!K7+'Ertragsv. 2027'!K14+'Ertragsv. 2027'!K17+'Ertragsv. 2027'!K18)*19%,0)</f>
        <v>0</v>
      </c>
      <c r="M71" s="619">
        <f>IF($P$2&gt;0,(M72)*$P$2+(M70+M73)*19%-('Ertragsv. 2027'!L7+'Ertragsv. 2027'!L14+'Ertragsv. 2027'!L17+'Ertragsv. 2027'!L18)*19%,0)</f>
        <v>0</v>
      </c>
      <c r="N71" s="619">
        <f>IF($P$2&gt;0,(N72)*$P$2+(N70+N73)*19%-('Ertragsv. 2027'!M7+'Ertragsv. 2027'!M14+'Ertragsv. 2027'!M17+'Ertragsv. 2027'!M18)*19%,0)</f>
        <v>0</v>
      </c>
      <c r="O71" s="619">
        <f>IF($P$2&gt;0,(O72)*$P$2+(O70+O73)*19%-('Ertragsv. 2027'!N7+'Ertragsv. 2027'!N14+'Ertragsv. 2027'!N17+'Ertragsv. 2027'!N18)*19%,0)</f>
        <v>0</v>
      </c>
      <c r="P71" s="651">
        <f t="shared" ref="P71:P79" si="25">SUM(D71:O71)</f>
        <v>0</v>
      </c>
      <c r="Q71" s="676"/>
    </row>
    <row r="72" spans="1:17" ht="15.75" customHeight="1">
      <c r="A72" s="675"/>
      <c r="B72" s="2049" t="s">
        <v>350</v>
      </c>
      <c r="C72" s="620"/>
      <c r="D72" s="619">
        <f>'Ertragsv. 2027'!C4</f>
        <v>0</v>
      </c>
      <c r="E72" s="619">
        <f>'Ertragsv. 2027'!D4</f>
        <v>0</v>
      </c>
      <c r="F72" s="619">
        <f>'Ertragsv. 2027'!E4</f>
        <v>0</v>
      </c>
      <c r="G72" s="619">
        <f>'Ertragsv. 2027'!F4</f>
        <v>0</v>
      </c>
      <c r="H72" s="619">
        <f>'Ertragsv. 2027'!G4</f>
        <v>0</v>
      </c>
      <c r="I72" s="619">
        <f>'Ertragsv. 2027'!H4</f>
        <v>0</v>
      </c>
      <c r="J72" s="619">
        <f>'Ertragsv. 2027'!I4</f>
        <v>0</v>
      </c>
      <c r="K72" s="619">
        <f>'Ertragsv. 2027'!J4</f>
        <v>0</v>
      </c>
      <c r="L72" s="619">
        <f>'Ertragsv. 2027'!K4</f>
        <v>0</v>
      </c>
      <c r="M72" s="619">
        <f>'Ertragsv. 2027'!L4</f>
        <v>0</v>
      </c>
      <c r="N72" s="619">
        <f>'Ertragsv. 2027'!M4</f>
        <v>0</v>
      </c>
      <c r="O72" s="619">
        <f>'Ertragsv. 2027'!N4</f>
        <v>0</v>
      </c>
      <c r="P72" s="651">
        <f t="shared" si="25"/>
        <v>0</v>
      </c>
      <c r="Q72" s="676"/>
    </row>
    <row r="73" spans="1:17" ht="15.75" customHeight="1">
      <c r="A73" s="675"/>
      <c r="B73" s="2049" t="s">
        <v>351</v>
      </c>
      <c r="C73" s="620"/>
      <c r="D73" s="619">
        <f>'Ertragsv. 2027'!C20-'Ertragsv. 2027'!C4</f>
        <v>0</v>
      </c>
      <c r="E73" s="619">
        <f>'Ertragsv. 2027'!D20-'Ertragsv. 2027'!D4</f>
        <v>0</v>
      </c>
      <c r="F73" s="619">
        <f>'Ertragsv. 2027'!E20-'Ertragsv. 2027'!E4</f>
        <v>0</v>
      </c>
      <c r="G73" s="619">
        <f>'Ertragsv. 2027'!F20-'Ertragsv. 2027'!F4</f>
        <v>0</v>
      </c>
      <c r="H73" s="619">
        <f>'Ertragsv. 2027'!G20-'Ertragsv. 2027'!G4</f>
        <v>0</v>
      </c>
      <c r="I73" s="619">
        <f>'Ertragsv. 2027'!H20-'Ertragsv. 2027'!H4</f>
        <v>0</v>
      </c>
      <c r="J73" s="619">
        <f>'Ertragsv. 2027'!I20-'Ertragsv. 2027'!I4</f>
        <v>0</v>
      </c>
      <c r="K73" s="619">
        <f>'Ertragsv. 2027'!J20-'Ertragsv. 2027'!J4</f>
        <v>0</v>
      </c>
      <c r="L73" s="619">
        <f>'Ertragsv. 2027'!K20-'Ertragsv. 2027'!K4</f>
        <v>0</v>
      </c>
      <c r="M73" s="619">
        <f>'Ertragsv. 2027'!L20-'Ertragsv. 2027'!L4</f>
        <v>0</v>
      </c>
      <c r="N73" s="619">
        <f>'Ertragsv. 2027'!M20-'Ertragsv. 2027'!M4</f>
        <v>0</v>
      </c>
      <c r="O73" s="619">
        <f>'Ertragsv. 2027'!N20-'Ertragsv. 2027'!N4</f>
        <v>0</v>
      </c>
      <c r="P73" s="651">
        <f t="shared" si="25"/>
        <v>0</v>
      </c>
      <c r="Q73" s="676"/>
    </row>
    <row r="74" spans="1:17" ht="15.75" customHeight="1">
      <c r="A74" s="675"/>
      <c r="B74" s="2049" t="s">
        <v>352</v>
      </c>
      <c r="C74" s="620"/>
      <c r="D74" s="619">
        <f>Finanz_AfA_Investitionen!G38-Finanz_AfA_Investitionen!G37+'Mikrostarter Geschäftsplan'!C46</f>
        <v>0</v>
      </c>
      <c r="E74" s="619">
        <f>Finanz_AfA_Investitionen!G38-Finanz_AfA_Investitionen!G37+'Mikrostarter Geschäftsplan'!C47</f>
        <v>0</v>
      </c>
      <c r="F74" s="619">
        <f>Finanz_AfA_Investitionen!G38-Finanz_AfA_Investitionen!G37+'Mikrostarter Geschäftsplan'!C48</f>
        <v>0</v>
      </c>
      <c r="G74" s="619">
        <f>Finanz_AfA_Investitionen!G38-Finanz_AfA_Investitionen!G37+'Mikrostarter Geschäftsplan'!C49</f>
        <v>0</v>
      </c>
      <c r="H74" s="619">
        <f>Finanz_AfA_Investitionen!G38-Finanz_AfA_Investitionen!G37+'Mikrostarter Geschäftsplan'!C50</f>
        <v>0</v>
      </c>
      <c r="I74" s="619">
        <f>Finanz_AfA_Investitionen!G38-Finanz_AfA_Investitionen!G37+'Mikrostarter Geschäftsplan'!C51</f>
        <v>0</v>
      </c>
      <c r="J74" s="619">
        <f>Finanz_AfA_Investitionen!G38-Finanz_AfA_Investitionen!G37+'Mikrostarter Geschäftsplan'!C52</f>
        <v>0</v>
      </c>
      <c r="K74" s="619">
        <f>Finanz_AfA_Investitionen!G38-Finanz_AfA_Investitionen!G37+'Mikrostarter Geschäftsplan'!C53</f>
        <v>0</v>
      </c>
      <c r="L74" s="619">
        <f>Finanz_AfA_Investitionen!G38-Finanz_AfA_Investitionen!G37+'Mikrostarter Geschäftsplan'!C54</f>
        <v>0</v>
      </c>
      <c r="M74" s="619">
        <f>Finanz_AfA_Investitionen!G38-Finanz_AfA_Investitionen!G37+'Mikrostarter Geschäftsplan'!C55</f>
        <v>0</v>
      </c>
      <c r="N74" s="619">
        <f>Finanz_AfA_Investitionen!G38-Finanz_AfA_Investitionen!G37+'Mikrostarter Geschäftsplan'!C56</f>
        <v>0</v>
      </c>
      <c r="O74" s="619">
        <f>Finanz_AfA_Investitionen!G38-Finanz_AfA_Investitionen!G37+'Mikrostarter Geschäftsplan'!C57</f>
        <v>0</v>
      </c>
      <c r="P74" s="651">
        <f t="shared" si="25"/>
        <v>0</v>
      </c>
      <c r="Q74" s="676"/>
    </row>
    <row r="75" spans="1:17" ht="15.75" customHeight="1">
      <c r="A75" s="675"/>
      <c r="B75" s="620" t="s">
        <v>367</v>
      </c>
      <c r="C75" s="620"/>
      <c r="D75" s="83">
        <f>Finanz_AfA_Investitionen!C24+Finanz_AfA_Investitionen!C25</f>
        <v>0</v>
      </c>
      <c r="E75" s="84"/>
      <c r="F75" s="84"/>
      <c r="G75" s="84"/>
      <c r="H75" s="84"/>
      <c r="I75" s="84"/>
      <c r="J75" s="84"/>
      <c r="K75" s="84"/>
      <c r="L75" s="84"/>
      <c r="M75" s="84"/>
      <c r="N75" s="84"/>
      <c r="O75" s="85"/>
      <c r="P75" s="651">
        <f t="shared" si="25"/>
        <v>0</v>
      </c>
      <c r="Q75" s="676"/>
    </row>
    <row r="76" spans="1:17" ht="15.75" customHeight="1">
      <c r="A76" s="675"/>
      <c r="B76" s="2317" t="s">
        <v>354</v>
      </c>
      <c r="C76" s="2318"/>
      <c r="D76" s="619">
        <f>O38-O42</f>
        <v>0</v>
      </c>
      <c r="E76" s="619">
        <f>D67-D71</f>
        <v>0</v>
      </c>
      <c r="F76" s="619">
        <f t="shared" ref="F76:O76" si="26">E67-E71</f>
        <v>0</v>
      </c>
      <c r="G76" s="619">
        <f t="shared" si="26"/>
        <v>0</v>
      </c>
      <c r="H76" s="619">
        <f t="shared" si="26"/>
        <v>0</v>
      </c>
      <c r="I76" s="619">
        <f t="shared" si="26"/>
        <v>0</v>
      </c>
      <c r="J76" s="619">
        <f t="shared" si="26"/>
        <v>0</v>
      </c>
      <c r="K76" s="619">
        <f t="shared" si="26"/>
        <v>0</v>
      </c>
      <c r="L76" s="619">
        <f t="shared" si="26"/>
        <v>0</v>
      </c>
      <c r="M76" s="619">
        <f t="shared" si="26"/>
        <v>0</v>
      </c>
      <c r="N76" s="619">
        <f t="shared" si="26"/>
        <v>0</v>
      </c>
      <c r="O76" s="619">
        <f t="shared" si="26"/>
        <v>0</v>
      </c>
      <c r="P76" s="651">
        <f t="shared" si="25"/>
        <v>0</v>
      </c>
      <c r="Q76" s="676"/>
    </row>
    <row r="77" spans="1:17" ht="15.75" customHeight="1">
      <c r="A77" s="675"/>
      <c r="B77" s="650" t="s">
        <v>355</v>
      </c>
      <c r="C77" s="618"/>
      <c r="D77" s="619">
        <f>'Ertragsv. 2027'!C25</f>
        <v>0</v>
      </c>
      <c r="E77" s="619">
        <f>'Ertragsv. 2027'!D25</f>
        <v>0</v>
      </c>
      <c r="F77" s="619">
        <f>'Ertragsv. 2027'!E25</f>
        <v>0</v>
      </c>
      <c r="G77" s="619">
        <f>'Ertragsv. 2027'!F25</f>
        <v>0</v>
      </c>
      <c r="H77" s="619">
        <f>'Ertragsv. 2027'!G25</f>
        <v>0</v>
      </c>
      <c r="I77" s="619">
        <f>'Ertragsv. 2027'!H25</f>
        <v>0</v>
      </c>
      <c r="J77" s="619">
        <f>'Ertragsv. 2027'!I25</f>
        <v>0</v>
      </c>
      <c r="K77" s="619">
        <f>'Ertragsv. 2027'!J25</f>
        <v>0</v>
      </c>
      <c r="L77" s="619">
        <f>'Ertragsv. 2027'!K25</f>
        <v>0</v>
      </c>
      <c r="M77" s="619">
        <f>'Ertragsv. 2027'!L25</f>
        <v>0</v>
      </c>
      <c r="N77" s="619">
        <f>'Ertragsv. 2027'!M25</f>
        <v>0</v>
      </c>
      <c r="O77" s="619">
        <f>'Ertragsv. 2027'!N25</f>
        <v>0</v>
      </c>
      <c r="P77" s="651">
        <f t="shared" si="25"/>
        <v>0</v>
      </c>
      <c r="Q77" s="676"/>
    </row>
    <row r="78" spans="1:17" ht="15.75" customHeight="1">
      <c r="A78" s="675"/>
      <c r="B78" s="2049" t="s">
        <v>356</v>
      </c>
      <c r="C78" s="618"/>
      <c r="D78" s="619">
        <f>'Ertragsv. 2027'!C27</f>
        <v>0</v>
      </c>
      <c r="E78" s="619">
        <f>'Ertragsv. 2027'!D27</f>
        <v>0</v>
      </c>
      <c r="F78" s="619">
        <f>'Ertragsv. 2027'!E27</f>
        <v>0</v>
      </c>
      <c r="G78" s="619">
        <f>'Ertragsv. 2027'!F27</f>
        <v>0</v>
      </c>
      <c r="H78" s="619">
        <f>'Ertragsv. 2027'!G27</f>
        <v>0</v>
      </c>
      <c r="I78" s="619">
        <f>'Ertragsv. 2027'!H27</f>
        <v>0</v>
      </c>
      <c r="J78" s="619">
        <f>'Ertragsv. 2027'!I27</f>
        <v>0</v>
      </c>
      <c r="K78" s="619">
        <f>'Ertragsv. 2027'!J27</f>
        <v>0</v>
      </c>
      <c r="L78" s="619">
        <f>'Ertragsv. 2027'!K27</f>
        <v>0</v>
      </c>
      <c r="M78" s="619">
        <f>'Ertragsv. 2027'!L27</f>
        <v>0</v>
      </c>
      <c r="N78" s="619">
        <f>'Ertragsv. 2027'!M27</f>
        <v>0</v>
      </c>
      <c r="O78" s="619">
        <f>'Ertragsv. 2027'!N27</f>
        <v>0</v>
      </c>
      <c r="P78" s="651">
        <f t="shared" si="25"/>
        <v>0</v>
      </c>
      <c r="Q78" s="676"/>
    </row>
    <row r="79" spans="1:17" ht="15.75" customHeight="1">
      <c r="A79" s="675"/>
      <c r="B79" s="2049" t="s">
        <v>357</v>
      </c>
      <c r="C79" s="620"/>
      <c r="D79" s="83"/>
      <c r="E79" s="84"/>
      <c r="F79" s="84"/>
      <c r="G79" s="84"/>
      <c r="H79" s="84"/>
      <c r="I79" s="84"/>
      <c r="J79" s="84"/>
      <c r="K79" s="84"/>
      <c r="L79" s="84"/>
      <c r="M79" s="84"/>
      <c r="N79" s="84"/>
      <c r="O79" s="85"/>
      <c r="P79" s="651">
        <f t="shared" si="25"/>
        <v>0</v>
      </c>
      <c r="Q79" s="676"/>
    </row>
    <row r="80" spans="1:17" ht="15.75" customHeight="1" thickBot="1">
      <c r="A80" s="675"/>
      <c r="B80" s="656" t="s">
        <v>358</v>
      </c>
      <c r="C80" s="623"/>
      <c r="D80" s="624">
        <f>SUM(D70:D79)</f>
        <v>0</v>
      </c>
      <c r="E80" s="624">
        <f t="shared" ref="E80:P80" si="27">SUM(E70:E79)</f>
        <v>0</v>
      </c>
      <c r="F80" s="624">
        <f t="shared" si="27"/>
        <v>0</v>
      </c>
      <c r="G80" s="624">
        <f t="shared" si="27"/>
        <v>0</v>
      </c>
      <c r="H80" s="624">
        <f t="shared" si="27"/>
        <v>0</v>
      </c>
      <c r="I80" s="624">
        <f t="shared" si="27"/>
        <v>0</v>
      </c>
      <c r="J80" s="624">
        <f t="shared" si="27"/>
        <v>0</v>
      </c>
      <c r="K80" s="624">
        <f t="shared" si="27"/>
        <v>0</v>
      </c>
      <c r="L80" s="624">
        <f t="shared" si="27"/>
        <v>0</v>
      </c>
      <c r="M80" s="624">
        <f t="shared" si="27"/>
        <v>0</v>
      </c>
      <c r="N80" s="624">
        <f t="shared" si="27"/>
        <v>0</v>
      </c>
      <c r="O80" s="624">
        <f t="shared" si="27"/>
        <v>0</v>
      </c>
      <c r="P80" s="653">
        <f t="shared" si="27"/>
        <v>0</v>
      </c>
      <c r="Q80" s="676"/>
    </row>
    <row r="81" spans="1:17" ht="15.75" customHeight="1" thickTop="1" thickBot="1">
      <c r="A81" s="675"/>
      <c r="B81" s="657" t="s">
        <v>359</v>
      </c>
      <c r="C81" s="166"/>
      <c r="D81" s="624">
        <f>D68-D80</f>
        <v>0</v>
      </c>
      <c r="E81" s="624">
        <f t="shared" ref="E81:O81" si="28">E68-E80</f>
        <v>0</v>
      </c>
      <c r="F81" s="624">
        <f t="shared" si="28"/>
        <v>0</v>
      </c>
      <c r="G81" s="624">
        <f t="shared" si="28"/>
        <v>0</v>
      </c>
      <c r="H81" s="624">
        <f t="shared" si="28"/>
        <v>0</v>
      </c>
      <c r="I81" s="624">
        <f t="shared" si="28"/>
        <v>0</v>
      </c>
      <c r="J81" s="624">
        <f t="shared" si="28"/>
        <v>0</v>
      </c>
      <c r="K81" s="624">
        <f t="shared" si="28"/>
        <v>0</v>
      </c>
      <c r="L81" s="624">
        <f t="shared" si="28"/>
        <v>0</v>
      </c>
      <c r="M81" s="624">
        <f t="shared" si="28"/>
        <v>0</v>
      </c>
      <c r="N81" s="624">
        <f t="shared" si="28"/>
        <v>0</v>
      </c>
      <c r="O81" s="624">
        <f t="shared" si="28"/>
        <v>0</v>
      </c>
      <c r="P81" s="658">
        <f>SUM(D81:O81)</f>
        <v>0</v>
      </c>
      <c r="Q81" s="676"/>
    </row>
    <row r="82" spans="1:17" ht="15.75" customHeight="1" thickTop="1" thickBot="1">
      <c r="A82" s="675"/>
      <c r="B82" s="657" t="s">
        <v>360</v>
      </c>
      <c r="C82" s="166"/>
      <c r="D82" s="624">
        <f>D81+P53</f>
        <v>0</v>
      </c>
      <c r="E82" s="624">
        <f t="shared" ref="E82:O82" si="29">D82+E81</f>
        <v>0</v>
      </c>
      <c r="F82" s="624">
        <f t="shared" si="29"/>
        <v>0</v>
      </c>
      <c r="G82" s="624">
        <f t="shared" si="29"/>
        <v>0</v>
      </c>
      <c r="H82" s="624">
        <f t="shared" si="29"/>
        <v>0</v>
      </c>
      <c r="I82" s="624">
        <f t="shared" si="29"/>
        <v>0</v>
      </c>
      <c r="J82" s="624">
        <f t="shared" si="29"/>
        <v>0</v>
      </c>
      <c r="K82" s="624">
        <f t="shared" si="29"/>
        <v>0</v>
      </c>
      <c r="L82" s="624">
        <f t="shared" si="29"/>
        <v>0</v>
      </c>
      <c r="M82" s="624">
        <f t="shared" si="29"/>
        <v>0</v>
      </c>
      <c r="N82" s="624">
        <f t="shared" si="29"/>
        <v>0</v>
      </c>
      <c r="O82" s="624">
        <f t="shared" si="29"/>
        <v>0</v>
      </c>
      <c r="P82" s="658">
        <f>O82</f>
        <v>0</v>
      </c>
      <c r="Q82" s="676"/>
    </row>
    <row r="83" spans="1:17" ht="7.5" customHeight="1" thickTop="1">
      <c r="A83" s="675"/>
      <c r="B83" s="659"/>
      <c r="C83" s="168"/>
      <c r="D83" s="173"/>
      <c r="E83" s="173"/>
      <c r="F83" s="173"/>
      <c r="G83" s="173"/>
      <c r="H83" s="173"/>
      <c r="I83" s="173"/>
      <c r="J83" s="173"/>
      <c r="K83" s="173"/>
      <c r="L83" s="173"/>
      <c r="M83" s="173"/>
      <c r="N83" s="173"/>
      <c r="O83" s="173"/>
      <c r="P83" s="660"/>
      <c r="Q83" s="676"/>
    </row>
    <row r="84" spans="1:17" ht="15.75" customHeight="1" thickBot="1">
      <c r="A84" s="675"/>
      <c r="B84" s="657" t="s">
        <v>361</v>
      </c>
      <c r="C84" s="166"/>
      <c r="D84" s="174">
        <f>O55</f>
        <v>0</v>
      </c>
      <c r="E84" s="174">
        <f>D84</f>
        <v>0</v>
      </c>
      <c r="F84" s="174">
        <f t="shared" ref="F84:O84" si="30">E84</f>
        <v>0</v>
      </c>
      <c r="G84" s="174">
        <f t="shared" si="30"/>
        <v>0</v>
      </c>
      <c r="H84" s="174">
        <f t="shared" si="30"/>
        <v>0</v>
      </c>
      <c r="I84" s="174">
        <f t="shared" si="30"/>
        <v>0</v>
      </c>
      <c r="J84" s="174">
        <f t="shared" si="30"/>
        <v>0</v>
      </c>
      <c r="K84" s="174">
        <f t="shared" si="30"/>
        <v>0</v>
      </c>
      <c r="L84" s="174">
        <f t="shared" si="30"/>
        <v>0</v>
      </c>
      <c r="M84" s="174">
        <f t="shared" si="30"/>
        <v>0</v>
      </c>
      <c r="N84" s="174">
        <f t="shared" si="30"/>
        <v>0</v>
      </c>
      <c r="O84" s="174">
        <f t="shared" si="30"/>
        <v>0</v>
      </c>
      <c r="P84" s="661"/>
      <c r="Q84" s="676"/>
    </row>
    <row r="85" spans="1:17" ht="7.5" customHeight="1" thickTop="1">
      <c r="A85" s="675"/>
      <c r="B85" s="659"/>
      <c r="C85" s="168"/>
      <c r="D85" s="173"/>
      <c r="E85" s="173"/>
      <c r="F85" s="173"/>
      <c r="G85" s="173"/>
      <c r="H85" s="173"/>
      <c r="I85" s="173"/>
      <c r="J85" s="173"/>
      <c r="K85" s="173"/>
      <c r="L85" s="173"/>
      <c r="M85" s="173"/>
      <c r="N85" s="173"/>
      <c r="O85" s="173"/>
      <c r="P85" s="660"/>
      <c r="Q85" s="676"/>
    </row>
    <row r="86" spans="1:17" ht="15.75" customHeight="1" thickBot="1">
      <c r="A86" s="675"/>
      <c r="B86" s="662" t="s">
        <v>362</v>
      </c>
      <c r="C86" s="663"/>
      <c r="D86" s="664">
        <f>D82+D84</f>
        <v>0</v>
      </c>
      <c r="E86" s="664">
        <f t="shared" ref="E86:O86" si="31">E82+E84</f>
        <v>0</v>
      </c>
      <c r="F86" s="664">
        <f t="shared" si="31"/>
        <v>0</v>
      </c>
      <c r="G86" s="664">
        <f t="shared" si="31"/>
        <v>0</v>
      </c>
      <c r="H86" s="664">
        <f t="shared" si="31"/>
        <v>0</v>
      </c>
      <c r="I86" s="664">
        <f t="shared" si="31"/>
        <v>0</v>
      </c>
      <c r="J86" s="664">
        <f t="shared" si="31"/>
        <v>0</v>
      </c>
      <c r="K86" s="664">
        <f t="shared" si="31"/>
        <v>0</v>
      </c>
      <c r="L86" s="664">
        <f t="shared" si="31"/>
        <v>0</v>
      </c>
      <c r="M86" s="664">
        <f>M82+M84</f>
        <v>0</v>
      </c>
      <c r="N86" s="664">
        <f t="shared" si="31"/>
        <v>0</v>
      </c>
      <c r="O86" s="664">
        <f t="shared" si="31"/>
        <v>0</v>
      </c>
      <c r="P86" s="665"/>
      <c r="Q86" s="676"/>
    </row>
    <row r="87" spans="1:17" ht="15.75" customHeight="1" thickBot="1">
      <c r="A87" s="677"/>
      <c r="B87" s="678"/>
      <c r="C87" s="678"/>
      <c r="D87" s="679"/>
      <c r="E87" s="679"/>
      <c r="F87" s="679"/>
      <c r="G87" s="679"/>
      <c r="H87" s="679"/>
      <c r="I87" s="679"/>
      <c r="J87" s="679"/>
      <c r="K87" s="679"/>
      <c r="L87" s="679"/>
      <c r="M87" s="679"/>
      <c r="N87" s="679"/>
      <c r="O87" s="679"/>
      <c r="P87" s="679"/>
      <c r="Q87" s="680"/>
    </row>
    <row r="88" spans="1:17" ht="13.5" thickTop="1"/>
  </sheetData>
  <customSheetViews>
    <customSheetView guid="{A57FB75A-A9C6-4363-92C4-C633F764E6EC}" showGridLines="0" outlineSymbols="0" showRuler="0" topLeftCell="A37">
      <selection activeCell="H60" sqref="H60"/>
      <pageMargins left="0" right="0" top="0" bottom="0" header="0" footer="0"/>
      <pageSetup paperSize="9" scale="82" orientation="portrait"/>
      <headerFooter alignWithMargins="0">
        <oddHeader>Seite &amp;P&amp;R&amp;A</oddHeader>
        <oddFooter>&amp;R&amp;D</oddFooter>
      </headerFooter>
    </customSheetView>
    <customSheetView guid="{FC62AB03-1E1B-40DD-97B7-FC10FADA3A15}" showGridLines="0" outlineSymbols="0">
      <pane xSplit="3" ySplit="1" topLeftCell="J2" activePane="bottomRight" state="frozen"/>
      <selection pane="bottomRight" activeCell="J45" sqref="J45"/>
      <pageMargins left="0" right="0" top="0" bottom="0" header="0" footer="0"/>
      <pageSetup paperSize="9" scale="82" orientation="portrait" r:id="rId1"/>
      <headerFooter alignWithMargins="0">
        <oddHeader>Seite &amp;P&amp;R&amp;A</oddHeader>
        <oddFooter>&amp;R&amp;D</oddFooter>
      </headerFooter>
    </customSheetView>
  </customSheetViews>
  <mergeCells count="14">
    <mergeCell ref="C2:G2"/>
    <mergeCell ref="C31:G31"/>
    <mergeCell ref="C60:G60"/>
    <mergeCell ref="H1:J1"/>
    <mergeCell ref="B76:C76"/>
    <mergeCell ref="B3:C3"/>
    <mergeCell ref="B32:C32"/>
    <mergeCell ref="B61:C61"/>
    <mergeCell ref="B7:C7"/>
    <mergeCell ref="B18:C18"/>
    <mergeCell ref="B47:C47"/>
    <mergeCell ref="B11:C11"/>
    <mergeCell ref="B36:C36"/>
    <mergeCell ref="B65:C65"/>
  </mergeCells>
  <phoneticPr fontId="0" type="noConversion"/>
  <conditionalFormatting sqref="D57:O58 D86:O86 D52:P53 D81:P82 D23:P24 D28:O29">
    <cfRule type="cellIs" dxfId="0" priority="1" stopIfTrue="1" operator="lessThan">
      <formula>0</formula>
    </cfRule>
  </conditionalFormatting>
  <pageMargins left="0.78740157480314965" right="0.78740157480314965" top="0.74803149606299213" bottom="0.62992125984251968" header="0.27559055118110237" footer="0.39370078740157483"/>
  <pageSetup paperSize="9" scale="42" orientation="portrait" r:id="rId2"/>
  <headerFooter alignWithMargins="0">
    <oddHeader>&amp;CSeite &amp;P</oddHeader>
    <oddFooter>&amp;LDie Vorlage dieser Datei wurde zur Verfügung gestellt durch die Wirtschafts-Senioren Hannover&amp;R&amp;D</oddFooter>
  </headerFooter>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A926-12B8-4304-886F-03F4CC1F492E}">
  <sheetPr>
    <tabColor indexed="44"/>
    <pageSetUpPr autoPageBreaks="0"/>
  </sheetPr>
  <dimension ref="A1:O54"/>
  <sheetViews>
    <sheetView showGridLines="0" showRuler="0" showOutlineSymbols="0" zoomScaleNormal="100" zoomScaleSheetLayoutView="100" zoomScalePageLayoutView="50" workbookViewId="0">
      <selection activeCell="J24" sqref="J24"/>
    </sheetView>
  </sheetViews>
  <sheetFormatPr defaultColWidth="11.42578125" defaultRowHeight="12.75"/>
  <cols>
    <col min="1" max="1" width="4.7109375" style="8" customWidth="1"/>
    <col min="2" max="2" width="33.85546875" style="1203" customWidth="1"/>
    <col min="3" max="4" width="12.42578125" style="1208" customWidth="1"/>
    <col min="5" max="5" width="11.28515625" style="8" customWidth="1"/>
    <col min="6" max="6" width="12.28515625" style="8" customWidth="1"/>
    <col min="7" max="7" width="17.140625" style="8" customWidth="1"/>
    <col min="8" max="8" width="11" style="1209" customWidth="1"/>
    <col min="9" max="9" width="11.140625" style="8" customWidth="1"/>
    <col min="10" max="10" width="47.140625" style="8" customWidth="1"/>
    <col min="11" max="11" width="1.140625" style="8" customWidth="1"/>
    <col min="12" max="12" width="12.7109375" style="8" customWidth="1"/>
    <col min="13" max="13" width="10.7109375" style="8" customWidth="1"/>
    <col min="14" max="14" width="13.140625" style="1207" customWidth="1"/>
    <col min="15" max="15" width="15.42578125" style="8" customWidth="1"/>
    <col min="16" max="16384" width="11.42578125" style="8"/>
  </cols>
  <sheetData>
    <row r="1" spans="1:15" ht="28.5" customHeight="1" thickTop="1" thickBot="1">
      <c r="A1" s="532"/>
      <c r="B1" s="2329" t="s">
        <v>368</v>
      </c>
      <c r="C1" s="2241"/>
      <c r="D1" s="2241"/>
      <c r="E1" s="2241"/>
      <c r="F1" s="1970">
        <f>Deckblatt!C7</f>
        <v>2025</v>
      </c>
      <c r="G1" s="2068"/>
      <c r="H1" s="2068"/>
      <c r="I1" s="2068"/>
      <c r="J1" s="701"/>
      <c r="K1" s="702"/>
      <c r="L1" s="1189"/>
      <c r="M1" s="1189"/>
      <c r="N1" s="1189"/>
      <c r="O1" s="1190"/>
    </row>
    <row r="2" spans="1:15" ht="39.75" customHeight="1" thickBot="1">
      <c r="A2" s="535"/>
      <c r="B2" s="2047" t="s">
        <v>369</v>
      </c>
      <c r="C2" s="198" t="s">
        <v>370</v>
      </c>
      <c r="D2" s="200" t="s">
        <v>371</v>
      </c>
      <c r="E2" s="201" t="s">
        <v>372</v>
      </c>
      <c r="F2" s="202" t="s">
        <v>373</v>
      </c>
      <c r="G2" s="198" t="s">
        <v>374</v>
      </c>
      <c r="H2" s="1438" t="s">
        <v>375</v>
      </c>
      <c r="I2" s="199" t="s">
        <v>376</v>
      </c>
      <c r="J2" s="692" t="s">
        <v>377</v>
      </c>
      <c r="K2" s="703"/>
      <c r="L2" s="1191"/>
      <c r="M2" s="1191"/>
      <c r="N2" s="1192"/>
      <c r="O2" s="1190"/>
    </row>
    <row r="3" spans="1:15" ht="15.75" customHeight="1" thickTop="1">
      <c r="A3" s="535"/>
      <c r="B3" s="203" t="s">
        <v>378</v>
      </c>
      <c r="C3" s="94"/>
      <c r="D3" s="100">
        <v>15</v>
      </c>
      <c r="E3" s="204">
        <f t="shared" ref="E3:E16" si="0">IF(D3&gt;0,100/D3,0)</f>
        <v>6.666666666666667</v>
      </c>
      <c r="F3" s="205">
        <f t="shared" ref="F3:F16" si="1">IF(AND(C3&gt;0,D3&gt;0),C3/D3/12,0)</f>
        <v>0</v>
      </c>
      <c r="G3" s="1439">
        <v>0</v>
      </c>
      <c r="H3" s="1440">
        <f>G3*I3</f>
        <v>0</v>
      </c>
      <c r="I3" s="1441"/>
      <c r="J3" s="29"/>
      <c r="K3" s="704"/>
      <c r="L3" s="1193"/>
      <c r="M3" s="1194"/>
      <c r="N3" s="1195"/>
      <c r="O3" s="1190"/>
    </row>
    <row r="4" spans="1:15" ht="15.75" customHeight="1">
      <c r="A4" s="535"/>
      <c r="B4" s="203" t="s">
        <v>379</v>
      </c>
      <c r="C4" s="94"/>
      <c r="D4" s="100">
        <v>0</v>
      </c>
      <c r="E4" s="206"/>
      <c r="F4" s="205"/>
      <c r="G4" s="2013"/>
      <c r="H4" s="123"/>
      <c r="I4" s="2014"/>
      <c r="J4" s="29"/>
      <c r="K4" s="704"/>
      <c r="L4" s="1193"/>
      <c r="M4" s="1194"/>
      <c r="N4" s="1195"/>
      <c r="O4" s="1190"/>
    </row>
    <row r="5" spans="1:15" ht="15.75" customHeight="1">
      <c r="A5" s="535"/>
      <c r="B5" s="203" t="s">
        <v>380</v>
      </c>
      <c r="C5" s="94"/>
      <c r="D5" s="100">
        <v>33</v>
      </c>
      <c r="E5" s="206">
        <f t="shared" si="0"/>
        <v>3.0303030303030303</v>
      </c>
      <c r="F5" s="205">
        <f t="shared" si="1"/>
        <v>0</v>
      </c>
      <c r="G5" s="1442">
        <v>0</v>
      </c>
      <c r="H5" s="123">
        <f t="shared" ref="H5:H16" si="2">G5*I5</f>
        <v>0</v>
      </c>
      <c r="I5" s="866"/>
      <c r="J5" s="44"/>
      <c r="K5" s="705"/>
      <c r="L5" s="1193"/>
      <c r="M5" s="1194"/>
      <c r="N5" s="1195"/>
      <c r="O5" s="1190"/>
    </row>
    <row r="6" spans="1:15" ht="15.75" customHeight="1">
      <c r="A6" s="535"/>
      <c r="B6" s="203" t="s">
        <v>381</v>
      </c>
      <c r="C6" s="94"/>
      <c r="D6" s="101">
        <v>8</v>
      </c>
      <c r="E6" s="206">
        <f t="shared" si="0"/>
        <v>12.5</v>
      </c>
      <c r="F6" s="205">
        <f t="shared" si="1"/>
        <v>0</v>
      </c>
      <c r="G6" s="1442">
        <v>0</v>
      </c>
      <c r="H6" s="123">
        <f t="shared" si="2"/>
        <v>0</v>
      </c>
      <c r="I6" s="867">
        <v>1.4999999999999999E-2</v>
      </c>
      <c r="J6" s="30" t="s">
        <v>382</v>
      </c>
      <c r="K6" s="704"/>
      <c r="L6" s="1193"/>
      <c r="M6" s="1196"/>
      <c r="N6" s="1197"/>
      <c r="O6" s="1190"/>
    </row>
    <row r="7" spans="1:15" ht="15.75" customHeight="1">
      <c r="A7" s="535"/>
      <c r="B7" s="203" t="s">
        <v>383</v>
      </c>
      <c r="C7" s="94"/>
      <c r="D7" s="101">
        <v>8</v>
      </c>
      <c r="E7" s="206">
        <f t="shared" si="0"/>
        <v>12.5</v>
      </c>
      <c r="F7" s="205">
        <f t="shared" si="1"/>
        <v>0</v>
      </c>
      <c r="G7" s="1442"/>
      <c r="H7" s="123">
        <f t="shared" si="2"/>
        <v>0</v>
      </c>
      <c r="I7" s="867"/>
      <c r="J7" s="30" t="s">
        <v>382</v>
      </c>
      <c r="K7" s="704"/>
      <c r="L7" s="1193"/>
      <c r="M7" s="1196"/>
      <c r="N7" s="1197"/>
      <c r="O7" s="1190"/>
    </row>
    <row r="8" spans="1:15" ht="15.75" customHeight="1">
      <c r="A8" s="535"/>
      <c r="B8" s="203" t="s">
        <v>384</v>
      </c>
      <c r="C8" s="95"/>
      <c r="D8" s="101">
        <v>6</v>
      </c>
      <c r="E8" s="206">
        <f t="shared" si="0"/>
        <v>16.666666666666668</v>
      </c>
      <c r="F8" s="205">
        <f t="shared" si="1"/>
        <v>0</v>
      </c>
      <c r="G8" s="1442">
        <v>0</v>
      </c>
      <c r="H8" s="123">
        <f t="shared" si="2"/>
        <v>0</v>
      </c>
      <c r="I8" s="867">
        <v>1.2999999999999999E-2</v>
      </c>
      <c r="J8" s="30"/>
      <c r="K8" s="704"/>
      <c r="L8" s="1193"/>
      <c r="M8" s="1196"/>
      <c r="N8" s="1197"/>
      <c r="O8" s="1190"/>
    </row>
    <row r="9" spans="1:15" ht="15.75" customHeight="1">
      <c r="A9" s="535"/>
      <c r="B9" s="203" t="s">
        <v>385</v>
      </c>
      <c r="C9" s="95"/>
      <c r="D9" s="101">
        <v>9</v>
      </c>
      <c r="E9" s="206">
        <f t="shared" si="0"/>
        <v>11.111111111111111</v>
      </c>
      <c r="F9" s="205">
        <f t="shared" si="1"/>
        <v>0</v>
      </c>
      <c r="G9" s="1442"/>
      <c r="H9" s="123">
        <f t="shared" si="2"/>
        <v>0</v>
      </c>
      <c r="I9" s="867"/>
      <c r="J9" s="30"/>
      <c r="K9" s="704"/>
      <c r="L9" s="1193"/>
      <c r="M9" s="1196"/>
      <c r="N9" s="1197"/>
      <c r="O9" s="1190"/>
    </row>
    <row r="10" spans="1:15" ht="15.75" customHeight="1">
      <c r="A10" s="535"/>
      <c r="B10" s="203" t="s">
        <v>386</v>
      </c>
      <c r="C10" s="95"/>
      <c r="D10" s="101">
        <v>8</v>
      </c>
      <c r="E10" s="206">
        <f t="shared" si="0"/>
        <v>12.5</v>
      </c>
      <c r="F10" s="205">
        <f t="shared" si="1"/>
        <v>0</v>
      </c>
      <c r="G10" s="1442">
        <v>0</v>
      </c>
      <c r="H10" s="123">
        <f t="shared" si="2"/>
        <v>0</v>
      </c>
      <c r="I10" s="867"/>
      <c r="J10" s="30" t="s">
        <v>382</v>
      </c>
      <c r="K10" s="704"/>
      <c r="L10" s="1193"/>
      <c r="M10" s="1196"/>
      <c r="N10" s="1197"/>
      <c r="O10" s="1190"/>
    </row>
    <row r="11" spans="1:15" ht="15.75" customHeight="1">
      <c r="A11" s="535"/>
      <c r="B11" s="203" t="s">
        <v>387</v>
      </c>
      <c r="C11" s="95"/>
      <c r="D11" s="101">
        <v>8</v>
      </c>
      <c r="E11" s="206">
        <f t="shared" si="0"/>
        <v>12.5</v>
      </c>
      <c r="F11" s="205">
        <f t="shared" si="1"/>
        <v>0</v>
      </c>
      <c r="G11" s="1442">
        <v>0</v>
      </c>
      <c r="H11" s="123">
        <f t="shared" si="2"/>
        <v>0</v>
      </c>
      <c r="I11" s="867"/>
      <c r="J11" s="30" t="s">
        <v>382</v>
      </c>
      <c r="K11" s="704"/>
      <c r="L11" s="1193"/>
      <c r="M11" s="1196"/>
      <c r="N11" s="1197"/>
      <c r="O11" s="1190"/>
    </row>
    <row r="12" spans="1:15" ht="15.75" customHeight="1">
      <c r="A12" s="535"/>
      <c r="B12" s="203" t="s">
        <v>388</v>
      </c>
      <c r="C12" s="95"/>
      <c r="D12" s="101">
        <v>3</v>
      </c>
      <c r="E12" s="206">
        <f t="shared" si="0"/>
        <v>33.333333333333336</v>
      </c>
      <c r="F12" s="205">
        <f t="shared" si="1"/>
        <v>0</v>
      </c>
      <c r="G12" s="1442">
        <v>0</v>
      </c>
      <c r="H12" s="123">
        <f t="shared" si="2"/>
        <v>0</v>
      </c>
      <c r="I12" s="867"/>
      <c r="J12" s="30"/>
      <c r="K12" s="704"/>
      <c r="L12" s="1193"/>
      <c r="M12" s="1196"/>
      <c r="N12" s="1197"/>
      <c r="O12" s="1190"/>
    </row>
    <row r="13" spans="1:15" ht="15.75" customHeight="1">
      <c r="A13" s="535"/>
      <c r="B13" s="203" t="s">
        <v>389</v>
      </c>
      <c r="C13" s="95"/>
      <c r="D13" s="101">
        <v>1</v>
      </c>
      <c r="E13" s="206">
        <f t="shared" si="0"/>
        <v>100</v>
      </c>
      <c r="F13" s="205">
        <f t="shared" si="1"/>
        <v>0</v>
      </c>
      <c r="G13" s="1442">
        <v>0</v>
      </c>
      <c r="H13" s="123">
        <f t="shared" si="2"/>
        <v>0</v>
      </c>
      <c r="I13" s="867"/>
      <c r="J13" s="214" t="s">
        <v>390</v>
      </c>
      <c r="K13" s="704"/>
      <c r="L13" s="1193"/>
      <c r="M13" s="1196"/>
      <c r="N13" s="1197"/>
      <c r="O13" s="1190"/>
    </row>
    <row r="14" spans="1:15" ht="15.75" customHeight="1">
      <c r="A14" s="535"/>
      <c r="B14" s="1827" t="s">
        <v>391</v>
      </c>
      <c r="C14" s="95"/>
      <c r="D14" s="101">
        <v>5</v>
      </c>
      <c r="E14" s="206">
        <f t="shared" si="0"/>
        <v>20</v>
      </c>
      <c r="F14" s="205">
        <f t="shared" si="1"/>
        <v>0</v>
      </c>
      <c r="G14" s="1442">
        <v>0</v>
      </c>
      <c r="H14" s="123">
        <f t="shared" si="2"/>
        <v>0</v>
      </c>
      <c r="I14" s="867"/>
      <c r="J14" s="1828" t="s">
        <v>392</v>
      </c>
      <c r="K14" s="704"/>
      <c r="L14" s="1193"/>
      <c r="M14" s="1196"/>
      <c r="N14" s="1197"/>
      <c r="O14" s="1190"/>
    </row>
    <row r="15" spans="1:15" ht="20.25" customHeight="1">
      <c r="A15" s="535"/>
      <c r="B15" s="180" t="s">
        <v>393</v>
      </c>
      <c r="C15" s="95"/>
      <c r="D15" s="101"/>
      <c r="E15" s="206">
        <f t="shared" si="0"/>
        <v>0</v>
      </c>
      <c r="F15" s="205">
        <f t="shared" si="1"/>
        <v>0</v>
      </c>
      <c r="G15" s="1442">
        <v>0</v>
      </c>
      <c r="H15" s="123">
        <f t="shared" si="2"/>
        <v>0</v>
      </c>
      <c r="I15" s="867">
        <v>0.01</v>
      </c>
      <c r="J15" s="693"/>
      <c r="K15" s="704"/>
      <c r="L15" s="1193"/>
      <c r="M15" s="1196"/>
      <c r="N15" s="1197"/>
      <c r="O15" s="1190"/>
    </row>
    <row r="16" spans="1:15" ht="15.75" customHeight="1" thickBot="1">
      <c r="A16" s="535"/>
      <c r="B16" s="180" t="s">
        <v>213</v>
      </c>
      <c r="C16" s="95"/>
      <c r="D16" s="101"/>
      <c r="E16" s="694">
        <f t="shared" si="0"/>
        <v>0</v>
      </c>
      <c r="F16" s="695">
        <f t="shared" si="1"/>
        <v>0</v>
      </c>
      <c r="G16" s="1443">
        <v>0</v>
      </c>
      <c r="H16" s="1444">
        <f t="shared" si="2"/>
        <v>0</v>
      </c>
      <c r="I16" s="1445"/>
      <c r="J16" s="214"/>
      <c r="K16" s="704"/>
      <c r="L16" s="1193"/>
      <c r="M16" s="1196"/>
      <c r="N16" s="1197"/>
      <c r="O16" s="1190"/>
    </row>
    <row r="17" spans="1:15" ht="15.75" customHeight="1" thickTop="1">
      <c r="A17" s="535"/>
      <c r="B17" s="178" t="s">
        <v>394</v>
      </c>
      <c r="C17" s="45"/>
      <c r="D17" s="48"/>
      <c r="E17" s="49"/>
      <c r="F17" s="50"/>
      <c r="G17" s="45"/>
      <c r="H17" s="46"/>
      <c r="I17" s="47"/>
      <c r="J17" s="61"/>
      <c r="K17" s="704"/>
      <c r="L17" s="1193"/>
      <c r="M17" s="1196"/>
      <c r="N17" s="1197"/>
      <c r="O17" s="1190"/>
    </row>
    <row r="18" spans="1:15" ht="15.75" customHeight="1">
      <c r="A18" s="535"/>
      <c r="B18" s="203" t="s">
        <v>395</v>
      </c>
      <c r="C18" s="95"/>
      <c r="D18" s="128"/>
      <c r="E18" s="128"/>
      <c r="F18" s="129"/>
      <c r="G18" s="127"/>
      <c r="H18" s="128"/>
      <c r="I18" s="128"/>
      <c r="J18" s="30"/>
      <c r="K18" s="704"/>
      <c r="L18" s="1193"/>
      <c r="M18" s="1196"/>
      <c r="N18" s="1197"/>
      <c r="O18" s="1190"/>
    </row>
    <row r="19" spans="1:15" ht="15.75" customHeight="1">
      <c r="A19" s="535"/>
      <c r="B19" s="203" t="s">
        <v>396</v>
      </c>
      <c r="C19" s="95">
        <v>0</v>
      </c>
      <c r="D19" s="128"/>
      <c r="E19" s="128"/>
      <c r="F19" s="129"/>
      <c r="G19" s="127"/>
      <c r="H19" s="128"/>
      <c r="I19" s="128"/>
      <c r="J19" s="30"/>
      <c r="K19" s="704"/>
      <c r="L19" s="1193"/>
      <c r="M19" s="1196"/>
      <c r="N19" s="1197"/>
      <c r="O19" s="1190"/>
    </row>
    <row r="20" spans="1:15" ht="15.75" customHeight="1">
      <c r="A20" s="535"/>
      <c r="B20" s="203" t="s">
        <v>397</v>
      </c>
      <c r="C20" s="95"/>
      <c r="D20" s="128"/>
      <c r="E20" s="128"/>
      <c r="F20" s="129"/>
      <c r="G20" s="127"/>
      <c r="H20" s="128"/>
      <c r="I20" s="128"/>
      <c r="J20" s="30"/>
      <c r="K20" s="704"/>
      <c r="L20" s="1193"/>
      <c r="M20" s="1196"/>
      <c r="N20" s="1197"/>
      <c r="O20" s="1190"/>
    </row>
    <row r="21" spans="1:15" ht="15.75" customHeight="1">
      <c r="A21" s="535"/>
      <c r="B21" s="203" t="s">
        <v>398</v>
      </c>
      <c r="C21" s="95">
        <v>0</v>
      </c>
      <c r="D21" s="128"/>
      <c r="E21" s="128"/>
      <c r="F21" s="129"/>
      <c r="G21" s="127"/>
      <c r="H21" s="128"/>
      <c r="I21" s="128"/>
      <c r="J21" s="30"/>
      <c r="K21" s="704"/>
      <c r="L21" s="1193"/>
      <c r="M21" s="1196"/>
      <c r="N21" s="1197"/>
      <c r="O21" s="1190"/>
    </row>
    <row r="22" spans="1:15" ht="15.75" customHeight="1">
      <c r="A22" s="535"/>
      <c r="B22" s="203" t="s">
        <v>213</v>
      </c>
      <c r="C22" s="95">
        <v>0</v>
      </c>
      <c r="D22" s="128"/>
      <c r="E22" s="128"/>
      <c r="F22" s="129"/>
      <c r="G22" s="127"/>
      <c r="H22" s="128"/>
      <c r="I22" s="128"/>
      <c r="J22" s="30"/>
      <c r="K22" s="704"/>
      <c r="L22" s="1193"/>
      <c r="M22" s="1196"/>
      <c r="N22" s="1197"/>
      <c r="O22" s="1190"/>
    </row>
    <row r="23" spans="1:15" ht="15.75" customHeight="1">
      <c r="A23" s="535"/>
      <c r="B23" s="178" t="s">
        <v>399</v>
      </c>
      <c r="C23" s="96"/>
      <c r="D23" s="96"/>
      <c r="E23" s="96"/>
      <c r="F23" s="98"/>
      <c r="G23" s="96"/>
      <c r="H23" s="97"/>
      <c r="I23" s="96"/>
      <c r="J23" s="30"/>
      <c r="K23" s="704"/>
      <c r="L23" s="1193"/>
      <c r="M23" s="1196"/>
      <c r="N23" s="1197"/>
      <c r="O23" s="1190"/>
    </row>
    <row r="24" spans="1:15" ht="15.75" customHeight="1">
      <c r="A24" s="535"/>
      <c r="B24" s="203" t="s">
        <v>400</v>
      </c>
      <c r="C24" s="95"/>
      <c r="D24" s="128"/>
      <c r="E24" s="128"/>
      <c r="F24" s="129"/>
      <c r="G24" s="127"/>
      <c r="H24" s="128"/>
      <c r="I24" s="128"/>
      <c r="J24" s="30"/>
      <c r="K24" s="704"/>
      <c r="L24" s="1193"/>
      <c r="M24" s="1196"/>
      <c r="N24" s="1197"/>
      <c r="O24" s="1190"/>
    </row>
    <row r="25" spans="1:15" ht="15.75" customHeight="1">
      <c r="A25" s="535"/>
      <c r="B25" s="203" t="s">
        <v>401</v>
      </c>
      <c r="C25" s="95"/>
      <c r="D25" s="128"/>
      <c r="E25" s="128"/>
      <c r="F25" s="129"/>
      <c r="G25" s="127"/>
      <c r="H25" s="128"/>
      <c r="I25" s="128"/>
      <c r="J25" s="30"/>
      <c r="K25" s="704"/>
      <c r="L25" s="1193"/>
      <c r="M25" s="1196"/>
      <c r="N25" s="1197"/>
      <c r="O25" s="1190"/>
    </row>
    <row r="26" spans="1:15" ht="15.75" customHeight="1">
      <c r="A26" s="535"/>
      <c r="B26" s="203" t="s">
        <v>402</v>
      </c>
      <c r="C26" s="95">
        <v>0</v>
      </c>
      <c r="D26" s="128"/>
      <c r="E26" s="128"/>
      <c r="F26" s="129"/>
      <c r="G26" s="127"/>
      <c r="H26" s="128"/>
      <c r="I26" s="128"/>
      <c r="J26" s="30"/>
      <c r="K26" s="704"/>
      <c r="L26" s="1193"/>
      <c r="M26" s="1196"/>
      <c r="N26" s="1197"/>
      <c r="O26" s="1190"/>
    </row>
    <row r="27" spans="1:15" ht="15.75" customHeight="1">
      <c r="A27" s="535"/>
      <c r="B27" s="203" t="s">
        <v>403</v>
      </c>
      <c r="C27" s="99">
        <v>0</v>
      </c>
      <c r="D27" s="128"/>
      <c r="E27" s="128"/>
      <c r="F27" s="129"/>
      <c r="G27" s="696"/>
      <c r="H27" s="128"/>
      <c r="I27" s="128"/>
      <c r="J27" s="30"/>
      <c r="K27" s="704"/>
      <c r="L27" s="1193"/>
      <c r="M27" s="1196"/>
      <c r="N27" s="1197"/>
      <c r="O27" s="1190"/>
    </row>
    <row r="28" spans="1:15" ht="15.75" customHeight="1" thickBot="1">
      <c r="A28" s="535"/>
      <c r="B28" s="207" t="s">
        <v>404</v>
      </c>
      <c r="C28" s="208">
        <f>SUM(C3:C27)</f>
        <v>0</v>
      </c>
      <c r="D28" s="125"/>
      <c r="E28" s="125"/>
      <c r="F28" s="126">
        <f>SUM(F3:F16)</f>
        <v>0</v>
      </c>
      <c r="G28" s="124">
        <f>SUM(G3:G16)</f>
        <v>0</v>
      </c>
      <c r="H28" s="124">
        <f>SUM(H3:H16)</f>
        <v>0</v>
      </c>
      <c r="I28" s="125"/>
      <c r="J28" s="30"/>
      <c r="K28" s="704"/>
      <c r="L28" s="1193"/>
      <c r="M28" s="1193"/>
      <c r="N28" s="1192"/>
      <c r="O28" s="1190"/>
    </row>
    <row r="29" spans="1:15" ht="15.75" customHeight="1" thickTop="1">
      <c r="A29" s="535"/>
      <c r="B29" s="209" t="s">
        <v>405</v>
      </c>
      <c r="C29" s="2327" t="s">
        <v>406</v>
      </c>
      <c r="D29" s="2327" t="s">
        <v>407</v>
      </c>
      <c r="E29" s="2327" t="s">
        <v>408</v>
      </c>
      <c r="F29" s="2327" t="s">
        <v>409</v>
      </c>
      <c r="G29" s="2330" t="s">
        <v>410</v>
      </c>
      <c r="H29" s="2327" t="s">
        <v>411</v>
      </c>
      <c r="I29" s="2327" t="s">
        <v>412</v>
      </c>
      <c r="J29" s="30"/>
      <c r="K29" s="537"/>
      <c r="L29" s="424"/>
      <c r="M29" s="424"/>
      <c r="N29" s="1192"/>
      <c r="O29" s="1190"/>
    </row>
    <row r="30" spans="1:15" ht="27" customHeight="1">
      <c r="A30" s="535"/>
      <c r="B30" s="210" t="s">
        <v>413</v>
      </c>
      <c r="C30" s="2328"/>
      <c r="D30" s="2328"/>
      <c r="E30" s="2328"/>
      <c r="F30" s="2328"/>
      <c r="G30" s="2331"/>
      <c r="H30" s="2328"/>
      <c r="I30" s="2328"/>
      <c r="J30" s="30"/>
      <c r="K30" s="706"/>
      <c r="L30" s="1198"/>
      <c r="M30" s="1198"/>
      <c r="N30" s="1195"/>
      <c r="O30" s="1190"/>
    </row>
    <row r="31" spans="1:15" ht="15.75" customHeight="1">
      <c r="A31" s="535"/>
      <c r="B31" s="203" t="s">
        <v>414</v>
      </c>
      <c r="C31" s="31"/>
      <c r="D31" s="31"/>
      <c r="E31" s="868"/>
      <c r="F31" s="697"/>
      <c r="G31" s="697"/>
      <c r="H31" s="697"/>
      <c r="I31" s="211"/>
      <c r="J31" s="30"/>
      <c r="K31" s="707"/>
      <c r="L31" s="1199"/>
      <c r="M31" s="1199"/>
      <c r="N31" s="1192"/>
      <c r="O31" s="1190"/>
    </row>
    <row r="32" spans="1:15" ht="15.75" customHeight="1">
      <c r="A32" s="535"/>
      <c r="B32" s="203" t="s">
        <v>415</v>
      </c>
      <c r="C32" s="31"/>
      <c r="D32" s="31"/>
      <c r="E32" s="868"/>
      <c r="F32" s="212"/>
      <c r="G32" s="212"/>
      <c r="H32" s="212"/>
      <c r="I32" s="213"/>
      <c r="J32" s="30"/>
      <c r="K32" s="707"/>
      <c r="L32" s="1199"/>
      <c r="M32" s="1199"/>
      <c r="N32" s="1192"/>
      <c r="O32" s="1190"/>
    </row>
    <row r="33" spans="1:15" ht="15.75" customHeight="1">
      <c r="A33" s="535"/>
      <c r="B33" s="203" t="s">
        <v>416</v>
      </c>
      <c r="C33" s="31"/>
      <c r="D33" s="31"/>
      <c r="E33" s="868"/>
      <c r="F33" s="212"/>
      <c r="G33" s="212"/>
      <c r="H33" s="212"/>
      <c r="I33" s="213"/>
      <c r="J33" s="30"/>
      <c r="K33" s="707"/>
      <c r="L33" s="1199"/>
      <c r="M33" s="1199"/>
      <c r="N33" s="1192"/>
      <c r="O33" s="1190"/>
    </row>
    <row r="34" spans="1:15" ht="15.75" customHeight="1">
      <c r="A34" s="535"/>
      <c r="B34" s="203" t="s">
        <v>417</v>
      </c>
      <c r="C34" s="32">
        <v>0</v>
      </c>
      <c r="D34" s="32" t="s">
        <v>418</v>
      </c>
      <c r="E34" s="869">
        <v>0.11</v>
      </c>
      <c r="F34" s="212">
        <f>C34*E34/12</f>
        <v>0</v>
      </c>
      <c r="G34" s="212"/>
      <c r="H34" s="212"/>
      <c r="I34" s="213"/>
      <c r="J34" s="30"/>
      <c r="K34" s="537"/>
      <c r="L34" s="1199"/>
      <c r="M34" s="1199"/>
      <c r="N34" s="1192"/>
      <c r="O34" s="1190"/>
    </row>
    <row r="35" spans="1:15" ht="15.75" customHeight="1">
      <c r="A35" s="535"/>
      <c r="B35" s="203" t="s">
        <v>419</v>
      </c>
      <c r="C35" s="32"/>
      <c r="D35" s="32">
        <v>6</v>
      </c>
      <c r="E35" s="869">
        <v>0.05</v>
      </c>
      <c r="F35" s="212">
        <f>C35*$E$35/12</f>
        <v>0</v>
      </c>
      <c r="G35" s="212">
        <f>IF(C35&gt;0,C35/D35/12,0)</f>
        <v>0</v>
      </c>
      <c r="H35" s="212">
        <f>(C35-(G35*12))*$E$35/12</f>
        <v>0</v>
      </c>
      <c r="I35" s="212">
        <f>(C35-(G35*24))*$E$35/12</f>
        <v>0</v>
      </c>
      <c r="J35" s="30"/>
      <c r="K35" s="537"/>
      <c r="L35" s="1199"/>
      <c r="M35" s="1199"/>
      <c r="N35" s="1200"/>
      <c r="O35" s="1190"/>
    </row>
    <row r="36" spans="1:15" ht="15.75" customHeight="1">
      <c r="A36" s="535"/>
      <c r="B36" s="203" t="s">
        <v>420</v>
      </c>
      <c r="C36" s="32"/>
      <c r="D36" s="32">
        <v>15</v>
      </c>
      <c r="E36" s="869">
        <v>0.03</v>
      </c>
      <c r="F36" s="212">
        <f>C36*E36/12</f>
        <v>0</v>
      </c>
      <c r="G36" s="212">
        <f>IF(C36&gt;0,C36/D36/12,0)</f>
        <v>0</v>
      </c>
      <c r="H36" s="212">
        <f>(C36-(G36*12))*$E$36/12</f>
        <v>0</v>
      </c>
      <c r="I36" s="212">
        <f>(C36-(G36*24))*$E$36/12</f>
        <v>0</v>
      </c>
      <c r="J36" s="30"/>
      <c r="K36" s="537"/>
      <c r="L36" s="1199"/>
      <c r="M36" s="1199"/>
      <c r="N36" s="1200"/>
      <c r="O36" s="1190"/>
    </row>
    <row r="37" spans="1:15" ht="15.75" customHeight="1">
      <c r="A37" s="535"/>
      <c r="B37" s="1802" t="s">
        <v>421</v>
      </c>
      <c r="C37" s="212">
        <f>'Mikrostarter Geschäftsplan'!E8</f>
        <v>0</v>
      </c>
      <c r="D37" s="212">
        <f>'Mikrostarter Geschäftsplan'!E9</f>
        <v>5</v>
      </c>
      <c r="E37" s="1943">
        <f>'Mikrostarter Geschäftsplan'!E10</f>
        <v>3.5000000000000003E-2</v>
      </c>
      <c r="F37" s="212">
        <f>'Mikrostarter Geschäftsplan'!D32/12</f>
        <v>0</v>
      </c>
      <c r="G37" s="212">
        <f>C37/(12*D37)</f>
        <v>0</v>
      </c>
      <c r="H37" s="212">
        <f>'Mikrostarter Geschäftsplan'!D45/12</f>
        <v>0</v>
      </c>
      <c r="I37" s="212">
        <f>+'Mikrostarter Geschäftsplan'!D50</f>
        <v>0</v>
      </c>
      <c r="J37" s="1951" t="s">
        <v>422</v>
      </c>
      <c r="K37" s="707"/>
      <c r="L37" s="1199"/>
      <c r="M37" s="1199"/>
      <c r="N37" s="1192"/>
      <c r="O37" s="1190"/>
    </row>
    <row r="38" spans="1:15" ht="15.75" customHeight="1" thickBot="1">
      <c r="A38" s="535"/>
      <c r="B38" s="698" t="s">
        <v>404</v>
      </c>
      <c r="C38" s="699">
        <f>SUM(C31:C37)</f>
        <v>0</v>
      </c>
      <c r="D38" s="700"/>
      <c r="E38" s="700"/>
      <c r="F38" s="699">
        <f>SUM(F34:F37)</f>
        <v>0</v>
      </c>
      <c r="G38" s="699">
        <f>SUM(G35:G37)</f>
        <v>0</v>
      </c>
      <c r="H38" s="699">
        <f>SUM(H34:H37)</f>
        <v>0</v>
      </c>
      <c r="I38" s="699">
        <f>SUM(I34:I37)</f>
        <v>0</v>
      </c>
      <c r="J38" s="33"/>
      <c r="K38" s="707"/>
      <c r="L38" s="1199"/>
      <c r="M38" s="1199"/>
      <c r="N38" s="1192"/>
      <c r="O38" s="1190"/>
    </row>
    <row r="39" spans="1:15" ht="15.75" customHeight="1" thickBot="1">
      <c r="A39" s="590"/>
      <c r="B39" s="592"/>
      <c r="C39" s="708"/>
      <c r="D39" s="708"/>
      <c r="E39" s="591"/>
      <c r="F39" s="591"/>
      <c r="G39" s="591"/>
      <c r="H39" s="594"/>
      <c r="I39" s="591"/>
      <c r="J39" s="591"/>
      <c r="K39" s="709"/>
      <c r="L39" s="1201"/>
      <c r="M39" s="1201"/>
      <c r="N39" s="1202"/>
      <c r="O39" s="1190"/>
    </row>
    <row r="40" spans="1:15" ht="13.5" thickTop="1">
      <c r="A40" s="21"/>
      <c r="C40" s="1204"/>
      <c r="D40" s="1204"/>
      <c r="E40" s="1205"/>
      <c r="F40" s="1205"/>
      <c r="G40" s="1205"/>
      <c r="H40" s="1206"/>
      <c r="I40" s="1205"/>
      <c r="J40" s="1205"/>
      <c r="K40" s="1205"/>
      <c r="L40" s="1205"/>
      <c r="M40" s="1205"/>
    </row>
    <row r="41" spans="1:15">
      <c r="J41" s="1944"/>
    </row>
    <row r="54" spans="3:3">
      <c r="C54" s="1208">
        <f>IF(H18=0,C18,0)</f>
        <v>0</v>
      </c>
    </row>
  </sheetData>
  <customSheetViews>
    <customSheetView guid="{A57FB75A-A9C6-4363-92C4-C633F764E6EC}" showGridLines="0" outlineSymbols="0" showRuler="0">
      <pane ySplit="2" topLeftCell="A21" activePane="bottomLeft" state="frozen"/>
      <selection pane="bottomLeft" activeCell="H30" sqref="H30"/>
      <pageMargins left="0" right="0" top="0" bottom="0" header="0" footer="0"/>
      <pageSetup paperSize="9" scale="90" orientation="landscape"/>
      <headerFooter alignWithMargins="0">
        <oddHeader>Seite &amp;P&amp;R&amp;A</oddHeader>
        <oddFooter>&amp;L&amp;D&amp;R&amp;P</oddFooter>
      </headerFooter>
    </customSheetView>
    <customSheetView guid="{FC62AB03-1E1B-40DD-97B7-FC10FADA3A15}" showPageBreaks="1" showGridLines="0" outlineSymbols="0" printArea="1">
      <pane ySplit="2" topLeftCell="A3" activePane="bottomLeft" state="frozen"/>
      <selection pane="bottomLeft" activeCell="D3" sqref="D3"/>
      <pageMargins left="0" right="0" top="0" bottom="0" header="0" footer="0"/>
      <pageSetup paperSize="9" scale="90" orientation="landscape" r:id="rId1"/>
      <headerFooter alignWithMargins="0">
        <oddHeader>Seite &amp;P&amp;R&amp;A</oddHeader>
        <oddFooter>&amp;L&amp;D&amp;R&amp;P</oddFooter>
      </headerFooter>
    </customSheetView>
  </customSheetViews>
  <mergeCells count="8">
    <mergeCell ref="I29:I30"/>
    <mergeCell ref="B1:E1"/>
    <mergeCell ref="E29:E30"/>
    <mergeCell ref="F29:F30"/>
    <mergeCell ref="G29:G30"/>
    <mergeCell ref="D29:D30"/>
    <mergeCell ref="C29:C30"/>
    <mergeCell ref="H29:H30"/>
  </mergeCells>
  <phoneticPr fontId="0" type="noConversion"/>
  <pageMargins left="0.78740157480314965" right="0.78740157480314965" top="1.8503937007874016" bottom="0.98425196850393704" header="0.51181102362204722" footer="0.51181102362204722"/>
  <pageSetup paperSize="9" scale="61" orientation="landscape" r:id="rId2"/>
  <headerFooter alignWithMargins="0">
    <oddHeader>&amp;CSeite &amp;P</oddHeader>
    <oddFooter>&amp;LDie Vorlage dieser Datei wurde zur Verfügung gestellt durch die Wirtschafts-Senioren Hannover&amp;R&amp;D</oddFooter>
  </headerFooter>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DBFB-C3AC-4A3F-940E-10618A1CFB64}">
  <dimension ref="A1:M121"/>
  <sheetViews>
    <sheetView zoomScale="130" zoomScaleNormal="130" workbookViewId="0">
      <selection activeCell="E11" sqref="E11"/>
    </sheetView>
  </sheetViews>
  <sheetFormatPr defaultColWidth="11.42578125" defaultRowHeight="12.75"/>
  <cols>
    <col min="1" max="1" width="24.42578125" style="1878" customWidth="1"/>
    <col min="2" max="2" width="7.5703125" style="1878" customWidth="1"/>
    <col min="3" max="6" width="11.42578125" style="1878"/>
    <col min="7" max="7" width="11.85546875" style="1878" bestFit="1" customWidth="1"/>
    <col min="8" max="9" width="11.42578125" style="1878"/>
    <col min="10" max="10" width="0" style="1878" hidden="1" customWidth="1"/>
    <col min="11" max="16384" width="11.42578125" style="1878"/>
  </cols>
  <sheetData>
    <row r="1" spans="1:13" ht="14.25">
      <c r="A1"/>
      <c r="B1" s="2333" t="s">
        <v>423</v>
      </c>
      <c r="C1" s="2333"/>
      <c r="D1" s="2333"/>
      <c r="E1" s="2333"/>
      <c r="F1" s="2333"/>
      <c r="G1" s="1911"/>
      <c r="H1" s="1911"/>
      <c r="I1" s="1911"/>
      <c r="K1" s="1952"/>
      <c r="L1" s="1952"/>
    </row>
    <row r="2" spans="1:13" ht="15">
      <c r="A2"/>
      <c r="B2" s="1912"/>
      <c r="C2" s="1913"/>
      <c r="D2" s="1913"/>
      <c r="E2" s="1913"/>
      <c r="F2" s="1913"/>
      <c r="G2" s="1911"/>
      <c r="H2" s="1911"/>
      <c r="I2" s="1911"/>
      <c r="K2" s="1952"/>
      <c r="L2" s="1952"/>
    </row>
    <row r="3" spans="1:13" ht="31.5">
      <c r="A3" s="1955" t="s">
        <v>424</v>
      </c>
      <c r="B3" s="2334" t="s">
        <v>425</v>
      </c>
      <c r="C3" s="2335"/>
      <c r="D3" s="2335"/>
      <c r="E3" s="2335"/>
      <c r="F3" s="2335"/>
      <c r="G3" s="1914"/>
      <c r="H3" s="1914"/>
      <c r="I3" s="1914"/>
      <c r="K3" s="1953"/>
      <c r="L3" s="1954"/>
      <c r="M3" s="1953"/>
    </row>
    <row r="4" spans="1:13" ht="26.25">
      <c r="A4"/>
      <c r="B4" s="2050"/>
      <c r="C4" s="2051"/>
      <c r="D4" s="2051"/>
      <c r="E4" s="2051"/>
      <c r="F4" s="2051"/>
      <c r="G4" s="1914"/>
      <c r="H4" s="1914"/>
      <c r="I4" s="1914"/>
    </row>
    <row r="5" spans="1:13">
      <c r="A5"/>
      <c r="B5" s="2336" t="s">
        <v>426</v>
      </c>
      <c r="C5" s="2337"/>
      <c r="D5" s="2337"/>
      <c r="E5" s="2337"/>
      <c r="F5" s="2337"/>
      <c r="G5" s="1911"/>
      <c r="H5" s="1911"/>
      <c r="I5" s="1911"/>
    </row>
    <row r="6" spans="1:13">
      <c r="A6"/>
      <c r="B6" s="2338"/>
      <c r="C6" s="2338"/>
      <c r="D6" s="2338"/>
      <c r="E6" s="2338"/>
      <c r="F6" s="2338"/>
      <c r="G6" s="1911"/>
      <c r="H6" s="1911"/>
      <c r="I6" s="1911"/>
    </row>
    <row r="7" spans="1:13" ht="13.5" thickBot="1">
      <c r="A7"/>
      <c r="B7" s="2338"/>
      <c r="C7" s="2338"/>
      <c r="D7" s="2338"/>
      <c r="E7" s="2338"/>
      <c r="F7" s="2338"/>
      <c r="G7" s="1911"/>
      <c r="H7" s="1911"/>
      <c r="I7" s="1911"/>
    </row>
    <row r="8" spans="1:13" ht="15">
      <c r="A8"/>
      <c r="B8" s="1915"/>
      <c r="C8" s="1937" t="s">
        <v>427</v>
      </c>
      <c r="D8" s="1938"/>
      <c r="E8" s="1939">
        <v>0</v>
      </c>
      <c r="F8" s="1940"/>
      <c r="G8" s="1911"/>
      <c r="H8" s="1911"/>
      <c r="I8" s="1911"/>
    </row>
    <row r="9" spans="1:13" ht="14.25">
      <c r="A9"/>
      <c r="B9" s="1916"/>
      <c r="C9" s="1941" t="s">
        <v>428</v>
      </c>
      <c r="D9" s="1892"/>
      <c r="E9" s="1893">
        <v>5</v>
      </c>
      <c r="F9" s="1942"/>
      <c r="G9" s="1911"/>
      <c r="H9" s="1911"/>
      <c r="I9" s="1911"/>
    </row>
    <row r="10" spans="1:13">
      <c r="A10"/>
      <c r="B10" s="1917"/>
      <c r="C10" s="1919" t="s">
        <v>429</v>
      </c>
      <c r="D10" s="1919"/>
      <c r="E10" s="1922">
        <v>3.5000000000000003E-2</v>
      </c>
      <c r="F10" s="1921" t="s">
        <v>430</v>
      </c>
      <c r="G10" s="1911"/>
      <c r="H10" s="1911"/>
      <c r="I10" s="1911"/>
    </row>
    <row r="11" spans="1:13">
      <c r="A11"/>
      <c r="B11" s="1917"/>
      <c r="C11" s="1918" t="s">
        <v>431</v>
      </c>
      <c r="D11" s="1919"/>
      <c r="E11" s="1920"/>
      <c r="F11" s="1921"/>
      <c r="G11" s="1911"/>
      <c r="H11" s="1911"/>
      <c r="I11" s="1911"/>
    </row>
    <row r="12" spans="1:13">
      <c r="A12"/>
      <c r="B12" s="1917"/>
      <c r="C12" s="1919" t="s">
        <v>432</v>
      </c>
      <c r="D12" s="1919"/>
      <c r="E12" s="1922">
        <v>0</v>
      </c>
      <c r="F12" s="1921"/>
      <c r="G12" s="1911"/>
      <c r="H12" s="1911"/>
      <c r="I12" s="1911"/>
    </row>
    <row r="13" spans="1:13">
      <c r="A13"/>
      <c r="B13" s="1917"/>
      <c r="C13" s="1919" t="s">
        <v>433</v>
      </c>
      <c r="D13" s="1919"/>
      <c r="E13" s="1922">
        <v>0.01</v>
      </c>
      <c r="F13" s="1921" t="s">
        <v>434</v>
      </c>
      <c r="G13" s="1911"/>
      <c r="H13" s="1911"/>
      <c r="I13" s="1911"/>
    </row>
    <row r="14" spans="1:13" ht="13.5" thickBot="1">
      <c r="A14"/>
      <c r="B14" s="1917"/>
      <c r="C14" s="1919" t="s">
        <v>435</v>
      </c>
      <c r="D14" s="1919"/>
      <c r="E14" s="1922">
        <f>88/(E9*12-18)/100</f>
        <v>2.0952380952380955E-2</v>
      </c>
      <c r="F14" s="1921" t="s">
        <v>436</v>
      </c>
      <c r="G14" s="1911"/>
      <c r="H14" s="1911"/>
      <c r="J14" s="1911">
        <v>2</v>
      </c>
    </row>
    <row r="15" spans="1:13" ht="13.5" thickBot="1">
      <c r="A15"/>
      <c r="B15" s="1923" t="s">
        <v>181</v>
      </c>
      <c r="C15" s="1924" t="s">
        <v>431</v>
      </c>
      <c r="D15" s="1924" t="s">
        <v>126</v>
      </c>
      <c r="E15" s="1925" t="s">
        <v>437</v>
      </c>
      <c r="F15" s="1926" t="s">
        <v>438</v>
      </c>
      <c r="G15" s="1927"/>
      <c r="H15" s="1927"/>
      <c r="J15" s="1927">
        <v>3</v>
      </c>
    </row>
    <row r="16" spans="1:13">
      <c r="A16"/>
      <c r="B16" s="1928">
        <v>1</v>
      </c>
      <c r="C16" s="1929">
        <f t="shared" ref="C16:C22" si="0">ROUND($E$8,1)*$E$12</f>
        <v>0</v>
      </c>
      <c r="D16" s="1929">
        <f>E8*E10/12</f>
        <v>0</v>
      </c>
      <c r="E16" s="1930">
        <f t="shared" ref="E16:E44" si="1">ROUND(C16,2)+ROUND(D16,2)</f>
        <v>0</v>
      </c>
      <c r="F16" s="1929">
        <f>E8-C16</f>
        <v>0</v>
      </c>
      <c r="G16" s="1927"/>
      <c r="H16" s="1927"/>
      <c r="J16" s="1927">
        <v>4</v>
      </c>
    </row>
    <row r="17" spans="1:10">
      <c r="A17"/>
      <c r="B17" s="1931">
        <v>2</v>
      </c>
      <c r="C17" s="1932">
        <f t="shared" si="0"/>
        <v>0</v>
      </c>
      <c r="D17" s="1932">
        <f t="shared" ref="D17:D44" si="2">ROUND(F16,2)*$E$10/12</f>
        <v>0</v>
      </c>
      <c r="E17" s="1933">
        <f t="shared" si="1"/>
        <v>0</v>
      </c>
      <c r="F17" s="1932">
        <f t="shared" ref="F17:F44" si="3">ROUND(F16,2)-C17</f>
        <v>0</v>
      </c>
      <c r="G17" s="1927"/>
      <c r="H17" s="1927"/>
      <c r="J17" s="1927">
        <v>5</v>
      </c>
    </row>
    <row r="18" spans="1:10">
      <c r="A18"/>
      <c r="B18" s="1931">
        <v>3</v>
      </c>
      <c r="C18" s="1932">
        <f t="shared" si="0"/>
        <v>0</v>
      </c>
      <c r="D18" s="1932">
        <f t="shared" si="2"/>
        <v>0</v>
      </c>
      <c r="E18" s="1933">
        <f t="shared" si="1"/>
        <v>0</v>
      </c>
      <c r="F18" s="1932">
        <f t="shared" si="3"/>
        <v>0</v>
      </c>
      <c r="G18" s="1927"/>
      <c r="H18" s="1927"/>
      <c r="I18" s="1927"/>
    </row>
    <row r="19" spans="1:10">
      <c r="A19"/>
      <c r="B19" s="1948" t="s">
        <v>439</v>
      </c>
      <c r="C19" s="1949">
        <f>SUM(C16:C18)</f>
        <v>0</v>
      </c>
      <c r="D19" s="1949">
        <f>SUM(D16:D18)</f>
        <v>0</v>
      </c>
      <c r="E19" s="1950">
        <f>SUM(E16:E18)</f>
        <v>0</v>
      </c>
      <c r="F19" s="1949"/>
      <c r="G19" s="1927"/>
      <c r="H19" s="1927"/>
      <c r="I19" s="1927"/>
    </row>
    <row r="20" spans="1:10">
      <c r="A20"/>
      <c r="B20" s="1931">
        <v>4</v>
      </c>
      <c r="C20" s="1932">
        <f t="shared" si="0"/>
        <v>0</v>
      </c>
      <c r="D20" s="1932">
        <f>ROUND(F18,2)*$E$10/12</f>
        <v>0</v>
      </c>
      <c r="E20" s="1933">
        <f t="shared" si="1"/>
        <v>0</v>
      </c>
      <c r="F20" s="1932">
        <f>ROUND(F18,2)-C20</f>
        <v>0</v>
      </c>
      <c r="G20" s="1927"/>
      <c r="H20" s="1927"/>
      <c r="I20" s="1927"/>
    </row>
    <row r="21" spans="1:10">
      <c r="A21"/>
      <c r="B21" s="1931">
        <v>5</v>
      </c>
      <c r="C21" s="1932">
        <f t="shared" si="0"/>
        <v>0</v>
      </c>
      <c r="D21" s="1932">
        <f t="shared" si="2"/>
        <v>0</v>
      </c>
      <c r="E21" s="1933">
        <f t="shared" si="1"/>
        <v>0</v>
      </c>
      <c r="F21" s="1932">
        <f t="shared" si="3"/>
        <v>0</v>
      </c>
      <c r="G21" s="1927"/>
      <c r="H21" s="1927"/>
      <c r="I21" s="1927"/>
    </row>
    <row r="22" spans="1:10">
      <c r="A22"/>
      <c r="B22" s="1931">
        <v>6</v>
      </c>
      <c r="C22" s="1932">
        <f t="shared" si="0"/>
        <v>0</v>
      </c>
      <c r="D22" s="1932">
        <f t="shared" si="2"/>
        <v>0</v>
      </c>
      <c r="E22" s="1933">
        <f t="shared" si="1"/>
        <v>0</v>
      </c>
      <c r="F22" s="1932">
        <f t="shared" si="3"/>
        <v>0</v>
      </c>
      <c r="G22" s="1927"/>
      <c r="H22" s="1927"/>
      <c r="I22" s="1927"/>
    </row>
    <row r="23" spans="1:10">
      <c r="A23"/>
      <c r="B23" s="1945" t="s">
        <v>440</v>
      </c>
      <c r="C23" s="1946">
        <f>SUM(C20:C22)</f>
        <v>0</v>
      </c>
      <c r="D23" s="1946">
        <f>SUM(D20:D22)</f>
        <v>0</v>
      </c>
      <c r="E23" s="1947">
        <f>SUM(E20:E22)</f>
        <v>0</v>
      </c>
      <c r="F23" s="1946"/>
      <c r="G23" s="1927"/>
      <c r="H23" s="1927"/>
      <c r="I23" s="1927"/>
    </row>
    <row r="24" spans="1:10">
      <c r="A24"/>
      <c r="B24" s="1931">
        <v>7</v>
      </c>
      <c r="C24" s="1932">
        <f t="shared" ref="C24:C38" si="4">ROUND($E$8,1)*$E$13</f>
        <v>0</v>
      </c>
      <c r="D24" s="1932">
        <f>ROUND(F22,2)*$E$10/12</f>
        <v>0</v>
      </c>
      <c r="E24" s="1933">
        <f t="shared" si="1"/>
        <v>0</v>
      </c>
      <c r="F24" s="1932">
        <f>ROUND(F22,2)-C24</f>
        <v>0</v>
      </c>
      <c r="G24" s="1927"/>
      <c r="H24" s="1927"/>
      <c r="I24" s="1927"/>
    </row>
    <row r="25" spans="1:10">
      <c r="A25"/>
      <c r="B25" s="1931">
        <v>8</v>
      </c>
      <c r="C25" s="1932">
        <f t="shared" si="4"/>
        <v>0</v>
      </c>
      <c r="D25" s="1932">
        <f t="shared" si="2"/>
        <v>0</v>
      </c>
      <c r="E25" s="1933">
        <f t="shared" si="1"/>
        <v>0</v>
      </c>
      <c r="F25" s="1932">
        <f t="shared" si="3"/>
        <v>0</v>
      </c>
      <c r="G25" s="1927"/>
      <c r="H25" s="1927"/>
      <c r="I25" s="1927"/>
    </row>
    <row r="26" spans="1:10">
      <c r="A26"/>
      <c r="B26" s="1931">
        <v>9</v>
      </c>
      <c r="C26" s="1932">
        <f t="shared" si="4"/>
        <v>0</v>
      </c>
      <c r="D26" s="1932">
        <f t="shared" si="2"/>
        <v>0</v>
      </c>
      <c r="E26" s="1933">
        <f t="shared" si="1"/>
        <v>0</v>
      </c>
      <c r="F26" s="1932">
        <f t="shared" si="3"/>
        <v>0</v>
      </c>
      <c r="G26" s="1927"/>
      <c r="H26" s="1927"/>
      <c r="I26" s="1927"/>
    </row>
    <row r="27" spans="1:10">
      <c r="A27"/>
      <c r="B27" s="1948" t="s">
        <v>441</v>
      </c>
      <c r="C27" s="1949">
        <f>SUM(C24:C26)</f>
        <v>0</v>
      </c>
      <c r="D27" s="1949">
        <f>SUM(D24:D26)</f>
        <v>0</v>
      </c>
      <c r="E27" s="1950">
        <f>SUM(E24:E26)</f>
        <v>0</v>
      </c>
      <c r="F27" s="1949"/>
      <c r="G27" s="1927"/>
      <c r="H27" s="1927"/>
      <c r="I27" s="1927"/>
    </row>
    <row r="28" spans="1:10">
      <c r="A28"/>
      <c r="B28" s="1931">
        <v>10</v>
      </c>
      <c r="C28" s="1932">
        <f t="shared" si="4"/>
        <v>0</v>
      </c>
      <c r="D28" s="1932">
        <f>ROUND(F26,2)*$E$10/12</f>
        <v>0</v>
      </c>
      <c r="E28" s="1933">
        <f t="shared" si="1"/>
        <v>0</v>
      </c>
      <c r="F28" s="1932">
        <f>ROUND(F26,2)-C28</f>
        <v>0</v>
      </c>
      <c r="G28" s="1927"/>
      <c r="H28" s="1927"/>
      <c r="I28" s="1927"/>
    </row>
    <row r="29" spans="1:10">
      <c r="A29"/>
      <c r="B29" s="1931">
        <v>11</v>
      </c>
      <c r="C29" s="1932">
        <f t="shared" si="4"/>
        <v>0</v>
      </c>
      <c r="D29" s="1932">
        <f t="shared" si="2"/>
        <v>0</v>
      </c>
      <c r="E29" s="1933">
        <f t="shared" si="1"/>
        <v>0</v>
      </c>
      <c r="F29" s="1932">
        <f t="shared" si="3"/>
        <v>0</v>
      </c>
      <c r="G29" s="1927"/>
      <c r="H29" s="1927"/>
      <c r="I29" s="1927"/>
    </row>
    <row r="30" spans="1:10">
      <c r="A30"/>
      <c r="B30" s="1931">
        <v>12</v>
      </c>
      <c r="C30" s="1932">
        <f t="shared" si="4"/>
        <v>0</v>
      </c>
      <c r="D30" s="1932">
        <f t="shared" si="2"/>
        <v>0</v>
      </c>
      <c r="E30" s="1933">
        <f t="shared" si="1"/>
        <v>0</v>
      </c>
      <c r="F30" s="1932">
        <f t="shared" si="3"/>
        <v>0</v>
      </c>
      <c r="G30" s="1927"/>
      <c r="H30" s="1927"/>
      <c r="I30" s="1927"/>
    </row>
    <row r="31" spans="1:10">
      <c r="A31"/>
      <c r="B31" s="1948" t="s">
        <v>442</v>
      </c>
      <c r="C31" s="1949">
        <f>SUM(C28:C30)</f>
        <v>0</v>
      </c>
      <c r="D31" s="1949">
        <f>SUM(D28:D30)</f>
        <v>0</v>
      </c>
      <c r="E31" s="1950">
        <f t="shared" si="1"/>
        <v>0</v>
      </c>
      <c r="F31" s="1949"/>
      <c r="G31" s="1927"/>
      <c r="H31" s="1927"/>
      <c r="I31" s="1927"/>
    </row>
    <row r="32" spans="1:10">
      <c r="A32"/>
      <c r="B32" s="1948" t="s">
        <v>443</v>
      </c>
      <c r="C32" s="1949">
        <f>C19+C23+C27+C31</f>
        <v>0</v>
      </c>
      <c r="D32" s="1949">
        <f>D19+D23+D27+D31</f>
        <v>0</v>
      </c>
      <c r="E32" s="1949">
        <f>E19+E23+E27+E31</f>
        <v>0</v>
      </c>
      <c r="F32" s="1949"/>
      <c r="G32" s="1927"/>
      <c r="H32" s="1927"/>
      <c r="I32" s="1927"/>
    </row>
    <row r="33" spans="1:9">
      <c r="A33"/>
      <c r="B33" s="1931">
        <v>13</v>
      </c>
      <c r="C33" s="1932">
        <f t="shared" si="4"/>
        <v>0</v>
      </c>
      <c r="D33" s="1932">
        <f>ROUND(F30,2)*$E$10/12</f>
        <v>0</v>
      </c>
      <c r="E33" s="1933">
        <f t="shared" si="1"/>
        <v>0</v>
      </c>
      <c r="F33" s="1932">
        <f>ROUND(F30,2)-C33</f>
        <v>0</v>
      </c>
      <c r="G33" s="1927"/>
      <c r="H33" s="1927"/>
      <c r="I33" s="1927"/>
    </row>
    <row r="34" spans="1:9">
      <c r="A34"/>
      <c r="B34" s="1931">
        <v>14</v>
      </c>
      <c r="C34" s="1932">
        <f t="shared" si="4"/>
        <v>0</v>
      </c>
      <c r="D34" s="1932">
        <f t="shared" si="2"/>
        <v>0</v>
      </c>
      <c r="E34" s="1933">
        <f t="shared" si="1"/>
        <v>0</v>
      </c>
      <c r="F34" s="1932">
        <f t="shared" si="3"/>
        <v>0</v>
      </c>
      <c r="G34" s="1927"/>
      <c r="H34" s="1927"/>
      <c r="I34" s="1927"/>
    </row>
    <row r="35" spans="1:9">
      <c r="A35"/>
      <c r="B35" s="1931">
        <v>15</v>
      </c>
      <c r="C35" s="1932">
        <f t="shared" si="4"/>
        <v>0</v>
      </c>
      <c r="D35" s="1932">
        <f t="shared" si="2"/>
        <v>0</v>
      </c>
      <c r="E35" s="1933">
        <f t="shared" si="1"/>
        <v>0</v>
      </c>
      <c r="F35" s="1932">
        <f t="shared" si="3"/>
        <v>0</v>
      </c>
      <c r="G35" s="1927"/>
      <c r="H35" s="1927"/>
      <c r="I35" s="1927"/>
    </row>
    <row r="36" spans="1:9">
      <c r="A36"/>
      <c r="B36" s="1931">
        <v>16</v>
      </c>
      <c r="C36" s="1932">
        <f t="shared" si="4"/>
        <v>0</v>
      </c>
      <c r="D36" s="1932">
        <f t="shared" si="2"/>
        <v>0</v>
      </c>
      <c r="E36" s="1933">
        <f t="shared" si="1"/>
        <v>0</v>
      </c>
      <c r="F36" s="1932">
        <f t="shared" si="3"/>
        <v>0</v>
      </c>
      <c r="G36" s="1927"/>
      <c r="H36" s="1927"/>
      <c r="I36" s="1927"/>
    </row>
    <row r="37" spans="1:9">
      <c r="A37"/>
      <c r="B37" s="1931">
        <v>17</v>
      </c>
      <c r="C37" s="1932">
        <f t="shared" si="4"/>
        <v>0</v>
      </c>
      <c r="D37" s="1932">
        <f t="shared" si="2"/>
        <v>0</v>
      </c>
      <c r="E37" s="1933">
        <f t="shared" si="1"/>
        <v>0</v>
      </c>
      <c r="F37" s="1932">
        <f t="shared" si="3"/>
        <v>0</v>
      </c>
      <c r="G37" s="1927"/>
      <c r="H37" s="1927"/>
      <c r="I37" s="1927"/>
    </row>
    <row r="38" spans="1:9">
      <c r="A38"/>
      <c r="B38" s="1931">
        <v>18</v>
      </c>
      <c r="C38" s="1932">
        <f t="shared" si="4"/>
        <v>0</v>
      </c>
      <c r="D38" s="1932">
        <f t="shared" si="2"/>
        <v>0</v>
      </c>
      <c r="E38" s="1933">
        <f t="shared" si="1"/>
        <v>0</v>
      </c>
      <c r="F38" s="1932">
        <f t="shared" si="3"/>
        <v>0</v>
      </c>
      <c r="G38" s="1927"/>
      <c r="H38" s="1927"/>
      <c r="I38" s="1927"/>
    </row>
    <row r="39" spans="1:9">
      <c r="A39"/>
      <c r="B39" s="1931">
        <v>19</v>
      </c>
      <c r="C39" s="1932">
        <f>$E$8*ROUNDUP($E$14,4)</f>
        <v>0</v>
      </c>
      <c r="D39" s="1932">
        <f t="shared" si="2"/>
        <v>0</v>
      </c>
      <c r="E39" s="1933">
        <f t="shared" si="1"/>
        <v>0</v>
      </c>
      <c r="F39" s="1932">
        <f t="shared" si="3"/>
        <v>0</v>
      </c>
      <c r="G39" s="1927"/>
      <c r="H39" s="1927"/>
      <c r="I39" s="1927"/>
    </row>
    <row r="40" spans="1:9">
      <c r="A40"/>
      <c r="B40" s="1931">
        <v>20</v>
      </c>
      <c r="C40" s="1932">
        <f>$E$8*ROUNDUP($E$14,4)</f>
        <v>0</v>
      </c>
      <c r="D40" s="1932">
        <f t="shared" si="2"/>
        <v>0</v>
      </c>
      <c r="E40" s="1933">
        <f t="shared" si="1"/>
        <v>0</v>
      </c>
      <c r="F40" s="1932">
        <f t="shared" si="3"/>
        <v>0</v>
      </c>
      <c r="G40" s="1927"/>
      <c r="H40" s="1927"/>
      <c r="I40" s="1927"/>
    </row>
    <row r="41" spans="1:9">
      <c r="A41"/>
      <c r="B41" s="1931">
        <v>21</v>
      </c>
      <c r="C41" s="1932">
        <f>$E$8*ROUNDUP($E$14,4)</f>
        <v>0</v>
      </c>
      <c r="D41" s="1932">
        <f t="shared" si="2"/>
        <v>0</v>
      </c>
      <c r="E41" s="1933">
        <f t="shared" si="1"/>
        <v>0</v>
      </c>
      <c r="F41" s="1932">
        <f t="shared" si="3"/>
        <v>0</v>
      </c>
      <c r="G41" s="1927"/>
      <c r="H41" s="1927"/>
      <c r="I41" s="1927"/>
    </row>
    <row r="42" spans="1:9">
      <c r="A42"/>
      <c r="B42" s="1931">
        <v>22</v>
      </c>
      <c r="C42" s="1932">
        <f>$E$8*ROUNDUP($E$14,4)</f>
        <v>0</v>
      </c>
      <c r="D42" s="1932">
        <f t="shared" si="2"/>
        <v>0</v>
      </c>
      <c r="E42" s="1933">
        <f t="shared" si="1"/>
        <v>0</v>
      </c>
      <c r="F42" s="1932">
        <f t="shared" si="3"/>
        <v>0</v>
      </c>
      <c r="G42" s="1927"/>
      <c r="H42" s="1927"/>
      <c r="I42" s="1927"/>
    </row>
    <row r="43" spans="1:9">
      <c r="A43"/>
      <c r="B43" s="1931">
        <v>23</v>
      </c>
      <c r="C43" s="1932">
        <f>$E$8*ROUNDUP($E$14,4)</f>
        <v>0</v>
      </c>
      <c r="D43" s="1932">
        <f t="shared" si="2"/>
        <v>0</v>
      </c>
      <c r="E43" s="1933">
        <f t="shared" si="1"/>
        <v>0</v>
      </c>
      <c r="F43" s="1932">
        <f t="shared" si="3"/>
        <v>0</v>
      </c>
      <c r="G43" s="1927"/>
      <c r="H43" s="1927"/>
      <c r="I43" s="1927"/>
    </row>
    <row r="44" spans="1:9">
      <c r="A44"/>
      <c r="B44" s="1931">
        <v>24</v>
      </c>
      <c r="C44" s="1932">
        <f>IF(F43&gt;0.01,IF(F43&gt;C43,$E$8*ROUNDUP($E$14,4),F43),0)</f>
        <v>0</v>
      </c>
      <c r="D44" s="1932">
        <f t="shared" si="2"/>
        <v>0</v>
      </c>
      <c r="E44" s="1933">
        <f t="shared" si="1"/>
        <v>0</v>
      </c>
      <c r="F44" s="1932">
        <f t="shared" si="3"/>
        <v>0</v>
      </c>
      <c r="G44" s="1927"/>
      <c r="H44" s="1927"/>
      <c r="I44" s="1927"/>
    </row>
    <row r="45" spans="1:9">
      <c r="A45"/>
      <c r="B45" s="1948" t="s">
        <v>444</v>
      </c>
      <c r="C45" s="1949">
        <f>SUM(C33:C44)</f>
        <v>0</v>
      </c>
      <c r="D45" s="1949">
        <f>SUM(D33:D44)</f>
        <v>0</v>
      </c>
      <c r="E45" s="1949">
        <f>SUM(E33:E44)</f>
        <v>0</v>
      </c>
      <c r="F45" s="1949"/>
      <c r="G45" s="1927"/>
      <c r="H45" s="1927"/>
      <c r="I45" s="1927"/>
    </row>
    <row r="46" spans="1:9">
      <c r="A46"/>
      <c r="B46" s="1931">
        <f>IF($E$9&gt;2,25,0)</f>
        <v>25</v>
      </c>
      <c r="C46" s="1932">
        <f>IF(F44&gt;0.01,$E$8*ROUNDUP($E$14,4),0)</f>
        <v>0</v>
      </c>
      <c r="D46" s="1932">
        <f>IF(F44&gt;0.01,ROUND(F44,2)*$E$10/12,0)</f>
        <v>0</v>
      </c>
      <c r="E46" s="1933">
        <f>IF(F44&gt;0.01,ROUND(C46,2)+ROUND(D46,2),0)</f>
        <v>0</v>
      </c>
      <c r="F46" s="1932">
        <f>IF(F44&gt;0.01,ROUND(F44,2)-C46,0)</f>
        <v>0</v>
      </c>
      <c r="G46" s="1927"/>
      <c r="H46" s="1927"/>
      <c r="I46" s="1927"/>
    </row>
    <row r="47" spans="1:9">
      <c r="A47"/>
      <c r="B47" s="1931">
        <f>IF($E$9&gt;2,26,0)</f>
        <v>26</v>
      </c>
      <c r="C47" s="1932">
        <f t="shared" ref="C47:C56" si="5">IF(F46&gt;0.01,$E$8*ROUNDUP($E$14,4),0)</f>
        <v>0</v>
      </c>
      <c r="D47" s="1932">
        <f t="shared" ref="D47:D57" si="6">IF(F46&gt;0.01,ROUND(F46,2)*$E$10/12,0)</f>
        <v>0</v>
      </c>
      <c r="E47" s="1933">
        <f t="shared" ref="E47:E57" si="7">IF(F46&gt;0.01,ROUND(C47,2)+ROUND(D47,2),0)</f>
        <v>0</v>
      </c>
      <c r="F47" s="1932">
        <f t="shared" ref="F47:F82" si="8">IF(F46&gt;0.01,ROUND(F46,2)-C47,0)</f>
        <v>0</v>
      </c>
      <c r="G47" s="1927"/>
      <c r="H47" s="1927"/>
      <c r="I47" s="1927"/>
    </row>
    <row r="48" spans="1:9">
      <c r="A48"/>
      <c r="B48" s="1931">
        <f>IF($E$9&gt;2,27,0)</f>
        <v>27</v>
      </c>
      <c r="C48" s="1932">
        <f t="shared" si="5"/>
        <v>0</v>
      </c>
      <c r="D48" s="1932">
        <f t="shared" si="6"/>
        <v>0</v>
      </c>
      <c r="E48" s="1933">
        <f t="shared" si="7"/>
        <v>0</v>
      </c>
      <c r="F48" s="1932">
        <f t="shared" si="8"/>
        <v>0</v>
      </c>
      <c r="G48" s="1927"/>
      <c r="H48" s="1927"/>
      <c r="I48" s="1927"/>
    </row>
    <row r="49" spans="1:9">
      <c r="A49"/>
      <c r="B49" s="1931">
        <f>IF($E$9&gt;2,28,0)</f>
        <v>28</v>
      </c>
      <c r="C49" s="1932">
        <f t="shared" si="5"/>
        <v>0</v>
      </c>
      <c r="D49" s="1932">
        <f t="shared" si="6"/>
        <v>0</v>
      </c>
      <c r="E49" s="1933">
        <f t="shared" si="7"/>
        <v>0</v>
      </c>
      <c r="F49" s="1932">
        <f t="shared" si="8"/>
        <v>0</v>
      </c>
      <c r="G49" s="1927"/>
      <c r="H49" s="1927"/>
      <c r="I49" s="1927"/>
    </row>
    <row r="50" spans="1:9">
      <c r="A50"/>
      <c r="B50" s="1931">
        <f>IF($E$9&gt;2,29,0)</f>
        <v>29</v>
      </c>
      <c r="C50" s="1932">
        <f t="shared" si="5"/>
        <v>0</v>
      </c>
      <c r="D50" s="1932">
        <f t="shared" si="6"/>
        <v>0</v>
      </c>
      <c r="E50" s="1933">
        <f t="shared" si="7"/>
        <v>0</v>
      </c>
      <c r="F50" s="1932">
        <f t="shared" si="8"/>
        <v>0</v>
      </c>
      <c r="G50" s="1927"/>
      <c r="H50" s="1927"/>
      <c r="I50" s="1927"/>
    </row>
    <row r="51" spans="1:9">
      <c r="A51"/>
      <c r="B51" s="1931">
        <f>IF($E$9&gt;2,30,0)</f>
        <v>30</v>
      </c>
      <c r="C51" s="1932">
        <f t="shared" si="5"/>
        <v>0</v>
      </c>
      <c r="D51" s="1932">
        <f t="shared" si="6"/>
        <v>0</v>
      </c>
      <c r="E51" s="1933">
        <f t="shared" si="7"/>
        <v>0</v>
      </c>
      <c r="F51" s="1932">
        <f t="shared" si="8"/>
        <v>0</v>
      </c>
      <c r="G51" s="1927"/>
      <c r="H51" s="1927"/>
      <c r="I51" s="1927"/>
    </row>
    <row r="52" spans="1:9">
      <c r="A52"/>
      <c r="B52" s="1931">
        <f>IF($E$9&gt;2,31,0)</f>
        <v>31</v>
      </c>
      <c r="C52" s="1932">
        <f t="shared" si="5"/>
        <v>0</v>
      </c>
      <c r="D52" s="1932">
        <f t="shared" si="6"/>
        <v>0</v>
      </c>
      <c r="E52" s="1933">
        <f t="shared" si="7"/>
        <v>0</v>
      </c>
      <c r="F52" s="1932">
        <f t="shared" si="8"/>
        <v>0</v>
      </c>
      <c r="G52" s="1927"/>
      <c r="H52" s="1927"/>
      <c r="I52" s="1927"/>
    </row>
    <row r="53" spans="1:9">
      <c r="A53"/>
      <c r="B53" s="1931">
        <f>IF($E$9&gt;2,32,0)</f>
        <v>32</v>
      </c>
      <c r="C53" s="1932">
        <f t="shared" si="5"/>
        <v>0</v>
      </c>
      <c r="D53" s="1932">
        <f t="shared" si="6"/>
        <v>0</v>
      </c>
      <c r="E53" s="1933">
        <f t="shared" si="7"/>
        <v>0</v>
      </c>
      <c r="F53" s="1932">
        <f t="shared" si="8"/>
        <v>0</v>
      </c>
      <c r="G53" s="1927"/>
      <c r="H53" s="1927"/>
      <c r="I53" s="1927"/>
    </row>
    <row r="54" spans="1:9">
      <c r="A54"/>
      <c r="B54" s="1931">
        <f>IF($E$9&gt;2,33,0)</f>
        <v>33</v>
      </c>
      <c r="C54" s="1932">
        <f t="shared" si="5"/>
        <v>0</v>
      </c>
      <c r="D54" s="1932">
        <f t="shared" si="6"/>
        <v>0</v>
      </c>
      <c r="E54" s="1933">
        <f t="shared" si="7"/>
        <v>0</v>
      </c>
      <c r="F54" s="1932">
        <f t="shared" si="8"/>
        <v>0</v>
      </c>
      <c r="G54" s="1927"/>
      <c r="H54" s="1927"/>
      <c r="I54" s="1927"/>
    </row>
    <row r="55" spans="1:9">
      <c r="A55"/>
      <c r="B55" s="1931">
        <f>IF($E$9&gt;2,34,0)</f>
        <v>34</v>
      </c>
      <c r="C55" s="1932">
        <f t="shared" si="5"/>
        <v>0</v>
      </c>
      <c r="D55" s="1932">
        <f t="shared" si="6"/>
        <v>0</v>
      </c>
      <c r="E55" s="1933">
        <f t="shared" si="7"/>
        <v>0</v>
      </c>
      <c r="F55" s="1932">
        <f t="shared" si="8"/>
        <v>0</v>
      </c>
      <c r="G55" s="1927"/>
      <c r="H55" s="1927"/>
      <c r="I55" s="1927"/>
    </row>
    <row r="56" spans="1:9">
      <c r="A56"/>
      <c r="B56" s="1931">
        <f>IF($E$9&gt;2,35,0)</f>
        <v>35</v>
      </c>
      <c r="C56" s="1932">
        <f t="shared" si="5"/>
        <v>0</v>
      </c>
      <c r="D56" s="1932">
        <f t="shared" si="6"/>
        <v>0</v>
      </c>
      <c r="E56" s="1933">
        <f t="shared" si="7"/>
        <v>0</v>
      </c>
      <c r="F56" s="1932">
        <f t="shared" si="8"/>
        <v>0</v>
      </c>
      <c r="G56" s="1927"/>
      <c r="H56" s="1927"/>
      <c r="I56" s="1927"/>
    </row>
    <row r="57" spans="1:9">
      <c r="A57"/>
      <c r="B57" s="1931">
        <f>IF($E$9&gt;2,36,0)</f>
        <v>36</v>
      </c>
      <c r="C57" s="1932">
        <f>IF(F56&gt;0.01,IF(F56&gt;C56,$E$8*ROUNDUP($E$14,4),F56),0)</f>
        <v>0</v>
      </c>
      <c r="D57" s="1932">
        <f t="shared" si="6"/>
        <v>0</v>
      </c>
      <c r="E57" s="1933">
        <f t="shared" si="7"/>
        <v>0</v>
      </c>
      <c r="F57" s="1932">
        <f t="shared" si="8"/>
        <v>0</v>
      </c>
      <c r="G57" s="1927"/>
      <c r="H57" s="1927"/>
      <c r="I57" s="1927"/>
    </row>
    <row r="58" spans="1:9">
      <c r="A58"/>
      <c r="B58" s="1948" t="s">
        <v>445</v>
      </c>
      <c r="C58" s="1949">
        <f>SUM(C46:C57)</f>
        <v>0</v>
      </c>
      <c r="D58" s="1949">
        <f>SUM(D46:D57)</f>
        <v>0</v>
      </c>
      <c r="E58" s="1949">
        <f>SUM(E46:E57)</f>
        <v>0</v>
      </c>
      <c r="F58" s="1949"/>
      <c r="G58" s="1927"/>
      <c r="H58" s="1927"/>
      <c r="I58" s="1927"/>
    </row>
    <row r="59" spans="1:9">
      <c r="A59"/>
      <c r="B59" s="1931">
        <f>IF($E$9&gt;3,37,0)</f>
        <v>37</v>
      </c>
      <c r="C59" s="1932">
        <f>IF(F57&gt;0.01,$E$8*ROUNDUP($E$14,4),0)</f>
        <v>0</v>
      </c>
      <c r="D59" s="1932">
        <f>IF(F57&gt;0.01,ROUND(F57,2)*$E$10/12,0)</f>
        <v>0</v>
      </c>
      <c r="E59" s="1933">
        <f>IF(F57&gt;0.01,ROUND(C59,2)+ROUND(D59,2),0)</f>
        <v>0</v>
      </c>
      <c r="F59" s="1932">
        <f>IF(F57&gt;0.01,ROUND(F57,2)-C59,0)</f>
        <v>0</v>
      </c>
      <c r="G59" s="1927"/>
      <c r="H59" s="1927"/>
      <c r="I59" s="1927"/>
    </row>
    <row r="60" spans="1:9">
      <c r="A60"/>
      <c r="B60" s="1931">
        <f>IF($E$9&gt;3,38,0)</f>
        <v>38</v>
      </c>
      <c r="C60" s="1932">
        <f t="shared" ref="C60:C69" si="9">IF(F59&gt;0.01,$E$8*ROUNDUP($E$14,4),0)</f>
        <v>0</v>
      </c>
      <c r="D60" s="1932">
        <f t="shared" ref="D60:D82" si="10">IF(F59&gt;0.01,ROUND(F59,2)*$E$10/12,0)</f>
        <v>0</v>
      </c>
      <c r="E60" s="1933">
        <f t="shared" ref="E60:E82" si="11">IF(F59&gt;0.01,ROUND(C60,2)+ROUND(D60,2),0)</f>
        <v>0</v>
      </c>
      <c r="F60" s="1932">
        <f t="shared" si="8"/>
        <v>0</v>
      </c>
      <c r="G60" s="1927"/>
      <c r="H60" s="1927"/>
      <c r="I60" s="1927"/>
    </row>
    <row r="61" spans="1:9">
      <c r="A61"/>
      <c r="B61" s="1931">
        <f>IF($E$9&gt;3,39,0)</f>
        <v>39</v>
      </c>
      <c r="C61" s="1932">
        <f t="shared" si="9"/>
        <v>0</v>
      </c>
      <c r="D61" s="1932">
        <f t="shared" si="10"/>
        <v>0</v>
      </c>
      <c r="E61" s="1933">
        <f t="shared" si="11"/>
        <v>0</v>
      </c>
      <c r="F61" s="1932">
        <f t="shared" si="8"/>
        <v>0</v>
      </c>
      <c r="G61" s="1927"/>
      <c r="H61" s="1927"/>
      <c r="I61" s="1927"/>
    </row>
    <row r="62" spans="1:9">
      <c r="A62"/>
      <c r="B62" s="1931">
        <f>IF($E$9&gt;3,40,0)</f>
        <v>40</v>
      </c>
      <c r="C62" s="1932">
        <f t="shared" si="9"/>
        <v>0</v>
      </c>
      <c r="D62" s="1932">
        <f t="shared" si="10"/>
        <v>0</v>
      </c>
      <c r="E62" s="1933">
        <f t="shared" si="11"/>
        <v>0</v>
      </c>
      <c r="F62" s="1932">
        <f t="shared" si="8"/>
        <v>0</v>
      </c>
      <c r="G62" s="1927"/>
      <c r="H62" s="1927"/>
      <c r="I62" s="1927"/>
    </row>
    <row r="63" spans="1:9">
      <c r="A63"/>
      <c r="B63" s="1931">
        <f>IF($E$9&gt;3,41,0)</f>
        <v>41</v>
      </c>
      <c r="C63" s="1932">
        <f t="shared" si="9"/>
        <v>0</v>
      </c>
      <c r="D63" s="1932">
        <f t="shared" si="10"/>
        <v>0</v>
      </c>
      <c r="E63" s="1933">
        <f t="shared" si="11"/>
        <v>0</v>
      </c>
      <c r="F63" s="1932">
        <f t="shared" si="8"/>
        <v>0</v>
      </c>
      <c r="G63" s="1927"/>
      <c r="H63" s="1927"/>
      <c r="I63" s="1927"/>
    </row>
    <row r="64" spans="1:9">
      <c r="A64"/>
      <c r="B64" s="1931">
        <f>IF($E$9&gt;3,42,0)</f>
        <v>42</v>
      </c>
      <c r="C64" s="1932">
        <f t="shared" si="9"/>
        <v>0</v>
      </c>
      <c r="D64" s="1932">
        <f t="shared" si="10"/>
        <v>0</v>
      </c>
      <c r="E64" s="1933">
        <f t="shared" si="11"/>
        <v>0</v>
      </c>
      <c r="F64" s="1932">
        <f t="shared" si="8"/>
        <v>0</v>
      </c>
      <c r="G64" s="1927"/>
      <c r="H64" s="1927"/>
      <c r="I64" s="1927"/>
    </row>
    <row r="65" spans="1:10">
      <c r="A65"/>
      <c r="B65" s="1931">
        <f>IF($E$9&gt;3,43,0)</f>
        <v>43</v>
      </c>
      <c r="C65" s="1932">
        <f t="shared" si="9"/>
        <v>0</v>
      </c>
      <c r="D65" s="1932">
        <f t="shared" si="10"/>
        <v>0</v>
      </c>
      <c r="E65" s="1933">
        <f t="shared" si="11"/>
        <v>0</v>
      </c>
      <c r="F65" s="1932">
        <f t="shared" si="8"/>
        <v>0</v>
      </c>
      <c r="G65" s="1927"/>
      <c r="H65" s="1927"/>
      <c r="I65" s="1927"/>
    </row>
    <row r="66" spans="1:10">
      <c r="A66"/>
      <c r="B66" s="1931">
        <f>IF($E$9&gt;3,44,0)</f>
        <v>44</v>
      </c>
      <c r="C66" s="1932">
        <f t="shared" si="9"/>
        <v>0</v>
      </c>
      <c r="D66" s="1932">
        <f t="shared" si="10"/>
        <v>0</v>
      </c>
      <c r="E66" s="1933">
        <f t="shared" si="11"/>
        <v>0</v>
      </c>
      <c r="F66" s="1932">
        <f t="shared" si="8"/>
        <v>0</v>
      </c>
      <c r="G66" s="1927"/>
      <c r="H66" s="1927"/>
      <c r="I66" s="1927"/>
    </row>
    <row r="67" spans="1:10">
      <c r="A67"/>
      <c r="B67" s="1931">
        <f>IF($E$9&gt;3,45,0)</f>
        <v>45</v>
      </c>
      <c r="C67" s="1932">
        <f t="shared" si="9"/>
        <v>0</v>
      </c>
      <c r="D67" s="1932">
        <f t="shared" si="10"/>
        <v>0</v>
      </c>
      <c r="E67" s="1933">
        <f t="shared" si="11"/>
        <v>0</v>
      </c>
      <c r="F67" s="1932">
        <f t="shared" si="8"/>
        <v>0</v>
      </c>
      <c r="G67" s="1927"/>
      <c r="H67" s="1927"/>
      <c r="I67" s="1927"/>
    </row>
    <row r="68" spans="1:10">
      <c r="A68"/>
      <c r="B68" s="1931">
        <f>IF($E$9&gt;3,46,0)</f>
        <v>46</v>
      </c>
      <c r="C68" s="1932">
        <f t="shared" si="9"/>
        <v>0</v>
      </c>
      <c r="D68" s="1932">
        <f t="shared" si="10"/>
        <v>0</v>
      </c>
      <c r="E68" s="1933">
        <f t="shared" si="11"/>
        <v>0</v>
      </c>
      <c r="F68" s="1932">
        <f t="shared" si="8"/>
        <v>0</v>
      </c>
      <c r="G68" s="1927"/>
      <c r="H68" s="1927"/>
      <c r="I68" s="1927"/>
    </row>
    <row r="69" spans="1:10">
      <c r="A69"/>
      <c r="B69" s="1931">
        <f>IF($E$9&gt;3,47,0)</f>
        <v>47</v>
      </c>
      <c r="C69" s="1932">
        <f t="shared" si="9"/>
        <v>0</v>
      </c>
      <c r="D69" s="1932">
        <f t="shared" si="10"/>
        <v>0</v>
      </c>
      <c r="E69" s="1933">
        <f t="shared" si="11"/>
        <v>0</v>
      </c>
      <c r="F69" s="1932">
        <f t="shared" si="8"/>
        <v>0</v>
      </c>
      <c r="G69" s="1927"/>
      <c r="H69" s="1927"/>
      <c r="I69" s="1927"/>
    </row>
    <row r="70" spans="1:10">
      <c r="A70"/>
      <c r="B70" s="1931">
        <f>IF($E$9&gt;3,48,0)</f>
        <v>48</v>
      </c>
      <c r="C70" s="1932">
        <f>IF(F69&gt;0.01,IF(F69&gt;C69,$E$8*ROUNDUP($E$14,4),F69),0)</f>
        <v>0</v>
      </c>
      <c r="D70" s="1932">
        <f t="shared" si="10"/>
        <v>0</v>
      </c>
      <c r="E70" s="1933">
        <f t="shared" si="11"/>
        <v>0</v>
      </c>
      <c r="F70" s="1932">
        <f t="shared" si="8"/>
        <v>0</v>
      </c>
      <c r="G70" s="1927"/>
      <c r="H70" s="1927"/>
      <c r="I70" s="1927"/>
    </row>
    <row r="71" spans="1:10">
      <c r="A71"/>
      <c r="B71" s="1931">
        <f>IF($E$9&gt;4,49,0)</f>
        <v>49</v>
      </c>
      <c r="C71" s="1932">
        <f t="shared" ref="C71:C81" si="12">IF(F70&gt;0.01,$E$8*ROUNDUP($E$14,4),0)</f>
        <v>0</v>
      </c>
      <c r="D71" s="1932">
        <f t="shared" si="10"/>
        <v>0</v>
      </c>
      <c r="E71" s="1933">
        <f t="shared" si="11"/>
        <v>0</v>
      </c>
      <c r="F71" s="1932">
        <f t="shared" si="8"/>
        <v>0</v>
      </c>
      <c r="G71" s="1927"/>
      <c r="H71" s="1927"/>
      <c r="I71" s="1927"/>
    </row>
    <row r="72" spans="1:10">
      <c r="A72"/>
      <c r="B72" s="1931">
        <f>IF($E$9&gt;4,50,0)</f>
        <v>50</v>
      </c>
      <c r="C72" s="1932">
        <f t="shared" si="12"/>
        <v>0</v>
      </c>
      <c r="D72" s="1932">
        <f t="shared" si="10"/>
        <v>0</v>
      </c>
      <c r="E72" s="1933">
        <f t="shared" si="11"/>
        <v>0</v>
      </c>
      <c r="F72" s="1932">
        <f t="shared" si="8"/>
        <v>0</v>
      </c>
      <c r="G72" s="1927"/>
      <c r="H72" s="1927"/>
      <c r="I72" s="1927"/>
    </row>
    <row r="73" spans="1:10">
      <c r="A73"/>
      <c r="B73" s="1931">
        <f>IF($E$9&gt;4,51,0)</f>
        <v>51</v>
      </c>
      <c r="C73" s="1932">
        <f t="shared" si="12"/>
        <v>0</v>
      </c>
      <c r="D73" s="1932">
        <f t="shared" si="10"/>
        <v>0</v>
      </c>
      <c r="E73" s="1933">
        <f t="shared" si="11"/>
        <v>0</v>
      </c>
      <c r="F73" s="1932">
        <f t="shared" si="8"/>
        <v>0</v>
      </c>
      <c r="G73" s="1927"/>
      <c r="H73" s="1927"/>
      <c r="I73" s="1927"/>
    </row>
    <row r="74" spans="1:10">
      <c r="A74"/>
      <c r="B74" s="1931">
        <f>IF($E$9&gt;4,52,0)</f>
        <v>52</v>
      </c>
      <c r="C74" s="1932">
        <f t="shared" si="12"/>
        <v>0</v>
      </c>
      <c r="D74" s="1932">
        <f t="shared" si="10"/>
        <v>0</v>
      </c>
      <c r="E74" s="1933">
        <f t="shared" si="11"/>
        <v>0</v>
      </c>
      <c r="F74" s="1932">
        <f t="shared" si="8"/>
        <v>0</v>
      </c>
      <c r="G74" s="1927"/>
      <c r="H74" s="1927"/>
      <c r="I74" s="1927"/>
    </row>
    <row r="75" spans="1:10">
      <c r="A75"/>
      <c r="B75" s="1931">
        <f>IF($E$9&gt;4,53,0)</f>
        <v>53</v>
      </c>
      <c r="C75" s="1932">
        <f t="shared" si="12"/>
        <v>0</v>
      </c>
      <c r="D75" s="1932">
        <f t="shared" si="10"/>
        <v>0</v>
      </c>
      <c r="E75" s="1933">
        <f t="shared" si="11"/>
        <v>0</v>
      </c>
      <c r="F75" s="1932">
        <f t="shared" si="8"/>
        <v>0</v>
      </c>
      <c r="G75" s="1927"/>
      <c r="H75" s="1927"/>
      <c r="I75" s="1927"/>
    </row>
    <row r="76" spans="1:10" ht="13.5" thickBot="1">
      <c r="A76"/>
      <c r="B76" s="1931">
        <f>IF($E$9&gt;4,54,0)</f>
        <v>54</v>
      </c>
      <c r="C76" s="1932">
        <f t="shared" si="12"/>
        <v>0</v>
      </c>
      <c r="D76" s="1932">
        <f t="shared" si="10"/>
        <v>0</v>
      </c>
      <c r="E76" s="1933">
        <f t="shared" si="11"/>
        <v>0</v>
      </c>
      <c r="F76" s="1932">
        <f t="shared" si="8"/>
        <v>0</v>
      </c>
      <c r="G76" s="1927"/>
      <c r="H76" s="1927"/>
      <c r="I76" s="1927"/>
    </row>
    <row r="77" spans="1:10" ht="13.5" thickTop="1">
      <c r="A77"/>
      <c r="B77" s="1931">
        <f>IF($E$9&gt;4,55,0)</f>
        <v>55</v>
      </c>
      <c r="C77" s="1932">
        <f t="shared" si="12"/>
        <v>0</v>
      </c>
      <c r="D77" s="1932">
        <f t="shared" si="10"/>
        <v>0</v>
      </c>
      <c r="E77" s="1933">
        <f t="shared" si="11"/>
        <v>0</v>
      </c>
      <c r="F77" s="1932">
        <f t="shared" si="8"/>
        <v>0</v>
      </c>
      <c r="G77" s="1927"/>
      <c r="H77" s="1927"/>
      <c r="I77" s="1927"/>
      <c r="J77" s="1885" t="s">
        <v>427</v>
      </c>
    </row>
    <row r="78" spans="1:10">
      <c r="A78"/>
      <c r="B78" s="1931">
        <f>IF($E$9&gt;4,56,0)</f>
        <v>56</v>
      </c>
      <c r="C78" s="1932">
        <f t="shared" si="12"/>
        <v>0</v>
      </c>
      <c r="D78" s="1932">
        <f t="shared" si="10"/>
        <v>0</v>
      </c>
      <c r="E78" s="1933">
        <f t="shared" si="11"/>
        <v>0</v>
      </c>
      <c r="F78" s="1932">
        <f t="shared" si="8"/>
        <v>0</v>
      </c>
      <c r="G78" s="1927"/>
      <c r="H78" s="1927"/>
      <c r="I78" s="1927"/>
      <c r="J78" s="1891" t="s">
        <v>428</v>
      </c>
    </row>
    <row r="79" spans="1:10" ht="13.5" thickBot="1">
      <c r="A79"/>
      <c r="B79" s="1931">
        <f>IF($E$9&gt;4,57,0)</f>
        <v>57</v>
      </c>
      <c r="C79" s="1932">
        <f t="shared" si="12"/>
        <v>0</v>
      </c>
      <c r="D79" s="1932">
        <f t="shared" si="10"/>
        <v>0</v>
      </c>
      <c r="E79" s="1933">
        <f t="shared" si="11"/>
        <v>0</v>
      </c>
      <c r="F79" s="1932">
        <f t="shared" si="8"/>
        <v>0</v>
      </c>
      <c r="G79" s="1927"/>
      <c r="H79" s="1927"/>
      <c r="I79" s="1927"/>
      <c r="J79" s="1898" t="s">
        <v>429</v>
      </c>
    </row>
    <row r="80" spans="1:10" ht="13.5" thickTop="1">
      <c r="A80"/>
      <c r="B80" s="1931">
        <f>IF($E$9&gt;4,58,0)</f>
        <v>58</v>
      </c>
      <c r="C80" s="1932">
        <f t="shared" si="12"/>
        <v>0</v>
      </c>
      <c r="D80" s="1932">
        <f t="shared" si="10"/>
        <v>0</v>
      </c>
      <c r="E80" s="1933">
        <f t="shared" si="11"/>
        <v>0</v>
      </c>
      <c r="F80" s="1932">
        <f t="shared" si="8"/>
        <v>0</v>
      </c>
      <c r="G80" s="1927"/>
      <c r="H80" s="1927"/>
      <c r="I80" s="1927"/>
    </row>
    <row r="81" spans="1:9">
      <c r="A81"/>
      <c r="B81" s="1931">
        <f>IF($E$9&gt;4,59,0)</f>
        <v>59</v>
      </c>
      <c r="C81" s="1932">
        <f t="shared" si="12"/>
        <v>0</v>
      </c>
      <c r="D81" s="1932">
        <f t="shared" si="10"/>
        <v>0</v>
      </c>
      <c r="E81" s="1933">
        <f t="shared" si="11"/>
        <v>0</v>
      </c>
      <c r="F81" s="1932">
        <f t="shared" si="8"/>
        <v>0</v>
      </c>
      <c r="G81" s="1927"/>
      <c r="H81" s="1927"/>
      <c r="I81" s="1927"/>
    </row>
    <row r="82" spans="1:9" ht="13.5" thickBot="1">
      <c r="A82"/>
      <c r="B82" s="1931">
        <f>IF($E$9&gt;4,60,0)</f>
        <v>60</v>
      </c>
      <c r="C82" s="1932">
        <f>IF(F81&gt;0.01,IF(F81&gt;C81,$E$8*ROUNDUP($E$14,4),F81),0)</f>
        <v>0</v>
      </c>
      <c r="D82" s="1932">
        <f t="shared" si="10"/>
        <v>0</v>
      </c>
      <c r="E82" s="1933">
        <f t="shared" si="11"/>
        <v>0</v>
      </c>
      <c r="F82" s="1932">
        <f t="shared" si="8"/>
        <v>0</v>
      </c>
      <c r="G82" s="1927"/>
      <c r="H82" s="1927"/>
      <c r="I82" s="1927"/>
    </row>
    <row r="83" spans="1:9" ht="13.5" thickBot="1">
      <c r="A83"/>
      <c r="B83" s="1923" t="s">
        <v>404</v>
      </c>
      <c r="C83" s="1934">
        <f>SUM(C16:C82)-C58-C45-C32-C31-C27-C19</f>
        <v>0</v>
      </c>
      <c r="D83" s="1934">
        <f>SUM(D16:D82)-D58-D45-D32-D31-D27-D19</f>
        <v>0</v>
      </c>
      <c r="E83" s="1934">
        <f>SUM(E16:E82)-E58-E45-E32-E31-E27-E19</f>
        <v>0</v>
      </c>
      <c r="F83" s="1935"/>
      <c r="G83" s="1927"/>
      <c r="H83" s="1927"/>
      <c r="I83" s="1927"/>
    </row>
    <row r="84" spans="1:9">
      <c r="A84"/>
      <c r="B84" s="1911"/>
      <c r="C84" s="1911"/>
      <c r="D84" s="1911"/>
      <c r="E84" s="1936"/>
      <c r="F84" s="1911"/>
      <c r="G84" s="1911"/>
      <c r="H84" s="1911"/>
      <c r="I84" s="1911"/>
    </row>
    <row r="91" spans="1:9" ht="1.5" customHeight="1"/>
    <row r="92" spans="1:9" ht="53.25" customHeight="1" thickBot="1">
      <c r="A92" s="1956" t="s">
        <v>446</v>
      </c>
      <c r="C92" s="2332" t="s">
        <v>447</v>
      </c>
      <c r="D92" s="2332"/>
      <c r="E92" s="2332"/>
      <c r="F92" s="2332"/>
    </row>
    <row r="93" spans="1:9" ht="30" customHeight="1" thickTop="1" thickBot="1">
      <c r="A93" s="1879" t="s">
        <v>448</v>
      </c>
      <c r="B93" s="1880"/>
      <c r="C93" s="1881" t="s">
        <v>449</v>
      </c>
      <c r="D93" s="1882" t="s">
        <v>450</v>
      </c>
      <c r="E93" s="1882" t="s">
        <v>451</v>
      </c>
      <c r="F93" s="1882" t="s">
        <v>452</v>
      </c>
      <c r="G93" s="1882" t="s">
        <v>453</v>
      </c>
      <c r="H93" s="1883" t="s">
        <v>454</v>
      </c>
      <c r="I93" s="1884" t="s">
        <v>455</v>
      </c>
    </row>
    <row r="94" spans="1:9" ht="30" customHeight="1" thickTop="1" thickBot="1">
      <c r="A94" s="1886" t="s">
        <v>456</v>
      </c>
      <c r="B94" s="1887"/>
      <c r="C94" s="1888">
        <f>'Ertragsv. 2025'!C3+'Ertragsv. 2025'!D3+'Ertragsv. 2025'!E3</f>
        <v>0</v>
      </c>
      <c r="D94" s="1889">
        <f>'Ertragsv. 2025'!F3+'Ertragsv. 2025'!G3+'Ertragsv. 2025'!H3</f>
        <v>0</v>
      </c>
      <c r="E94" s="1889">
        <f>'Ertragsv. 2025'!I3+'Ertragsv. 2025'!J3+'Ertragsv. 2025'!K3</f>
        <v>0</v>
      </c>
      <c r="F94" s="1889">
        <f>'Ertragsv. 2025'!L3+'Ertragsv. 2025'!M3+'Ertragsv. 2025'!N3</f>
        <v>0</v>
      </c>
      <c r="G94" s="1889">
        <f>SUM(C94:F94)</f>
        <v>0</v>
      </c>
      <c r="H94" s="1889">
        <f>'Ertragsv. 2026'!O3</f>
        <v>0</v>
      </c>
      <c r="I94" s="1890">
        <f>'Ertragsv. 2027'!O3</f>
        <v>0</v>
      </c>
    </row>
    <row r="95" spans="1:9" ht="30" customHeight="1" thickTop="1" thickBot="1">
      <c r="A95" s="1894" t="s">
        <v>457</v>
      </c>
      <c r="B95" s="1887"/>
      <c r="C95" s="1895">
        <f>'Ertragsv. 2025'!C4+'Ertragsv. 2025'!D4+'Ertragsv. 2025'!E4</f>
        <v>0</v>
      </c>
      <c r="D95" s="1896">
        <f>'Ertragsv. 2025'!F4+'Ertragsv. 2025'!G4+'Ertragsv. 2025'!H4</f>
        <v>0</v>
      </c>
      <c r="E95" s="1896">
        <f>'Ertragsv. 2025'!I4+'Ertragsv. 2025'!J4+'Ertragsv. 2025'!K4</f>
        <v>0</v>
      </c>
      <c r="F95" s="1896">
        <f>'Ertragsv. 2025'!L4+'Ertragsv. 2025'!M4+'Ertragsv. 2025'!N4</f>
        <v>0</v>
      </c>
      <c r="G95" s="1896">
        <f>SUM(C95:F95)</f>
        <v>0</v>
      </c>
      <c r="H95" s="1896">
        <f>'Ertragsv. 2026'!O4</f>
        <v>0</v>
      </c>
      <c r="I95" s="1897">
        <f>'Ertragsv. 2027'!O4</f>
        <v>0</v>
      </c>
    </row>
    <row r="96" spans="1:9" ht="30" customHeight="1" thickTop="1" thickBot="1">
      <c r="A96" s="1886" t="s">
        <v>458</v>
      </c>
      <c r="B96" s="1887"/>
      <c r="C96" s="1895">
        <f t="shared" ref="C96:I96" si="13">C94-C95</f>
        <v>0</v>
      </c>
      <c r="D96" s="1896">
        <f t="shared" si="13"/>
        <v>0</v>
      </c>
      <c r="E96" s="1896">
        <f t="shared" si="13"/>
        <v>0</v>
      </c>
      <c r="F96" s="1896">
        <f t="shared" si="13"/>
        <v>0</v>
      </c>
      <c r="G96" s="1896">
        <f t="shared" si="13"/>
        <v>0</v>
      </c>
      <c r="H96" s="1896">
        <f t="shared" si="13"/>
        <v>0</v>
      </c>
      <c r="I96" s="1897">
        <f t="shared" si="13"/>
        <v>0</v>
      </c>
    </row>
    <row r="97" spans="1:9" ht="30" customHeight="1" thickTop="1" thickBot="1">
      <c r="A97" s="1886" t="s">
        <v>459</v>
      </c>
      <c r="B97" s="1887"/>
      <c r="C97" s="1899"/>
      <c r="D97" s="1899"/>
      <c r="E97" s="1899"/>
      <c r="F97" s="1899"/>
      <c r="G97" s="1899"/>
      <c r="H97" s="1899"/>
      <c r="I97" s="1900"/>
    </row>
    <row r="98" spans="1:9" ht="30" customHeight="1" thickTop="1" thickBot="1">
      <c r="A98" s="1886" t="s">
        <v>460</v>
      </c>
      <c r="B98" s="1887"/>
      <c r="C98" s="1895">
        <f>'Ertragsv. 2025'!C18+'Ertragsv. 2025'!D18+'Ertragsv. 2025'!E18</f>
        <v>0</v>
      </c>
      <c r="D98" s="1896">
        <f>'Ertragsv. 2025'!F18+'Ertragsv. 2025'!G18+'Ertragsv. 2025'!H18</f>
        <v>0</v>
      </c>
      <c r="E98" s="1896">
        <f>'Ertragsv. 2025'!I18+'Ertragsv. 2025'!J18+'Ertragsv. 2025'!K18</f>
        <v>0</v>
      </c>
      <c r="F98" s="1896">
        <f>'Ertragsv. 2025'!L18+'Ertragsv. 2025'!M18+'Ertragsv. 2025'!N18</f>
        <v>0</v>
      </c>
      <c r="G98" s="1896">
        <f t="shared" ref="G98:G105" si="14">SUM(C98:F98)</f>
        <v>0</v>
      </c>
      <c r="H98" s="1896">
        <f>'Ertragsv. 2026'!O18</f>
        <v>0</v>
      </c>
      <c r="I98" s="1897">
        <f>'Ertragsv. 2027'!O18</f>
        <v>0</v>
      </c>
    </row>
    <row r="99" spans="1:9" ht="30" customHeight="1" thickTop="1" thickBot="1">
      <c r="A99" s="1886" t="s">
        <v>132</v>
      </c>
      <c r="B99" s="1887"/>
      <c r="C99" s="1895">
        <f>'Ertragsv. 2025'!C22+'Ertragsv. 2025'!D22+'Ertragsv. 2025'!E22</f>
        <v>0</v>
      </c>
      <c r="D99" s="1896">
        <f>'Ertragsv. 2025'!F22+'Ertragsv. 2025'!G22+'Ertragsv. 2025'!H22</f>
        <v>0</v>
      </c>
      <c r="E99" s="1896">
        <f>'Ertragsv. 2025'!I22+'Ertragsv. 2025'!J22+'Ertragsv. 2025'!K22</f>
        <v>0</v>
      </c>
      <c r="F99" s="1896">
        <f>'Ertragsv. 2025'!L22+'Ertragsv. 2025'!M22+'Ertragsv. 2025'!N22</f>
        <v>0</v>
      </c>
      <c r="G99" s="1896">
        <f t="shared" si="14"/>
        <v>0</v>
      </c>
      <c r="H99" s="1896">
        <f>'Ertragsv. 2026'!O22</f>
        <v>0</v>
      </c>
      <c r="I99" s="1897">
        <f>'Ertragsv. 2027'!O22</f>
        <v>0</v>
      </c>
    </row>
    <row r="100" spans="1:9" ht="30" customHeight="1" thickTop="1" thickBot="1">
      <c r="A100" s="1886" t="s">
        <v>234</v>
      </c>
      <c r="B100" s="1887"/>
      <c r="C100" s="1895">
        <f>'Ertragsv. 2025'!C6+'Ertragsv. 2025'!D6+'Ertragsv. 2025'!E6</f>
        <v>0</v>
      </c>
      <c r="D100" s="1896">
        <f>'Ertragsv. 2025'!F6+'Ertragsv. 2025'!G6+'Ertragsv. 2025'!H6</f>
        <v>0</v>
      </c>
      <c r="E100" s="1896">
        <f>'Ertragsv. 2025'!I6+'Ertragsv. 2025'!J6+'Ertragsv. 2025'!K6</f>
        <v>0</v>
      </c>
      <c r="F100" s="1896">
        <f>'Ertragsv. 2025'!L6+'Ertragsv. 2025'!M6+'Ertragsv. 2025'!N6</f>
        <v>0</v>
      </c>
      <c r="G100" s="1896">
        <f t="shared" si="14"/>
        <v>0</v>
      </c>
      <c r="H100" s="1896">
        <f>'Ertragsv. 2026'!O6</f>
        <v>0</v>
      </c>
      <c r="I100" s="1897">
        <f>'Ertragsv. 2027'!O6</f>
        <v>0</v>
      </c>
    </row>
    <row r="101" spans="1:9" ht="30" customHeight="1" thickTop="1" thickBot="1">
      <c r="A101" s="1886" t="s">
        <v>461</v>
      </c>
      <c r="B101" s="1887"/>
      <c r="C101" s="1895">
        <f>'Ertragsv. 2025'!C8+'Ertragsv. 2025'!D8+'Ertragsv. 2025'!E8+'Ertragsv. 2025'!C7+'Ertragsv. 2025'!D7+'Ertragsv. 2025'!E7</f>
        <v>0</v>
      </c>
      <c r="D101" s="1896">
        <f>'Ertragsv. 2025'!F8+'Ertragsv. 2025'!G8+'Ertragsv. 2025'!H8+'Ertragsv. 2025'!F7+'Ertragsv. 2025'!G7+'Ertragsv. 2025'!H7</f>
        <v>0</v>
      </c>
      <c r="E101" s="1896">
        <f>'Ertragsv. 2025'!I8+'Ertragsv. 2025'!J8+'Ertragsv. 2025'!K8+'Ertragsv. 2025'!I7+'Ertragsv. 2025'!J7+'Ertragsv. 2025'!K7</f>
        <v>0</v>
      </c>
      <c r="F101" s="1896">
        <f>'Ertragsv. 2025'!L8+'Ertragsv. 2025'!M8+'Ertragsv. 2025'!N8+'Ertragsv. 2025'!L7+'Ertragsv. 2025'!M7+'Ertragsv. 2025'!N7</f>
        <v>0</v>
      </c>
      <c r="G101" s="1896">
        <f t="shared" si="14"/>
        <v>0</v>
      </c>
      <c r="H101" s="1896">
        <f>'Ertragsv. 2026'!O8+'Ertragsv. 2026'!O7</f>
        <v>0</v>
      </c>
      <c r="I101" s="1897">
        <f>'Ertragsv. 2027'!O7+'Ertragsv. 2027'!O8</f>
        <v>0</v>
      </c>
    </row>
    <row r="102" spans="1:9" ht="30" customHeight="1" thickTop="1" thickBot="1">
      <c r="A102" s="1886" t="s">
        <v>462</v>
      </c>
      <c r="B102" s="1887"/>
      <c r="C102" s="1895">
        <f>'Ertragsv. 2025'!C14+'Ertragsv. 2025'!D14+'Ertragsv. 2025'!E14</f>
        <v>0</v>
      </c>
      <c r="D102" s="1896">
        <f>'Ertragsv. 2025'!F14+'Ertragsv. 2025'!G14+'Ertragsv. 2025'!H14</f>
        <v>0</v>
      </c>
      <c r="E102" s="1896">
        <f>'Ertragsv. 2025'!I14+'Ertragsv. 2025'!J14+'Ertragsv. 2025'!K14</f>
        <v>0</v>
      </c>
      <c r="F102" s="1896">
        <f>'Ertragsv. 2025'!L14+'Ertragsv. 2025'!M14+'Ertragsv. 2025'!N14</f>
        <v>0</v>
      </c>
      <c r="G102" s="1896">
        <f t="shared" si="14"/>
        <v>0</v>
      </c>
      <c r="H102" s="1896">
        <f>'Ertragsv. 2026'!O14</f>
        <v>0</v>
      </c>
      <c r="I102" s="1897">
        <f>'Ertragsv. 2027'!O14</f>
        <v>0</v>
      </c>
    </row>
    <row r="103" spans="1:9" ht="30" customHeight="1" thickTop="1" thickBot="1">
      <c r="A103" s="1886" t="s">
        <v>463</v>
      </c>
      <c r="B103" s="1887"/>
      <c r="C103" s="1895">
        <f>'Ertragsv. 2025'!C10+'Ertragsv. 2025'!D10+'Ertragsv. 2025'!E10</f>
        <v>0</v>
      </c>
      <c r="D103" s="1896">
        <f>'Ertragsv. 2025'!F10+'Ertragsv. 2025'!G10+'Ertragsv. 2025'!H10</f>
        <v>0</v>
      </c>
      <c r="E103" s="1896">
        <f>'Ertragsv. 2025'!I10+'Ertragsv. 2025'!J10+'Ertragsv. 2025'!K10</f>
        <v>0</v>
      </c>
      <c r="F103" s="1896">
        <f>'Ertragsv. 2025'!L10+'Ertragsv. 2025'!M10+'Ertragsv. 2025'!N10</f>
        <v>0</v>
      </c>
      <c r="G103" s="1896">
        <f t="shared" si="14"/>
        <v>0</v>
      </c>
      <c r="H103" s="1896">
        <f>'Ertragsv. 2026'!O10</f>
        <v>0</v>
      </c>
      <c r="I103" s="1897">
        <f>'Ertragsv. 2027'!O10</f>
        <v>0</v>
      </c>
    </row>
    <row r="104" spans="1:9" ht="30" customHeight="1" thickTop="1" thickBot="1">
      <c r="A104" s="1886" t="s">
        <v>464</v>
      </c>
      <c r="B104" s="1887"/>
      <c r="C104" s="1895">
        <f>'Ertragsv. 2025'!C9+'Ertragsv. 2025'!D9+'Ertragsv. 2025'!E9+'Ertragsv. 2025'!C11+'Ertragsv. 2025'!D11+'Ertragsv. 2025'!E11+'Ertragsv. 2025'!C12+'Ertragsv. 2025'!D12+'Ertragsv. 2025'!E12+'Ertragsv. 2025'!C13+'Ertragsv. 2025'!D13+'Ertragsv. 2025'!E13+'Ertragsv. 2025'!C15+'Ertragsv. 2025'!D15+'Ertragsv. 2025'!E15+'Ertragsv. 2025'!C16+'Ertragsv. 2025'!D16+'Ertragsv. 2025'!E16+'Ertragsv. 2025'!C19+'Ertragsv. 2025'!D19+'Ertragsv. 2025'!E19</f>
        <v>0</v>
      </c>
      <c r="D104" s="1896">
        <f>'Ertragsv. 2025'!F9+'Ertragsv. 2025'!G9+'Ertragsv. 2025'!H9+'Ertragsv. 2025'!F11+'Ertragsv. 2025'!G11+'Ertragsv. 2025'!H11+'Ertragsv. 2025'!F12+'Ertragsv. 2025'!G12+'Ertragsv. 2025'!H12+'Ertragsv. 2025'!F13+'Ertragsv. 2025'!G13+'Ertragsv. 2025'!H13+'Ertragsv. 2025'!F15+'Ertragsv. 2025'!G15+'Ertragsv. 2025'!H15+'Ertragsv. 2025'!F16+'Ertragsv. 2025'!G16+'Ertragsv. 2025'!H16+'Ertragsv. 2025'!F19+'Ertragsv. 2025'!G19+'Ertragsv. 2025'!H19</f>
        <v>0</v>
      </c>
      <c r="E104" s="1896">
        <f>'Ertragsv. 2025'!I9+'Ertragsv. 2025'!J9+'Ertragsv. 2025'!K9+'Ertragsv. 2025'!I11+'Ertragsv. 2025'!J11+'Ertragsv. 2025'!K11+'Ertragsv. 2025'!I12+'Ertragsv. 2025'!J12+'Ertragsv. 2025'!K12+'Ertragsv. 2025'!I13+'Ertragsv. 2025'!J13+'Ertragsv. 2025'!K13+'Ertragsv. 2025'!I15+'Ertragsv. 2025'!J15+'Ertragsv. 2025'!K15+'Ertragsv. 2025'!I16+'Ertragsv. 2025'!J16+'Ertragsv. 2025'!K16+'Ertragsv. 2025'!I19+'Ertragsv. 2025'!J19+'Ertragsv. 2025'!K19</f>
        <v>0</v>
      </c>
      <c r="F104" s="1896">
        <f>'Ertragsv. 2025'!L9+'Ertragsv. 2025'!M9+'Ertragsv. 2025'!N9+'Ertragsv. 2025'!L11+'Ertragsv. 2025'!M11+'Ertragsv. 2025'!N11+'Ertragsv. 2025'!L12+'Ertragsv. 2025'!M12+'Ertragsv. 2025'!N12+'Ertragsv. 2025'!L13+'Ertragsv. 2025'!M13+'Ertragsv. 2025'!N13+'Ertragsv. 2025'!L15+'Ertragsv. 2025'!M15+'Ertragsv. 2025'!N15+'Ertragsv. 2025'!L16+'Ertragsv. 2025'!M16+'Ertragsv. 2025'!N16+'Ertragsv. 2025'!L19+'Ertragsv. 2025'!M19+'Ertragsv. 2025'!N19</f>
        <v>0</v>
      </c>
      <c r="G104" s="1896">
        <f t="shared" si="14"/>
        <v>0</v>
      </c>
      <c r="H104" s="1896">
        <f>'Ertragsv. 2026'!O11+'Ertragsv. 2026'!O12+'Ertragsv. 2026'!O13+'Ertragsv. 2026'!O15+'Ertragsv. 2026'!O16+'Ertragsv. 2026'!O9</f>
        <v>0</v>
      </c>
      <c r="I104" s="1897">
        <f>'Ertragsv. 2027'!O9+'Ertragsv. 2027'!O11+'Ertragsv. 2027'!O12+'Ertragsv. 2027'!O13+'Ertragsv. 2027'!O15+'Ertragsv. 2027'!O16</f>
        <v>0</v>
      </c>
    </row>
    <row r="105" spans="1:9" ht="30" customHeight="1" thickTop="1" thickBot="1">
      <c r="A105" s="1886" t="s">
        <v>249</v>
      </c>
      <c r="B105" s="1887"/>
      <c r="C105" s="1895">
        <f>'Ertragsv. 2025'!C17+'Ertragsv. 2025'!D17+'Ertragsv. 2025'!E17-D19</f>
        <v>0</v>
      </c>
      <c r="D105" s="1896">
        <f>'Ertragsv. 2025'!F17+'Ertragsv. 2025'!G17+'Ertragsv. 2025'!H17-D23</f>
        <v>0</v>
      </c>
      <c r="E105" s="1896">
        <f>'Ertragsv. 2025'!I17+'Ertragsv. 2025'!J17+'Ertragsv. 2025'!K17-D27</f>
        <v>0</v>
      </c>
      <c r="F105" s="1896">
        <f>'Ertragsv. 2025'!L17+'Ertragsv. 2025'!M17+'Ertragsv. 2025'!N17-D31</f>
        <v>0</v>
      </c>
      <c r="G105" s="1896">
        <f t="shared" si="14"/>
        <v>0</v>
      </c>
      <c r="H105" s="1896">
        <f>'Ertragsv. 2026'!O17-D45</f>
        <v>0</v>
      </c>
      <c r="I105" s="1897">
        <f>'Ertragsv. 2027'!O17-D58</f>
        <v>0</v>
      </c>
    </row>
    <row r="106" spans="1:9" ht="30" customHeight="1" thickTop="1" thickBot="1">
      <c r="A106" s="1886" t="s">
        <v>253</v>
      </c>
      <c r="B106" s="1887"/>
      <c r="C106" s="1895">
        <f t="shared" ref="C106:I106" si="15">C94-C95+C97-C98-C99-C100-C101-C102-C103-C104-C105</f>
        <v>0</v>
      </c>
      <c r="D106" s="1895">
        <f t="shared" si="15"/>
        <v>0</v>
      </c>
      <c r="E106" s="1895">
        <f t="shared" si="15"/>
        <v>0</v>
      </c>
      <c r="F106" s="1895">
        <f t="shared" si="15"/>
        <v>0</v>
      </c>
      <c r="G106" s="1895">
        <f t="shared" si="15"/>
        <v>0</v>
      </c>
      <c r="H106" s="1895">
        <f t="shared" si="15"/>
        <v>0</v>
      </c>
      <c r="I106" s="1901">
        <f t="shared" si="15"/>
        <v>0</v>
      </c>
    </row>
    <row r="107" spans="1:9" ht="30" customHeight="1" thickTop="1" thickBot="1">
      <c r="A107" s="1886" t="s">
        <v>465</v>
      </c>
      <c r="B107" s="1887"/>
      <c r="C107" s="1895">
        <f>'Ertragsv. 2025'!C25+'Ertragsv. 2025'!D25+'Ertragsv. 2025'!E25</f>
        <v>0</v>
      </c>
      <c r="D107" s="1896">
        <f>'Ertragsv. 2025'!F25+'Ertragsv. 2025'!G25+'Ertragsv. 2025'!H25</f>
        <v>0</v>
      </c>
      <c r="E107" s="1896">
        <f>'Ertragsv. 2025'!I25+'Ertragsv. 2025'!J25+'Ertragsv. 2025'!K25</f>
        <v>0</v>
      </c>
      <c r="F107" s="1896">
        <f>'Ertragsv. 2025'!L25+'Ertragsv. 2025'!M25+'Ertragsv. 2025'!N25</f>
        <v>0</v>
      </c>
      <c r="G107" s="1896">
        <f>SUM(C107:F107)</f>
        <v>0</v>
      </c>
      <c r="H107" s="1896">
        <f>'Ertragsv. 2026'!O25</f>
        <v>0</v>
      </c>
      <c r="I107" s="1897">
        <f>'Ertragsv. 2027'!O25</f>
        <v>0</v>
      </c>
    </row>
    <row r="108" spans="1:9" ht="30" customHeight="1" thickTop="1" thickBot="1">
      <c r="A108" s="1886" t="s">
        <v>466</v>
      </c>
      <c r="B108" s="1887"/>
      <c r="C108" s="1899"/>
      <c r="D108" s="1902"/>
      <c r="E108" s="1902"/>
      <c r="F108" s="1902"/>
      <c r="G108" s="1902"/>
      <c r="H108" s="1902"/>
      <c r="I108" s="1903"/>
    </row>
    <row r="109" spans="1:9" ht="30" customHeight="1" thickTop="1" thickBot="1">
      <c r="A109" s="1886" t="s">
        <v>467</v>
      </c>
      <c r="B109" s="1887"/>
      <c r="C109" s="1899"/>
      <c r="D109" s="1902"/>
      <c r="E109" s="1902"/>
      <c r="F109" s="1902"/>
      <c r="G109" s="1902"/>
      <c r="H109" s="1902"/>
      <c r="I109" s="1903"/>
    </row>
    <row r="110" spans="1:9" ht="30" customHeight="1" thickTop="1" thickBot="1">
      <c r="A110" s="1886" t="s">
        <v>468</v>
      </c>
      <c r="B110" s="1887"/>
      <c r="C110" s="1895">
        <f t="shared" ref="C110:I110" si="16">C106-C107+C108-C109</f>
        <v>0</v>
      </c>
      <c r="D110" s="1896">
        <f t="shared" si="16"/>
        <v>0</v>
      </c>
      <c r="E110" s="1896">
        <f t="shared" si="16"/>
        <v>0</v>
      </c>
      <c r="F110" s="1896">
        <f t="shared" si="16"/>
        <v>0</v>
      </c>
      <c r="G110" s="1896">
        <f t="shared" si="16"/>
        <v>0</v>
      </c>
      <c r="H110" s="1896">
        <f t="shared" si="16"/>
        <v>0</v>
      </c>
      <c r="I110" s="1897">
        <f t="shared" si="16"/>
        <v>0</v>
      </c>
    </row>
    <row r="111" spans="1:9" ht="30" customHeight="1" thickTop="1" thickBot="1">
      <c r="A111" s="1886"/>
      <c r="B111" s="1887"/>
      <c r="C111" s="1904"/>
      <c r="D111" s="1904"/>
      <c r="E111" s="1904"/>
      <c r="F111" s="1904"/>
      <c r="G111" s="1904"/>
      <c r="H111" s="1904"/>
      <c r="I111" s="1905"/>
    </row>
    <row r="112" spans="1:9" ht="30" customHeight="1" thickTop="1" thickBot="1">
      <c r="A112" s="1886" t="s">
        <v>469</v>
      </c>
      <c r="B112" s="1887"/>
      <c r="C112" s="1906">
        <f t="shared" ref="C112:I112" si="17">C106+C99</f>
        <v>0</v>
      </c>
      <c r="D112" s="1906">
        <f t="shared" si="17"/>
        <v>0</v>
      </c>
      <c r="E112" s="1906">
        <f t="shared" si="17"/>
        <v>0</v>
      </c>
      <c r="F112" s="1906">
        <f t="shared" si="17"/>
        <v>0</v>
      </c>
      <c r="G112" s="1906">
        <f t="shared" si="17"/>
        <v>0</v>
      </c>
      <c r="H112" s="1906">
        <f t="shared" si="17"/>
        <v>0</v>
      </c>
      <c r="I112" s="1907">
        <f t="shared" si="17"/>
        <v>0</v>
      </c>
    </row>
    <row r="113" spans="1:9" ht="30" customHeight="1" thickTop="1" thickBot="1">
      <c r="A113" s="1886" t="s">
        <v>470</v>
      </c>
      <c r="B113" s="1887"/>
      <c r="C113" s="1906">
        <f>E19</f>
        <v>0</v>
      </c>
      <c r="D113" s="1906">
        <f>E23</f>
        <v>0</v>
      </c>
      <c r="E113" s="1906">
        <f>E27</f>
        <v>0</v>
      </c>
      <c r="F113" s="1906">
        <f>E31</f>
        <v>0</v>
      </c>
      <c r="G113" s="1906">
        <f>SUM(C113:F113)</f>
        <v>0</v>
      </c>
      <c r="H113" s="1906">
        <f>E45</f>
        <v>0</v>
      </c>
      <c r="I113" s="1907">
        <f>E58</f>
        <v>0</v>
      </c>
    </row>
    <row r="114" spans="1:9" ht="30" customHeight="1" thickTop="1" thickBot="1">
      <c r="A114" s="1886" t="s">
        <v>471</v>
      </c>
      <c r="B114" s="1887"/>
      <c r="C114" s="1906">
        <f>(Finanz_AfA_Investitionen!$G$38-Finanz_AfA_Investitionen!$G$37)*3</f>
        <v>0</v>
      </c>
      <c r="D114" s="1906">
        <f>(Finanz_AfA_Investitionen!$G$38-Finanz_AfA_Investitionen!$G$37)*3</f>
        <v>0</v>
      </c>
      <c r="E114" s="1906">
        <f>(Finanz_AfA_Investitionen!$G$38-Finanz_AfA_Investitionen!$G$37)*3</f>
        <v>0</v>
      </c>
      <c r="F114" s="1906">
        <f>(Finanz_AfA_Investitionen!$G$38-Finanz_AfA_Investitionen!$G$37)*3</f>
        <v>0</v>
      </c>
      <c r="G114" s="1906">
        <f>SUM(C114:F114)</f>
        <v>0</v>
      </c>
      <c r="H114" s="1906">
        <f>(Finanz_AfA_Investitionen!$G$38-Finanz_AfA_Investitionen!$G$37)*12</f>
        <v>0</v>
      </c>
      <c r="I114" s="1907">
        <f>(Finanz_AfA_Investitionen!$G$38-Finanz_AfA_Investitionen!$G$37)*12</f>
        <v>0</v>
      </c>
    </row>
    <row r="115" spans="1:9" ht="30" customHeight="1" thickTop="1" thickBot="1">
      <c r="A115" s="1886" t="s">
        <v>472</v>
      </c>
      <c r="B115" s="1887"/>
      <c r="C115" s="1906">
        <f>'Ertragsv. 2025'!C27+'Ertragsv. 2025'!D27+'Ertragsv. 2025'!E27</f>
        <v>0</v>
      </c>
      <c r="D115" s="1906">
        <f>'Ertragsv. 2025'!F27+'Ertragsv. 2025'!G27+'Ertragsv. 2025'!H27</f>
        <v>0</v>
      </c>
      <c r="E115" s="1906">
        <f>'Ertragsv. 2025'!I27+'Ertragsv. 2025'!J27+'Ertragsv. 2025'!K27</f>
        <v>0</v>
      </c>
      <c r="F115" s="1906">
        <f>'Ertragsv. 2025'!L27+'Ertragsv. 2025'!M27+'Ertragsv. 2025'!N27</f>
        <v>0</v>
      </c>
      <c r="G115" s="1906">
        <f>SUM(C115:F115)</f>
        <v>0</v>
      </c>
      <c r="H115" s="1906">
        <f>'Ertragsv. 2026'!O27</f>
        <v>0</v>
      </c>
      <c r="I115" s="1958">
        <f>'Ertragsv. 2027'!O27</f>
        <v>0</v>
      </c>
    </row>
    <row r="116" spans="1:9" ht="30" customHeight="1" thickTop="1" thickBot="1">
      <c r="A116" s="1908" t="s">
        <v>473</v>
      </c>
      <c r="B116" s="1909"/>
      <c r="C116" s="1910">
        <f>C112-C113-C115</f>
        <v>0</v>
      </c>
      <c r="D116" s="1910">
        <f>D112-D113-D115</f>
        <v>0</v>
      </c>
      <c r="E116" s="1910">
        <f>E112-E113-E115</f>
        <v>0</v>
      </c>
      <c r="F116" s="1910">
        <f>F112-F113-F115</f>
        <v>0</v>
      </c>
      <c r="G116" s="1910">
        <f>G112-G113-G115</f>
        <v>0</v>
      </c>
      <c r="H116" s="1910">
        <f>H112-H113-H114-H115</f>
        <v>0</v>
      </c>
      <c r="I116" s="1957">
        <f>I112-I113-I114-I115</f>
        <v>0</v>
      </c>
    </row>
    <row r="117" spans="1:9" ht="30" customHeight="1" thickTop="1"/>
    <row r="118" spans="1:9" ht="30" customHeight="1"/>
    <row r="119" spans="1:9" ht="30" customHeight="1"/>
    <row r="120" spans="1:9" ht="30" customHeight="1"/>
    <row r="121" spans="1:9" ht="30" customHeight="1"/>
  </sheetData>
  <mergeCells count="4">
    <mergeCell ref="C92:F92"/>
    <mergeCell ref="B1:F1"/>
    <mergeCell ref="B3:F3"/>
    <mergeCell ref="B5:F7"/>
  </mergeCells>
  <dataValidations count="1">
    <dataValidation type="list" allowBlank="1" showInputMessage="1" showErrorMessage="1" sqref="E9" xr:uid="{FB796540-AB0C-4FFA-9CB0-D5AA33D51C48}">
      <formula1>$J$14:$J$17</formula1>
    </dataValidation>
  </dataValidations>
  <hyperlinks>
    <hyperlink ref="A3" location="'Mikrostarter Geschäftsplan'!A103" display="Geschäftsplan Antrag" xr:uid="{F5CF2A6B-DBAA-404C-85A3-7F0607713D93}"/>
    <hyperlink ref="A92" location="'Mikrostarter Geschäftsplan'!A1" display="zurück" xr:uid="{F17BF1FC-7B30-4C37-9DDC-AB861CD46B94}"/>
  </hyperlinks>
  <pageMargins left="0.70866141732283472" right="0.31496062992125984" top="0.78740157480314965" bottom="0.78740157480314965" header="0.31496062992125984" footer="0.31496062992125984"/>
  <pageSetup paperSize="9" scale="80" orientation="portrait" horizontalDpi="300" verticalDpi="300"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8D6B-300D-4955-8FD5-009EEA45F782}">
  <sheetPr>
    <tabColor indexed="44"/>
    <pageSetUpPr autoPageBreaks="0"/>
  </sheetPr>
  <dimension ref="A1:X125"/>
  <sheetViews>
    <sheetView showGridLines="0" showRuler="0" topLeftCell="A78" zoomScaleNormal="100" zoomScalePageLayoutView="50" workbookViewId="0">
      <selection activeCell="P110" sqref="P110"/>
    </sheetView>
  </sheetViews>
  <sheetFormatPr defaultColWidth="11.42578125" defaultRowHeight="12.75"/>
  <cols>
    <col min="1" max="1" width="3.28515625" style="1105" customWidth="1"/>
    <col min="2" max="2" width="4.7109375" style="1105" customWidth="1"/>
    <col min="3" max="3" width="48.7109375" style="1105" customWidth="1"/>
    <col min="4" max="4" width="11.140625" style="1105" customWidth="1"/>
    <col min="5" max="5" width="14" style="1105" customWidth="1"/>
    <col min="6" max="6" width="12.140625" style="1178" customWidth="1"/>
    <col min="7" max="7" width="13.7109375" style="1105" customWidth="1"/>
    <col min="8" max="8" width="11.28515625" style="1105" customWidth="1"/>
    <col min="9" max="9" width="13.7109375" style="1105" customWidth="1"/>
    <col min="10" max="10" width="2.7109375" style="1105" customWidth="1"/>
    <col min="11" max="11" width="8" style="1105" customWidth="1"/>
    <col min="12" max="12" width="6.7109375" style="1105" customWidth="1"/>
    <col min="13" max="13" width="8.140625" style="1105" customWidth="1"/>
    <col min="14" max="14" width="9.42578125" style="1105" customWidth="1"/>
    <col min="15" max="15" width="7.7109375" style="1105" customWidth="1"/>
    <col min="16" max="16" width="13.28515625" style="1105" customWidth="1"/>
    <col min="17" max="17" width="14.85546875" style="1105" customWidth="1"/>
    <col min="18" max="18" width="14.28515625" style="1105" customWidth="1"/>
    <col min="19" max="19" width="8.85546875" style="1105" customWidth="1"/>
    <col min="20" max="20" width="10" style="1105" customWidth="1"/>
    <col min="21" max="21" width="10.7109375" style="1105" customWidth="1"/>
    <col min="22" max="22" width="7.85546875" style="1105" customWidth="1"/>
    <col min="23" max="16384" width="11.42578125" style="1105"/>
  </cols>
  <sheetData>
    <row r="1" spans="1:24" ht="18.75" thickTop="1">
      <c r="A1" s="2109"/>
      <c r="B1" s="2390" t="s">
        <v>474</v>
      </c>
      <c r="C1" s="2390"/>
      <c r="D1" s="2390"/>
      <c r="E1" s="2390"/>
      <c r="F1" s="2390"/>
      <c r="G1" s="2390"/>
      <c r="H1" s="2390"/>
      <c r="I1" s="2390"/>
      <c r="J1" s="2110"/>
      <c r="K1" s="1470"/>
      <c r="L1" s="1471"/>
      <c r="M1" s="1471"/>
      <c r="N1" s="1471"/>
      <c r="O1" s="1471"/>
      <c r="P1" s="1472"/>
      <c r="Q1" s="424"/>
      <c r="R1" s="424"/>
      <c r="S1" s="1472"/>
      <c r="T1" s="1472"/>
      <c r="U1" s="1228"/>
      <c r="V1" s="2111"/>
      <c r="W1" s="2111"/>
      <c r="X1" s="2111"/>
    </row>
    <row r="2" spans="1:24" ht="13.5" thickBot="1">
      <c r="A2" s="2112"/>
      <c r="B2" s="2391"/>
      <c r="C2" s="2391"/>
      <c r="D2" s="2391"/>
      <c r="E2" s="2391"/>
      <c r="F2" s="2391"/>
      <c r="G2" s="2391"/>
      <c r="H2" s="2391"/>
      <c r="I2" s="2391"/>
      <c r="J2" s="2113"/>
      <c r="K2" s="1228"/>
      <c r="L2" s="1228"/>
      <c r="M2" s="1228"/>
      <c r="N2" s="424"/>
      <c r="O2" s="424"/>
      <c r="P2" s="1473"/>
      <c r="Q2" s="1473"/>
      <c r="R2" s="1473"/>
      <c r="S2" s="424"/>
      <c r="T2" s="1473"/>
      <c r="U2" s="1228"/>
      <c r="V2" s="1211"/>
      <c r="W2" s="1211"/>
      <c r="X2" s="1210"/>
    </row>
    <row r="3" spans="1:24" ht="18.600000000000001" customHeight="1" thickBot="1">
      <c r="A3" s="2112"/>
      <c r="B3" s="2043"/>
      <c r="C3" s="2396" t="s">
        <v>475</v>
      </c>
      <c r="D3" s="2185">
        <f>ZusammenführErgebn!C3</f>
        <v>2025</v>
      </c>
      <c r="E3" s="2398"/>
      <c r="F3" s="2399">
        <f>ZusammenführErgebn!D3</f>
        <v>2026</v>
      </c>
      <c r="G3" s="2398"/>
      <c r="H3" s="2399">
        <f>ZusammenführErgebn!E3</f>
        <v>2027</v>
      </c>
      <c r="I3" s="2186"/>
      <c r="J3" s="2113"/>
      <c r="K3" s="424"/>
      <c r="L3" s="424"/>
      <c r="M3" s="424"/>
      <c r="N3" s="424"/>
      <c r="O3" s="424"/>
      <c r="P3" s="1473"/>
      <c r="Q3" s="1473"/>
      <c r="R3" s="1473"/>
      <c r="S3" s="1473"/>
      <c r="T3" s="1473"/>
      <c r="U3" s="424"/>
      <c r="V3" s="1210"/>
      <c r="W3" s="1210"/>
      <c r="X3" s="1210"/>
    </row>
    <row r="4" spans="1:24" ht="16.149999999999999" customHeight="1" thickBot="1">
      <c r="A4" s="2112"/>
      <c r="B4" s="215" t="s">
        <v>476</v>
      </c>
      <c r="C4" s="2397"/>
      <c r="D4" s="216"/>
      <c r="E4" s="217">
        <v>12</v>
      </c>
      <c r="F4" s="216"/>
      <c r="G4" s="132"/>
      <c r="H4" s="130"/>
      <c r="I4" s="131"/>
      <c r="J4" s="2113"/>
      <c r="K4" s="2395"/>
      <c r="L4" s="2395"/>
      <c r="M4" s="2395"/>
      <c r="N4" s="2395"/>
      <c r="O4" s="424"/>
      <c r="P4" s="1473"/>
      <c r="Q4" s="1473"/>
      <c r="R4" s="1473"/>
      <c r="S4" s="1473"/>
      <c r="T4" s="1473"/>
      <c r="U4" s="424"/>
      <c r="V4" s="1210"/>
      <c r="W4" s="1210"/>
      <c r="X4" s="1210"/>
    </row>
    <row r="5" spans="1:24" hidden="1">
      <c r="A5" s="2112"/>
      <c r="B5" s="178"/>
      <c r="C5" s="2397"/>
      <c r="D5" s="216" t="s">
        <v>181</v>
      </c>
      <c r="E5" s="132" t="s">
        <v>182</v>
      </c>
      <c r="F5" s="130" t="s">
        <v>181</v>
      </c>
      <c r="G5" s="132" t="s">
        <v>182</v>
      </c>
      <c r="H5" s="130" t="s">
        <v>181</v>
      </c>
      <c r="I5" s="131" t="s">
        <v>182</v>
      </c>
      <c r="J5" s="2113"/>
      <c r="K5" s="1474"/>
      <c r="L5" s="1474"/>
      <c r="M5" s="1474"/>
      <c r="N5" s="1474"/>
      <c r="O5" s="424"/>
      <c r="P5" s="1473"/>
      <c r="Q5" s="1473"/>
      <c r="R5" s="1475"/>
      <c r="S5" s="1473"/>
      <c r="T5" s="1473"/>
      <c r="U5" s="424"/>
      <c r="V5" s="1210"/>
      <c r="W5" s="1210"/>
      <c r="X5" s="1210"/>
    </row>
    <row r="6" spans="1:24" ht="16.5" customHeight="1">
      <c r="A6" s="2112"/>
      <c r="B6" s="180"/>
      <c r="C6" s="143" t="s">
        <v>477</v>
      </c>
      <c r="D6" s="18">
        <v>8</v>
      </c>
      <c r="E6" s="135">
        <f>D6</f>
        <v>8</v>
      </c>
      <c r="F6" s="710">
        <f>D6</f>
        <v>8</v>
      </c>
      <c r="G6" s="134">
        <f>F6</f>
        <v>8</v>
      </c>
      <c r="H6" s="710">
        <f>F6</f>
        <v>8</v>
      </c>
      <c r="I6" s="711">
        <f>H6</f>
        <v>8</v>
      </c>
      <c r="J6" s="2113"/>
      <c r="K6" s="424"/>
      <c r="L6" s="424"/>
      <c r="M6" s="424"/>
      <c r="N6" s="424"/>
      <c r="O6" s="424"/>
      <c r="P6" s="1473"/>
      <c r="Q6" s="1473"/>
      <c r="R6" s="1473"/>
      <c r="S6" s="1473"/>
      <c r="T6" s="1473"/>
      <c r="U6" s="424"/>
      <c r="V6" s="1210"/>
      <c r="W6" s="1210"/>
      <c r="X6" s="1210"/>
    </row>
    <row r="7" spans="1:24" ht="16.5" customHeight="1">
      <c r="A7" s="2112"/>
      <c r="B7" s="180"/>
      <c r="C7" s="218" t="s">
        <v>478</v>
      </c>
      <c r="D7" s="133">
        <f>E7/12</f>
        <v>30.416666666666668</v>
      </c>
      <c r="E7" s="136">
        <f>365/12*E4</f>
        <v>365</v>
      </c>
      <c r="F7" s="136">
        <f>G7/12</f>
        <v>30.416666666666668</v>
      </c>
      <c r="G7" s="128">
        <f>365</f>
        <v>365</v>
      </c>
      <c r="H7" s="136">
        <f>I7/12</f>
        <v>30.416666666666668</v>
      </c>
      <c r="I7" s="137">
        <f>365</f>
        <v>365</v>
      </c>
      <c r="J7" s="720"/>
      <c r="K7" s="424"/>
      <c r="L7" s="424"/>
      <c r="M7" s="424"/>
      <c r="N7" s="424"/>
      <c r="O7" s="424"/>
      <c r="P7" s="1473"/>
      <c r="Q7" s="1473"/>
      <c r="R7" s="1473"/>
      <c r="S7" s="1473"/>
      <c r="T7" s="1473"/>
      <c r="U7" s="424"/>
      <c r="V7" s="1210"/>
      <c r="W7" s="1210"/>
      <c r="X7" s="1210"/>
    </row>
    <row r="8" spans="1:24" ht="16.5" customHeight="1">
      <c r="A8" s="2112"/>
      <c r="B8" s="180"/>
      <c r="C8" s="219" t="s">
        <v>479</v>
      </c>
      <c r="D8" s="133">
        <f>E8/$E$4</f>
        <v>8.6666666666666661</v>
      </c>
      <c r="E8" s="136">
        <f>104/12*E4</f>
        <v>104</v>
      </c>
      <c r="F8" s="136">
        <f>G8/12</f>
        <v>8.6666666666666661</v>
      </c>
      <c r="G8" s="134">
        <f>104</f>
        <v>104</v>
      </c>
      <c r="H8" s="136">
        <f>I8/12</f>
        <v>8.6666666666666661</v>
      </c>
      <c r="I8" s="137">
        <f>104</f>
        <v>104</v>
      </c>
      <c r="J8" s="720"/>
      <c r="K8" s="424"/>
      <c r="L8" s="424"/>
      <c r="M8" s="424"/>
      <c r="N8" s="424"/>
      <c r="O8" s="424"/>
      <c r="P8" s="1473"/>
      <c r="Q8" s="1473"/>
      <c r="R8" s="1473"/>
      <c r="S8" s="1473"/>
      <c r="T8" s="1473"/>
      <c r="U8" s="424"/>
      <c r="V8" s="1210"/>
      <c r="W8" s="1210"/>
      <c r="X8" s="1210"/>
    </row>
    <row r="9" spans="1:24" ht="16.5" customHeight="1">
      <c r="A9" s="2112"/>
      <c r="B9" s="180"/>
      <c r="C9" s="219" t="s">
        <v>480</v>
      </c>
      <c r="D9" s="134">
        <f>E9/12</f>
        <v>0.83333333333333337</v>
      </c>
      <c r="E9" s="19">
        <v>10</v>
      </c>
      <c r="F9" s="134">
        <f>G9/12</f>
        <v>0.83333333333333337</v>
      </c>
      <c r="G9" s="19">
        <v>10</v>
      </c>
      <c r="H9" s="134">
        <f>I9/12</f>
        <v>0.83333333333333337</v>
      </c>
      <c r="I9" s="20">
        <v>10</v>
      </c>
      <c r="J9" s="720"/>
      <c r="K9" s="424"/>
      <c r="L9" s="424"/>
      <c r="M9" s="424"/>
      <c r="N9" s="424"/>
      <c r="O9" s="424"/>
      <c r="P9" s="1473"/>
      <c r="Q9" s="1473"/>
      <c r="R9" s="1473"/>
      <c r="S9" s="1473"/>
      <c r="T9" s="1473"/>
      <c r="U9" s="424"/>
      <c r="V9" s="1210"/>
      <c r="W9" s="1210"/>
      <c r="X9" s="1210"/>
    </row>
    <row r="10" spans="1:24" ht="16.5" customHeight="1">
      <c r="A10" s="2112"/>
      <c r="B10" s="180"/>
      <c r="C10" s="219" t="s">
        <v>481</v>
      </c>
      <c r="D10" s="134">
        <f>E10/$E$4</f>
        <v>1.6666666666666667</v>
      </c>
      <c r="E10" s="1973">
        <v>20</v>
      </c>
      <c r="F10" s="134">
        <f>G10/12</f>
        <v>1.6666666666666667</v>
      </c>
      <c r="G10" s="19">
        <v>20</v>
      </c>
      <c r="H10" s="134">
        <f>I10/12</f>
        <v>1.6666666666666667</v>
      </c>
      <c r="I10" s="20">
        <v>20</v>
      </c>
      <c r="J10" s="720"/>
      <c r="K10" s="424"/>
      <c r="L10" s="424"/>
      <c r="M10" s="424"/>
      <c r="N10" s="424"/>
      <c r="O10" s="424"/>
      <c r="P10" s="1473"/>
      <c r="Q10" s="1473"/>
      <c r="R10" s="1473"/>
      <c r="S10" s="1473"/>
      <c r="T10" s="1473"/>
      <c r="U10" s="424"/>
      <c r="V10" s="1210"/>
      <c r="W10" s="1210"/>
      <c r="X10" s="1210"/>
    </row>
    <row r="11" spans="1:24" ht="16.5" customHeight="1">
      <c r="A11" s="2112"/>
      <c r="B11" s="180"/>
      <c r="C11" s="219" t="s">
        <v>482</v>
      </c>
      <c r="D11" s="712">
        <f>E11/$E$4</f>
        <v>1.25</v>
      </c>
      <c r="E11" s="1972">
        <v>15</v>
      </c>
      <c r="F11" s="712">
        <f>G11/12</f>
        <v>1.25</v>
      </c>
      <c r="G11" s="1972">
        <v>15</v>
      </c>
      <c r="H11" s="712">
        <f>I11/12</f>
        <v>1.25</v>
      </c>
      <c r="I11" s="1972">
        <v>15</v>
      </c>
      <c r="J11" s="720"/>
      <c r="K11" s="424"/>
      <c r="L11" s="424"/>
      <c r="M11" s="424"/>
      <c r="N11" s="424"/>
      <c r="O11" s="424"/>
      <c r="P11" s="1473"/>
      <c r="Q11" s="1473"/>
      <c r="R11" s="1475"/>
      <c r="S11" s="1473"/>
      <c r="T11" s="1473"/>
      <c r="U11" s="424"/>
      <c r="V11" s="1210"/>
      <c r="W11" s="1210"/>
      <c r="X11" s="1210"/>
    </row>
    <row r="12" spans="1:24" ht="16.5" customHeight="1">
      <c r="A12" s="2112"/>
      <c r="B12" s="220"/>
      <c r="C12" s="221" t="s">
        <v>483</v>
      </c>
      <c r="D12" s="139">
        <f t="shared" ref="D12:I12" si="0">D7-SUM(D8:D11)</f>
        <v>18</v>
      </c>
      <c r="E12" s="140">
        <f t="shared" si="0"/>
        <v>216</v>
      </c>
      <c r="F12" s="141">
        <f t="shared" si="0"/>
        <v>18</v>
      </c>
      <c r="G12" s="140">
        <f t="shared" si="0"/>
        <v>216</v>
      </c>
      <c r="H12" s="141">
        <f t="shared" si="0"/>
        <v>18</v>
      </c>
      <c r="I12" s="142">
        <f t="shared" si="0"/>
        <v>216</v>
      </c>
      <c r="J12" s="720"/>
      <c r="K12" s="424"/>
      <c r="L12" s="424"/>
      <c r="M12" s="424"/>
      <c r="N12" s="424"/>
      <c r="O12" s="424"/>
      <c r="P12" s="1473"/>
      <c r="Q12" s="1473"/>
      <c r="R12" s="1475"/>
      <c r="S12" s="1473"/>
      <c r="T12" s="1473"/>
      <c r="U12" s="424"/>
      <c r="V12" s="1210"/>
      <c r="W12" s="1210"/>
      <c r="X12" s="1210"/>
    </row>
    <row r="13" spans="1:24" ht="15.6" customHeight="1" thickBot="1">
      <c r="A13" s="2112"/>
      <c r="B13" s="180"/>
      <c r="C13" s="218"/>
      <c r="D13" s="222"/>
      <c r="E13" s="223"/>
      <c r="F13" s="60"/>
      <c r="G13" s="223"/>
      <c r="H13" s="60"/>
      <c r="I13" s="224"/>
      <c r="J13" s="720"/>
      <c r="K13" s="424"/>
      <c r="L13" s="424"/>
      <c r="M13" s="424"/>
      <c r="N13" s="424"/>
      <c r="O13" s="424"/>
      <c r="P13" s="1473"/>
      <c r="Q13" s="1473"/>
      <c r="R13" s="1475"/>
      <c r="S13" s="1473"/>
      <c r="T13" s="1473"/>
      <c r="U13" s="424"/>
      <c r="V13" s="1210"/>
      <c r="W13" s="1210"/>
      <c r="X13" s="1210"/>
    </row>
    <row r="14" spans="1:24" ht="16.5" customHeight="1" thickBot="1">
      <c r="A14" s="2112"/>
      <c r="B14" s="505"/>
      <c r="C14" s="506" t="s">
        <v>484</v>
      </c>
      <c r="D14" s="507">
        <f t="shared" ref="D14:I14" si="1">D12*D6</f>
        <v>144</v>
      </c>
      <c r="E14" s="508">
        <f t="shared" si="1"/>
        <v>1728</v>
      </c>
      <c r="F14" s="509">
        <f t="shared" si="1"/>
        <v>144</v>
      </c>
      <c r="G14" s="508">
        <f t="shared" si="1"/>
        <v>1728</v>
      </c>
      <c r="H14" s="509">
        <f t="shared" si="1"/>
        <v>144</v>
      </c>
      <c r="I14" s="510">
        <f t="shared" si="1"/>
        <v>1728</v>
      </c>
      <c r="J14" s="720"/>
      <c r="K14" s="424"/>
      <c r="L14" s="424"/>
      <c r="M14" s="424"/>
      <c r="N14" s="424"/>
      <c r="O14" s="424"/>
      <c r="P14" s="1473"/>
      <c r="Q14" s="1473"/>
      <c r="R14" s="1475"/>
      <c r="S14" s="1473"/>
      <c r="T14" s="1473"/>
      <c r="U14" s="424"/>
      <c r="V14" s="1210"/>
      <c r="W14" s="1210"/>
      <c r="X14" s="1210"/>
    </row>
    <row r="15" spans="1:24" ht="16.5" customHeight="1" thickTop="1">
      <c r="A15" s="2112"/>
      <c r="B15" s="225"/>
      <c r="C15" s="226"/>
      <c r="D15" s="134"/>
      <c r="E15" s="227"/>
      <c r="F15" s="138"/>
      <c r="G15" s="227"/>
      <c r="H15" s="138"/>
      <c r="I15" s="228"/>
      <c r="J15" s="720"/>
      <c r="K15" s="424"/>
      <c r="L15" s="424"/>
      <c r="M15" s="424"/>
      <c r="N15" s="424"/>
      <c r="O15" s="1476"/>
      <c r="P15" s="1473"/>
      <c r="Q15" s="1473"/>
      <c r="R15" s="1473"/>
      <c r="S15" s="1473"/>
      <c r="T15" s="1473"/>
      <c r="U15" s="1477"/>
      <c r="V15" s="1212"/>
      <c r="W15" s="1212"/>
      <c r="X15" s="1210"/>
    </row>
    <row r="16" spans="1:24" ht="16.5" customHeight="1">
      <c r="A16" s="2112"/>
      <c r="B16" s="225"/>
      <c r="C16" s="229" t="s">
        <v>485</v>
      </c>
      <c r="D16" s="59"/>
      <c r="E16" s="134">
        <f>D16*$E$4</f>
        <v>0</v>
      </c>
      <c r="F16" s="59"/>
      <c r="G16" s="134">
        <f>F16*12</f>
        <v>0</v>
      </c>
      <c r="H16" s="59"/>
      <c r="I16" s="230">
        <f>H16*12</f>
        <v>0</v>
      </c>
      <c r="J16" s="720"/>
      <c r="K16" s="424"/>
      <c r="L16" s="424"/>
      <c r="M16" s="424"/>
      <c r="N16" s="424"/>
      <c r="O16" s="424"/>
      <c r="P16" s="1473"/>
      <c r="Q16" s="1473"/>
      <c r="R16" s="1475"/>
      <c r="S16" s="1473"/>
      <c r="T16" s="1473"/>
      <c r="U16" s="424"/>
      <c r="V16" s="1212"/>
      <c r="W16" s="1212"/>
      <c r="X16" s="1210"/>
    </row>
    <row r="17" spans="1:24" ht="16.5" customHeight="1">
      <c r="A17" s="2112"/>
      <c r="B17" s="225"/>
      <c r="C17" s="229" t="s">
        <v>486</v>
      </c>
      <c r="D17" s="59"/>
      <c r="E17" s="134">
        <f>D17*$E$4</f>
        <v>0</v>
      </c>
      <c r="F17" s="59"/>
      <c r="G17" s="134">
        <f t="shared" ref="G17:I20" si="2">F17*12</f>
        <v>0</v>
      </c>
      <c r="H17" s="59"/>
      <c r="I17" s="230">
        <f t="shared" si="2"/>
        <v>0</v>
      </c>
      <c r="J17" s="720"/>
      <c r="K17" s="1228"/>
      <c r="L17" s="1228"/>
      <c r="M17" s="1228"/>
      <c r="N17" s="1228"/>
      <c r="O17" s="1228"/>
      <c r="P17" s="1478"/>
      <c r="Q17" s="1478"/>
      <c r="R17" s="1478"/>
      <c r="S17" s="1478"/>
      <c r="T17" s="1478"/>
      <c r="U17" s="1479"/>
      <c r="V17" s="1210"/>
      <c r="W17" s="1210"/>
      <c r="X17" s="1210"/>
    </row>
    <row r="18" spans="1:24" ht="16.5" customHeight="1">
      <c r="A18" s="2112"/>
      <c r="B18" s="225"/>
      <c r="C18" s="229" t="s">
        <v>487</v>
      </c>
      <c r="D18" s="59"/>
      <c r="E18" s="134">
        <f>D18*$E$4</f>
        <v>0</v>
      </c>
      <c r="F18" s="59"/>
      <c r="G18" s="134">
        <f t="shared" si="2"/>
        <v>0</v>
      </c>
      <c r="H18" s="59"/>
      <c r="I18" s="230">
        <f t="shared" si="2"/>
        <v>0</v>
      </c>
      <c r="J18" s="720"/>
      <c r="K18" s="2111"/>
      <c r="L18" s="2111"/>
      <c r="M18" s="2111"/>
      <c r="N18" s="2111"/>
      <c r="O18" s="2111"/>
      <c r="P18" s="2111"/>
      <c r="Q18" s="2111"/>
      <c r="R18" s="2111"/>
      <c r="S18" s="2111"/>
      <c r="T18" s="2111"/>
      <c r="U18" s="1210"/>
      <c r="V18" s="1210"/>
      <c r="W18" s="1210"/>
      <c r="X18" s="1210"/>
    </row>
    <row r="19" spans="1:24" ht="16.5" customHeight="1">
      <c r="A19" s="2112"/>
      <c r="B19" s="225"/>
      <c r="C19" s="229" t="s">
        <v>488</v>
      </c>
      <c r="D19" s="59"/>
      <c r="E19" s="134">
        <f>D19*$E$4</f>
        <v>0</v>
      </c>
      <c r="F19" s="59"/>
      <c r="G19" s="134">
        <f t="shared" si="2"/>
        <v>0</v>
      </c>
      <c r="H19" s="59"/>
      <c r="I19" s="230">
        <f t="shared" si="2"/>
        <v>0</v>
      </c>
      <c r="J19" s="720"/>
      <c r="K19" s="2388"/>
      <c r="L19" s="2389"/>
      <c r="M19" s="2389"/>
      <c r="N19" s="2389"/>
      <c r="O19" s="1480"/>
      <c r="P19" s="2114"/>
      <c r="Q19" s="2114"/>
      <c r="R19" s="2114"/>
      <c r="S19" s="2114"/>
      <c r="T19" s="2114"/>
      <c r="U19" s="1210"/>
      <c r="V19" s="1212"/>
      <c r="W19" s="1212"/>
      <c r="X19" s="1210"/>
    </row>
    <row r="20" spans="1:24" ht="16.5" customHeight="1">
      <c r="A20" s="2112"/>
      <c r="B20" s="225"/>
      <c r="C20" s="229" t="s">
        <v>489</v>
      </c>
      <c r="D20" s="59"/>
      <c r="E20" s="134">
        <f>D20*$E$4</f>
        <v>0</v>
      </c>
      <c r="F20" s="59"/>
      <c r="G20" s="134">
        <f t="shared" si="2"/>
        <v>0</v>
      </c>
      <c r="H20" s="59"/>
      <c r="I20" s="230">
        <f t="shared" si="2"/>
        <v>0</v>
      </c>
      <c r="J20" s="720"/>
      <c r="K20" s="2111"/>
      <c r="L20" s="2111"/>
      <c r="M20" s="2111"/>
      <c r="N20" s="2111"/>
      <c r="O20" s="2111"/>
      <c r="P20" s="2115"/>
      <c r="Q20" s="2115"/>
      <c r="R20" s="1211"/>
      <c r="S20" s="1211"/>
      <c r="T20" s="1211"/>
      <c r="U20" s="1210"/>
      <c r="V20" s="1210"/>
      <c r="W20" s="1210"/>
      <c r="X20" s="1210"/>
    </row>
    <row r="21" spans="1:24" ht="16.5" customHeight="1">
      <c r="A21" s="2112"/>
      <c r="B21" s="220"/>
      <c r="C21" s="221" t="s">
        <v>490</v>
      </c>
      <c r="D21" s="139">
        <f>SUM(D16:D20)*D6</f>
        <v>0</v>
      </c>
      <c r="E21" s="140">
        <f>SUM(E16:E20)</f>
        <v>0</v>
      </c>
      <c r="F21" s="141">
        <f>SUM(F16:F20)*F6</f>
        <v>0</v>
      </c>
      <c r="G21" s="140">
        <f>SUM(G16:G20)</f>
        <v>0</v>
      </c>
      <c r="H21" s="141">
        <f>SUM(H16:H20)*H6</f>
        <v>0</v>
      </c>
      <c r="I21" s="142">
        <f>SUM(I16:I20)</f>
        <v>0</v>
      </c>
      <c r="J21" s="720"/>
      <c r="K21" s="1481"/>
      <c r="L21" s="1481"/>
      <c r="M21" s="1481"/>
      <c r="N21" s="1481"/>
      <c r="O21" s="2111"/>
      <c r="P21" s="1479"/>
      <c r="Q21" s="1479"/>
      <c r="R21" s="1479"/>
      <c r="S21" s="1482"/>
      <c r="T21" s="1479"/>
      <c r="U21" s="1479"/>
      <c r="V21" s="1210"/>
      <c r="W21" s="1212"/>
      <c r="X21" s="1210"/>
    </row>
    <row r="22" spans="1:24" ht="8.25" customHeight="1" thickBot="1">
      <c r="A22" s="2112"/>
      <c r="B22" s="225"/>
      <c r="C22" s="226"/>
      <c r="D22" s="231"/>
      <c r="E22" s="232"/>
      <c r="F22" s="233"/>
      <c r="G22" s="232"/>
      <c r="H22" s="233"/>
      <c r="I22" s="234"/>
      <c r="J22" s="720"/>
      <c r="K22" s="2111"/>
      <c r="L22" s="2111"/>
      <c r="M22" s="2111"/>
      <c r="N22" s="2111"/>
      <c r="O22" s="2111"/>
      <c r="P22" s="2111"/>
      <c r="Q22" s="2111"/>
      <c r="R22" s="1210"/>
      <c r="S22" s="1483"/>
      <c r="T22" s="1210"/>
      <c r="U22" s="1210"/>
      <c r="V22" s="1210"/>
      <c r="W22" s="1210"/>
      <c r="X22" s="1210"/>
    </row>
    <row r="23" spans="1:24" ht="18" customHeight="1" thickBot="1">
      <c r="A23" s="2112"/>
      <c r="B23" s="505"/>
      <c r="C23" s="506" t="s">
        <v>491</v>
      </c>
      <c r="D23" s="507">
        <f>(D14-D21)</f>
        <v>144</v>
      </c>
      <c r="E23" s="508">
        <f>(E12-E21)*E6</f>
        <v>1728</v>
      </c>
      <c r="F23" s="509">
        <f>(F14-F21)</f>
        <v>144</v>
      </c>
      <c r="G23" s="508">
        <f>(G12-G21)*G6</f>
        <v>1728</v>
      </c>
      <c r="H23" s="509">
        <f>(H14-H21)</f>
        <v>144</v>
      </c>
      <c r="I23" s="510">
        <f>(I12-I21)*I6</f>
        <v>1728</v>
      </c>
      <c r="J23" s="720"/>
      <c r="K23" s="2111"/>
      <c r="L23" s="2111"/>
      <c r="M23" s="2111"/>
      <c r="N23" s="2111"/>
      <c r="O23" s="2111"/>
      <c r="P23" s="2111"/>
      <c r="Q23" s="2111"/>
      <c r="R23" s="1210"/>
      <c r="S23" s="1210"/>
      <c r="T23" s="1210"/>
      <c r="U23" s="1210"/>
      <c r="V23" s="2111"/>
      <c r="W23" s="2111"/>
      <c r="X23" s="2111"/>
    </row>
    <row r="24" spans="1:24" ht="17.45" customHeight="1" thickTop="1" thickBot="1">
      <c r="A24" s="2112"/>
      <c r="B24" s="235"/>
      <c r="C24" s="236"/>
      <c r="D24" s="237"/>
      <c r="E24" s="236"/>
      <c r="F24" s="237"/>
      <c r="G24" s="236"/>
      <c r="H24" s="237"/>
      <c r="I24" s="713"/>
      <c r="J24" s="720"/>
      <c r="K24" s="2393"/>
      <c r="L24" s="2394"/>
      <c r="M24" s="2394"/>
      <c r="N24" s="2394"/>
      <c r="O24" s="1210"/>
      <c r="P24" s="1210"/>
      <c r="Q24" s="1210"/>
      <c r="R24" s="1210"/>
      <c r="S24" s="1210"/>
      <c r="T24" s="1210"/>
      <c r="U24" s="1210"/>
      <c r="V24" s="2111"/>
      <c r="W24" s="2111"/>
      <c r="X24" s="2111"/>
    </row>
    <row r="25" spans="1:24" ht="16.5" customHeight="1" thickBot="1">
      <c r="A25" s="2112"/>
      <c r="B25" s="505"/>
      <c r="C25" s="314" t="s">
        <v>492</v>
      </c>
      <c r="D25" s="511"/>
      <c r="E25" s="512">
        <f>E23/E14</f>
        <v>1</v>
      </c>
      <c r="F25" s="513"/>
      <c r="G25" s="512">
        <f>G23/G14</f>
        <v>1</v>
      </c>
      <c r="H25" s="513"/>
      <c r="I25" s="514">
        <f>I23/I14</f>
        <v>1</v>
      </c>
      <c r="J25" s="720"/>
      <c r="K25" s="2394"/>
      <c r="L25" s="2394"/>
      <c r="M25" s="2394"/>
      <c r="N25" s="2394"/>
      <c r="O25" s="2111"/>
      <c r="P25" s="1479"/>
      <c r="Q25" s="1479"/>
      <c r="R25" s="1479"/>
      <c r="S25" s="1479"/>
      <c r="T25" s="1479"/>
      <c r="U25" s="1479"/>
      <c r="V25" s="2111"/>
      <c r="W25" s="2111"/>
      <c r="X25" s="2111"/>
    </row>
    <row r="26" spans="1:24" ht="16.5" customHeight="1" thickTop="1">
      <c r="A26" s="2112"/>
      <c r="B26" s="238" t="s">
        <v>493</v>
      </c>
      <c r="C26" s="239" t="s">
        <v>475</v>
      </c>
      <c r="D26" s="2400" t="s">
        <v>494</v>
      </c>
      <c r="E26" s="2400"/>
      <c r="F26" s="2362" t="s">
        <v>495</v>
      </c>
      <c r="G26" s="2362"/>
      <c r="H26" s="2362" t="s">
        <v>496</v>
      </c>
      <c r="I26" s="2363"/>
      <c r="J26" s="720"/>
      <c r="K26" s="1213"/>
      <c r="L26" s="1213"/>
      <c r="M26" s="1213"/>
      <c r="N26" s="1213"/>
      <c r="O26" s="2111"/>
      <c r="P26" s="2111"/>
      <c r="Q26" s="2111"/>
      <c r="R26" s="2111"/>
      <c r="S26" s="2111"/>
      <c r="T26" s="2111"/>
      <c r="U26" s="2111"/>
      <c r="V26" s="2111"/>
      <c r="W26" s="2111"/>
      <c r="X26" s="2111"/>
    </row>
    <row r="27" spans="1:24" ht="47.25" customHeight="1" thickBot="1">
      <c r="A27" s="2112"/>
      <c r="B27" s="2116"/>
      <c r="C27" s="240" t="s">
        <v>497</v>
      </c>
      <c r="D27" s="241" t="s">
        <v>498</v>
      </c>
      <c r="E27" s="242" t="s">
        <v>499</v>
      </c>
      <c r="F27" s="241" t="s">
        <v>498</v>
      </c>
      <c r="G27" s="242" t="s">
        <v>499</v>
      </c>
      <c r="H27" s="241" t="s">
        <v>498</v>
      </c>
      <c r="I27" s="714" t="s">
        <v>499</v>
      </c>
      <c r="J27" s="720"/>
      <c r="K27" s="1213"/>
      <c r="L27" s="1213"/>
      <c r="M27" s="1213"/>
      <c r="N27" s="1213"/>
      <c r="O27" s="2111"/>
      <c r="P27" s="2111"/>
      <c r="Q27" s="2111"/>
      <c r="R27" s="2111"/>
      <c r="S27" s="2111"/>
      <c r="T27" s="2111"/>
      <c r="U27" s="2111"/>
      <c r="V27" s="2111"/>
      <c r="W27" s="2111"/>
      <c r="X27" s="2111"/>
    </row>
    <row r="28" spans="1:24" ht="16.5" customHeight="1" thickTop="1" thickBot="1">
      <c r="A28" s="2112"/>
      <c r="B28" s="183"/>
      <c r="C28" s="143" t="s">
        <v>500</v>
      </c>
      <c r="D28" s="722"/>
      <c r="E28" s="243"/>
      <c r="F28" s="1547"/>
      <c r="G28" s="243"/>
      <c r="H28" s="1547"/>
      <c r="I28" s="244"/>
      <c r="J28" s="720"/>
      <c r="K28" s="2401"/>
      <c r="L28" s="2402"/>
      <c r="M28" s="2402"/>
      <c r="N28" s="2403"/>
      <c r="O28" s="2111"/>
      <c r="P28" s="2111"/>
      <c r="Q28" s="2111"/>
      <c r="R28" s="2111"/>
      <c r="S28" s="2111"/>
      <c r="T28" s="2111"/>
      <c r="U28" s="2111"/>
      <c r="V28" s="2111"/>
      <c r="W28" s="2111"/>
      <c r="X28" s="2111"/>
    </row>
    <row r="29" spans="1:24" ht="16.5" customHeight="1" thickTop="1" thickBot="1">
      <c r="A29" s="2112"/>
      <c r="B29" s="245"/>
      <c r="C29" s="143" t="s">
        <v>501</v>
      </c>
      <c r="D29" s="722"/>
      <c r="E29" s="1484">
        <f>(D28+D29+D30+D31+D32)/K29</f>
        <v>0</v>
      </c>
      <c r="F29" s="1547"/>
      <c r="G29" s="1484">
        <f>(F28+F29+F30+F31+F32)/K30</f>
        <v>0</v>
      </c>
      <c r="H29" s="1547"/>
      <c r="I29" s="1484">
        <f>(H28+H29+H30+H31+H32)/K31</f>
        <v>0</v>
      </c>
      <c r="J29" s="720"/>
      <c r="K29" s="1580">
        <v>1</v>
      </c>
      <c r="L29" s="2339" t="s">
        <v>502</v>
      </c>
      <c r="M29" s="2340"/>
      <c r="N29" s="2341"/>
      <c r="O29" s="2111"/>
      <c r="P29" s="2111"/>
      <c r="Q29" s="2111"/>
      <c r="R29" s="2111"/>
      <c r="S29" s="2111"/>
      <c r="T29" s="2111"/>
      <c r="U29" s="2111"/>
      <c r="V29" s="2111"/>
      <c r="W29" s="2111"/>
      <c r="X29" s="2111"/>
    </row>
    <row r="30" spans="1:24" ht="16.5" customHeight="1" thickTop="1" thickBot="1">
      <c r="A30" s="2112"/>
      <c r="B30" s="245"/>
      <c r="C30" s="143" t="s">
        <v>503</v>
      </c>
      <c r="D30" s="722"/>
      <c r="E30" s="722"/>
      <c r="F30" s="1547"/>
      <c r="G30" s="722"/>
      <c r="H30" s="1547"/>
      <c r="I30" s="723"/>
      <c r="J30" s="720"/>
      <c r="K30" s="1580">
        <v>1</v>
      </c>
      <c r="L30" s="2339" t="s">
        <v>504</v>
      </c>
      <c r="M30" s="2340"/>
      <c r="N30" s="2341"/>
      <c r="O30" s="2111"/>
      <c r="P30" s="2111"/>
      <c r="Q30" s="2111"/>
      <c r="R30" s="2111"/>
      <c r="S30" s="2111"/>
      <c r="T30" s="2111"/>
      <c r="U30" s="2111"/>
      <c r="V30" s="2111"/>
      <c r="W30" s="2111"/>
      <c r="X30" s="2111"/>
    </row>
    <row r="31" spans="1:24" ht="16.5" customHeight="1" thickTop="1" thickBot="1">
      <c r="A31" s="2112"/>
      <c r="B31" s="245"/>
      <c r="C31" s="143" t="s">
        <v>505</v>
      </c>
      <c r="D31" s="722"/>
      <c r="E31" s="1484"/>
      <c r="F31" s="723"/>
      <c r="G31" s="1484"/>
      <c r="H31" s="1547"/>
      <c r="I31" s="1484"/>
      <c r="J31" s="720"/>
      <c r="K31" s="1580">
        <v>1</v>
      </c>
      <c r="L31" s="2339" t="s">
        <v>506</v>
      </c>
      <c r="M31" s="2340"/>
      <c r="N31" s="2341"/>
      <c r="O31" s="2111"/>
      <c r="P31" s="2111"/>
      <c r="Q31" s="2111"/>
      <c r="R31" s="2111"/>
      <c r="S31" s="2111"/>
      <c r="T31" s="2111"/>
      <c r="U31" s="2111"/>
      <c r="V31" s="2111"/>
      <c r="W31" s="2111"/>
      <c r="X31" s="2111"/>
    </row>
    <row r="32" spans="1:24" ht="16.5" customHeight="1" thickTop="1" thickBot="1">
      <c r="A32" s="2112"/>
      <c r="B32" s="245"/>
      <c r="C32" s="143" t="s">
        <v>507</v>
      </c>
      <c r="D32" s="722"/>
      <c r="E32" s="243"/>
      <c r="F32" s="723"/>
      <c r="G32" s="243"/>
      <c r="H32" s="1547"/>
      <c r="I32" s="244"/>
      <c r="J32" s="720"/>
      <c r="K32" s="2404"/>
      <c r="L32" s="2405"/>
      <c r="M32" s="2405"/>
      <c r="N32" s="2405"/>
      <c r="O32" s="2111"/>
      <c r="P32" s="2111"/>
      <c r="Q32" s="2111"/>
      <c r="R32" s="2111"/>
      <c r="S32" s="2111"/>
      <c r="T32" s="2111"/>
      <c r="U32" s="2111"/>
      <c r="V32" s="2111"/>
      <c r="W32" s="2111"/>
      <c r="X32" s="2111"/>
    </row>
    <row r="33" spans="1:24" ht="16.5" customHeight="1" thickBot="1">
      <c r="A33" s="2112"/>
      <c r="B33" s="246"/>
      <c r="C33" s="506" t="s">
        <v>508</v>
      </c>
      <c r="D33" s="247">
        <f>SUM(D28:D32)</f>
        <v>0</v>
      </c>
      <c r="E33" s="248">
        <f>E29</f>
        <v>0</v>
      </c>
      <c r="F33" s="249">
        <f>SUM(F28:F32)</f>
        <v>0</v>
      </c>
      <c r="G33" s="248">
        <f>G29</f>
        <v>0</v>
      </c>
      <c r="H33" s="249">
        <f>SUM(H28:H32)</f>
        <v>0</v>
      </c>
      <c r="I33" s="715">
        <f>I29</f>
        <v>0</v>
      </c>
      <c r="J33" s="720"/>
      <c r="K33" s="1213"/>
      <c r="L33" s="1213"/>
      <c r="M33" s="1213"/>
      <c r="N33" s="1213"/>
      <c r="O33" s="2111"/>
      <c r="P33" s="2111"/>
      <c r="Q33" s="2111"/>
      <c r="R33" s="2111"/>
      <c r="S33" s="2111"/>
      <c r="T33" s="2111"/>
      <c r="U33" s="2111"/>
      <c r="V33" s="2111"/>
      <c r="W33" s="2111"/>
      <c r="X33" s="2111"/>
    </row>
    <row r="34" spans="1:24" ht="0.6" customHeight="1" thickTop="1">
      <c r="A34" s="2112"/>
      <c r="B34" s="246"/>
      <c r="C34" s="870"/>
      <c r="D34" s="247"/>
      <c r="E34" s="248"/>
      <c r="F34" s="249"/>
      <c r="G34" s="248"/>
      <c r="H34" s="249"/>
      <c r="I34" s="715"/>
      <c r="J34" s="720"/>
      <c r="K34" s="1213"/>
      <c r="L34" s="1213"/>
      <c r="M34" s="1213"/>
      <c r="N34" s="1213"/>
      <c r="O34" s="2111"/>
      <c r="P34" s="2111"/>
      <c r="Q34" s="2111"/>
      <c r="R34" s="2111"/>
      <c r="S34" s="2111"/>
      <c r="T34" s="2111"/>
      <c r="U34" s="2111"/>
      <c r="V34" s="2111"/>
      <c r="W34" s="2111"/>
      <c r="X34" s="2111"/>
    </row>
    <row r="35" spans="1:24" ht="7.15" customHeight="1" thickTop="1" thickBot="1">
      <c r="A35" s="2112"/>
      <c r="B35" s="245"/>
      <c r="C35" s="250"/>
      <c r="D35" s="251"/>
      <c r="E35" s="252"/>
      <c r="F35" s="253"/>
      <c r="G35" s="254"/>
      <c r="H35" s="253"/>
      <c r="I35" s="255"/>
      <c r="J35" s="720"/>
      <c r="K35" s="1213"/>
      <c r="L35" s="1213"/>
      <c r="M35" s="1213"/>
      <c r="N35" s="1213"/>
      <c r="O35" s="2111"/>
      <c r="P35" s="2111"/>
      <c r="Q35" s="2111"/>
      <c r="R35" s="2111"/>
      <c r="S35" s="2111"/>
      <c r="T35" s="2111"/>
      <c r="U35" s="2111"/>
      <c r="V35" s="2111"/>
      <c r="W35" s="2111"/>
      <c r="X35" s="2111"/>
    </row>
    <row r="36" spans="1:24" ht="16.5" customHeight="1" thickBot="1">
      <c r="A36" s="2112"/>
      <c r="B36" s="246"/>
      <c r="C36" s="515" t="s">
        <v>492</v>
      </c>
      <c r="D36" s="256"/>
      <c r="E36" s="257">
        <f>E33/D14</f>
        <v>0</v>
      </c>
      <c r="F36" s="258"/>
      <c r="G36" s="257">
        <f>G33/F14</f>
        <v>0</v>
      </c>
      <c r="H36" s="258"/>
      <c r="I36" s="257">
        <f>I33/H14</f>
        <v>0</v>
      </c>
      <c r="J36" s="720"/>
      <c r="K36" s="1213"/>
      <c r="L36" s="1213"/>
      <c r="M36" s="1213"/>
      <c r="N36" s="1213"/>
      <c r="O36" s="2111"/>
      <c r="P36" s="2111"/>
      <c r="Q36" s="2111"/>
      <c r="R36" s="2111"/>
      <c r="S36" s="2111"/>
      <c r="T36" s="2111"/>
      <c r="U36" s="2111"/>
      <c r="V36" s="2111"/>
      <c r="W36" s="2111"/>
      <c r="X36" s="2111"/>
    </row>
    <row r="37" spans="1:24" ht="16.5" customHeight="1">
      <c r="A37" s="2112"/>
      <c r="B37" s="2387" t="s">
        <v>509</v>
      </c>
      <c r="C37" s="2365" t="s">
        <v>510</v>
      </c>
      <c r="D37" s="2379" t="s">
        <v>511</v>
      </c>
      <c r="E37" s="2381"/>
      <c r="F37" s="2383">
        <f>D3</f>
        <v>2025</v>
      </c>
      <c r="G37" s="2392">
        <f>F3</f>
        <v>2026</v>
      </c>
      <c r="H37" s="2392">
        <f>H3</f>
        <v>2027</v>
      </c>
      <c r="I37" s="259"/>
      <c r="J37" s="720"/>
      <c r="K37" s="1213"/>
      <c r="L37" s="1213"/>
      <c r="M37" s="1213"/>
      <c r="N37" s="1213"/>
      <c r="O37" s="2111"/>
      <c r="P37" s="2111"/>
      <c r="Q37" s="2111"/>
      <c r="R37" s="2111"/>
      <c r="S37" s="2111"/>
      <c r="T37" s="2111"/>
      <c r="U37" s="2111"/>
      <c r="V37" s="2111"/>
      <c r="W37" s="2111"/>
      <c r="X37" s="2111"/>
    </row>
    <row r="38" spans="1:24" ht="16.5" customHeight="1">
      <c r="A38" s="2112"/>
      <c r="B38" s="2378"/>
      <c r="C38" s="2366"/>
      <c r="D38" s="2380"/>
      <c r="E38" s="2382"/>
      <c r="F38" s="2384"/>
      <c r="G38" s="2384"/>
      <c r="H38" s="2384"/>
      <c r="I38" s="260"/>
      <c r="J38" s="720"/>
      <c r="K38" s="2094"/>
      <c r="L38" s="2094"/>
      <c r="M38" s="2094"/>
      <c r="N38" s="2094"/>
      <c r="O38" s="2094"/>
      <c r="P38" s="2094"/>
      <c r="Q38" s="2094"/>
      <c r="R38" s="2094"/>
      <c r="S38" s="2094"/>
      <c r="T38" s="2094"/>
      <c r="U38" s="2094"/>
      <c r="V38" s="2094"/>
      <c r="W38" s="2094"/>
      <c r="X38" s="2094"/>
    </row>
    <row r="39" spans="1:24" ht="16.5" customHeight="1">
      <c r="A39" s="2112"/>
      <c r="B39" s="2117"/>
      <c r="C39" s="261" t="s">
        <v>512</v>
      </c>
      <c r="D39" s="724">
        <v>1</v>
      </c>
      <c r="E39" s="143"/>
      <c r="F39" s="262">
        <f>D39</f>
        <v>1</v>
      </c>
      <c r="G39" s="262">
        <f>D39</f>
        <v>1</v>
      </c>
      <c r="H39" s="262">
        <f>D39</f>
        <v>1</v>
      </c>
      <c r="I39" s="263"/>
      <c r="J39" s="720"/>
      <c r="K39" s="2094"/>
      <c r="L39" s="2094"/>
      <c r="M39" s="2094"/>
      <c r="N39" s="2094"/>
      <c r="O39" s="2094"/>
      <c r="P39" s="2094"/>
      <c r="Q39" s="2094"/>
      <c r="R39" s="2094"/>
      <c r="S39" s="2094"/>
      <c r="T39" s="2094"/>
      <c r="U39" s="2094"/>
      <c r="V39" s="2094"/>
      <c r="W39" s="2094"/>
      <c r="X39" s="2094"/>
    </row>
    <row r="40" spans="1:24" ht="16.5" customHeight="1">
      <c r="A40" s="2112"/>
      <c r="B40" s="2117"/>
      <c r="C40" s="52" t="s">
        <v>513</v>
      </c>
      <c r="D40" s="51"/>
      <c r="E40" s="143"/>
      <c r="F40" s="51"/>
      <c r="G40" s="51"/>
      <c r="H40" s="51"/>
      <c r="I40" s="263"/>
      <c r="J40" s="720"/>
      <c r="K40" s="2094"/>
      <c r="L40" s="2094"/>
      <c r="M40" s="2094"/>
      <c r="N40" s="2094"/>
      <c r="O40" s="2094"/>
      <c r="P40" s="2094"/>
      <c r="Q40" s="2094"/>
      <c r="R40" s="2094"/>
      <c r="S40" s="2094"/>
      <c r="T40" s="2094"/>
      <c r="U40" s="2094"/>
      <c r="V40" s="2094"/>
      <c r="W40" s="2094"/>
      <c r="X40" s="2094"/>
    </row>
    <row r="41" spans="1:24" ht="16.5" customHeight="1">
      <c r="A41" s="2112"/>
      <c r="B41" s="2117"/>
      <c r="C41" s="52" t="s">
        <v>514</v>
      </c>
      <c r="D41" s="51"/>
      <c r="E41" s="143"/>
      <c r="F41" s="51"/>
      <c r="G41" s="51"/>
      <c r="H41" s="51"/>
      <c r="I41" s="263"/>
      <c r="J41" s="720"/>
      <c r="K41" s="2094"/>
      <c r="L41" s="2094"/>
      <c r="M41" s="2094"/>
      <c r="N41" s="2094"/>
      <c r="O41" s="2094"/>
      <c r="P41" s="2094"/>
      <c r="Q41" s="2094"/>
      <c r="R41" s="2094"/>
      <c r="S41" s="2094"/>
      <c r="T41" s="2094"/>
      <c r="U41" s="2094"/>
      <c r="V41" s="2094"/>
      <c r="W41" s="2094"/>
      <c r="X41" s="2094"/>
    </row>
    <row r="42" spans="1:24" ht="16.5" customHeight="1">
      <c r="A42" s="2112"/>
      <c r="B42" s="2117"/>
      <c r="C42" s="52" t="s">
        <v>515</v>
      </c>
      <c r="D42" s="51"/>
      <c r="E42" s="143"/>
      <c r="F42" s="51"/>
      <c r="G42" s="51"/>
      <c r="H42" s="51"/>
      <c r="I42" s="263"/>
      <c r="J42" s="720"/>
      <c r="K42" s="2094"/>
      <c r="L42" s="2094"/>
      <c r="M42" s="2094"/>
      <c r="N42" s="2094"/>
      <c r="O42" s="2094"/>
      <c r="P42" s="2094"/>
      <c r="Q42" s="2094"/>
      <c r="R42" s="2094"/>
      <c r="S42" s="2094"/>
      <c r="T42" s="2094"/>
      <c r="U42" s="2094"/>
      <c r="V42" s="2094"/>
      <c r="W42" s="2094"/>
      <c r="X42" s="2094"/>
    </row>
    <row r="43" spans="1:24" ht="16.5" customHeight="1">
      <c r="A43" s="2112"/>
      <c r="B43" s="2117"/>
      <c r="C43" s="52" t="s">
        <v>516</v>
      </c>
      <c r="D43" s="51"/>
      <c r="E43" s="143"/>
      <c r="F43" s="51"/>
      <c r="G43" s="51"/>
      <c r="H43" s="51"/>
      <c r="I43" s="263"/>
      <c r="J43" s="720"/>
      <c r="K43" s="2094"/>
      <c r="L43" s="2094"/>
      <c r="M43" s="2094"/>
      <c r="N43" s="2094"/>
      <c r="O43" s="2094"/>
      <c r="P43" s="2094"/>
      <c r="Q43" s="2094"/>
      <c r="R43" s="2094"/>
      <c r="S43" s="2094"/>
      <c r="T43" s="2094"/>
      <c r="U43" s="2094"/>
      <c r="V43" s="2094"/>
      <c r="W43" s="2094"/>
      <c r="X43" s="2094"/>
    </row>
    <row r="44" spans="1:24" ht="16.5" customHeight="1">
      <c r="A44" s="2112"/>
      <c r="B44" s="2117"/>
      <c r="C44" s="52" t="s">
        <v>517</v>
      </c>
      <c r="D44" s="51"/>
      <c r="E44" s="143"/>
      <c r="F44" s="51"/>
      <c r="G44" s="51"/>
      <c r="H44" s="51"/>
      <c r="I44" s="263"/>
      <c r="J44" s="720"/>
      <c r="K44" s="2094"/>
      <c r="L44" s="2094"/>
      <c r="M44" s="2094"/>
      <c r="N44" s="2094"/>
      <c r="O44" s="2094"/>
      <c r="P44" s="2094"/>
      <c r="Q44" s="2094"/>
      <c r="R44" s="2094"/>
      <c r="S44" s="2094"/>
      <c r="T44" s="2094"/>
      <c r="U44" s="2094"/>
      <c r="V44" s="2094"/>
      <c r="W44" s="2094"/>
      <c r="X44" s="2094"/>
    </row>
    <row r="45" spans="1:24" ht="15.75" customHeight="1">
      <c r="A45" s="2112"/>
      <c r="B45" s="2117"/>
      <c r="C45" s="52" t="s">
        <v>518</v>
      </c>
      <c r="D45" s="51"/>
      <c r="E45" s="143"/>
      <c r="F45" s="51"/>
      <c r="G45" s="51"/>
      <c r="H45" s="51"/>
      <c r="I45" s="263"/>
      <c r="J45" s="720"/>
      <c r="K45" s="2094"/>
      <c r="L45" s="2094"/>
      <c r="M45" s="2094"/>
      <c r="N45" s="2094"/>
      <c r="O45" s="2094"/>
      <c r="P45" s="2094"/>
      <c r="Q45" s="2094"/>
      <c r="R45" s="2094"/>
      <c r="S45" s="2094"/>
      <c r="T45" s="2094"/>
      <c r="U45" s="2094"/>
      <c r="V45" s="2094"/>
      <c r="W45" s="2094"/>
      <c r="X45" s="2094"/>
    </row>
    <row r="46" spans="1:24" ht="7.5" customHeight="1" thickBot="1">
      <c r="A46" s="2112"/>
      <c r="B46" s="2117"/>
      <c r="C46" s="261"/>
      <c r="D46" s="261"/>
      <c r="E46" s="143"/>
      <c r="F46" s="261"/>
      <c r="G46" s="261"/>
      <c r="H46" s="261"/>
      <c r="I46" s="263"/>
      <c r="J46" s="720"/>
      <c r="K46" s="2094"/>
      <c r="L46" s="2094"/>
      <c r="M46" s="2094"/>
      <c r="N46" s="2094"/>
      <c r="O46" s="2094"/>
      <c r="P46" s="2094"/>
      <c r="Q46" s="2094"/>
      <c r="R46" s="2094"/>
      <c r="S46" s="2094"/>
      <c r="T46" s="2094"/>
      <c r="U46" s="2094"/>
      <c r="V46" s="2094"/>
      <c r="W46" s="2094"/>
      <c r="X46" s="2094"/>
    </row>
    <row r="47" spans="1:24" ht="15.75" customHeight="1" thickBot="1">
      <c r="A47" s="2112"/>
      <c r="B47" s="516"/>
      <c r="C47" s="314" t="s">
        <v>519</v>
      </c>
      <c r="D47" s="517">
        <f>SUM(D39:D46)</f>
        <v>1</v>
      </c>
      <c r="E47" s="314"/>
      <c r="F47" s="518"/>
      <c r="G47" s="518"/>
      <c r="H47" s="518"/>
      <c r="I47" s="519"/>
      <c r="J47" s="720"/>
      <c r="K47" s="2094"/>
      <c r="L47" s="2093"/>
      <c r="M47" s="2093"/>
      <c r="N47" s="2093"/>
      <c r="O47" s="2094"/>
      <c r="P47" s="2094"/>
      <c r="Q47" s="2094"/>
      <c r="R47" s="2094"/>
      <c r="S47" s="2094"/>
      <c r="T47" s="2094"/>
      <c r="U47" s="2094"/>
      <c r="V47" s="2094"/>
      <c r="W47" s="2094"/>
      <c r="X47" s="2094"/>
    </row>
    <row r="48" spans="1:24" ht="7.5" customHeight="1" thickTop="1" thickBot="1">
      <c r="A48" s="2112"/>
      <c r="B48" s="2117"/>
      <c r="C48" s="261"/>
      <c r="D48" s="264"/>
      <c r="E48" s="261"/>
      <c r="F48" s="265"/>
      <c r="G48" s="265"/>
      <c r="H48" s="265"/>
      <c r="I48" s="263"/>
      <c r="J48" s="720"/>
      <c r="K48" s="2094"/>
      <c r="L48" s="2093"/>
      <c r="M48" s="2093"/>
      <c r="N48" s="2093"/>
      <c r="O48" s="2094"/>
      <c r="P48" s="2094"/>
      <c r="Q48" s="2094"/>
      <c r="R48" s="2094"/>
      <c r="S48" s="2094"/>
      <c r="T48" s="2094"/>
      <c r="U48" s="2094"/>
      <c r="V48" s="2094"/>
      <c r="W48" s="2094"/>
      <c r="X48" s="2094"/>
    </row>
    <row r="49" spans="1:17" ht="15.75" customHeight="1" thickBot="1">
      <c r="A49" s="2112"/>
      <c r="B49" s="2118"/>
      <c r="C49" s="314" t="s">
        <v>520</v>
      </c>
      <c r="D49" s="314"/>
      <c r="E49" s="314"/>
      <c r="F49" s="517">
        <f>SUM(F39:F47)</f>
        <v>1</v>
      </c>
      <c r="G49" s="517">
        <f>SUM(G39:G47)</f>
        <v>1</v>
      </c>
      <c r="H49" s="517">
        <f>SUM(H39:H47)</f>
        <v>1</v>
      </c>
      <c r="I49" s="520"/>
      <c r="J49" s="720"/>
      <c r="K49" s="2094"/>
      <c r="L49" s="2093"/>
      <c r="M49" s="2093"/>
      <c r="N49" s="2093"/>
      <c r="O49" s="2094"/>
      <c r="P49" s="2094"/>
      <c r="Q49" s="2094"/>
    </row>
    <row r="50" spans="1:17" ht="15.75" customHeight="1" thickTop="1">
      <c r="A50" s="2112"/>
      <c r="B50" s="2377" t="s">
        <v>521</v>
      </c>
      <c r="C50" s="2365" t="s">
        <v>522</v>
      </c>
      <c r="D50" s="2366"/>
      <c r="E50" s="2366"/>
      <c r="F50" s="2366"/>
      <c r="G50" s="266"/>
      <c r="H50" s="266"/>
      <c r="I50" s="260"/>
      <c r="J50" s="720"/>
      <c r="K50" s="2094"/>
      <c r="L50" s="2093"/>
      <c r="M50" s="2093"/>
      <c r="N50" s="2093"/>
      <c r="O50" s="2094"/>
      <c r="P50" s="2094"/>
      <c r="Q50" s="2094"/>
    </row>
    <row r="51" spans="1:17" ht="15.75" customHeight="1">
      <c r="A51" s="2112"/>
      <c r="B51" s="2378"/>
      <c r="C51" s="2366"/>
      <c r="D51" s="2366"/>
      <c r="E51" s="2366"/>
      <c r="F51" s="2366"/>
      <c r="G51" s="266"/>
      <c r="H51" s="266"/>
      <c r="I51" s="260"/>
      <c r="J51" s="720"/>
      <c r="K51" s="2094"/>
      <c r="L51" s="2093"/>
      <c r="M51" s="2093"/>
      <c r="N51" s="2093"/>
      <c r="O51" s="2094"/>
      <c r="P51" s="2094"/>
      <c r="Q51" s="2094"/>
    </row>
    <row r="52" spans="1:17" ht="15.75" customHeight="1">
      <c r="A52" s="2112"/>
      <c r="B52" s="2116"/>
      <c r="C52" s="266"/>
      <c r="D52" s="216" t="s">
        <v>523</v>
      </c>
      <c r="E52" s="216" t="s">
        <v>524</v>
      </c>
      <c r="F52" s="267"/>
      <c r="G52" s="266"/>
      <c r="H52" s="266"/>
      <c r="I52" s="260"/>
      <c r="J52" s="720"/>
      <c r="K52" s="2094"/>
      <c r="L52" s="2093"/>
      <c r="M52" s="2093"/>
      <c r="N52" s="2093"/>
      <c r="O52" s="2094"/>
      <c r="P52" s="2094"/>
      <c r="Q52" s="2094"/>
    </row>
    <row r="53" spans="1:17" ht="15.75" customHeight="1">
      <c r="A53" s="2112"/>
      <c r="B53" s="2116"/>
      <c r="C53" s="268" t="s">
        <v>525</v>
      </c>
      <c r="D53" s="269" t="s">
        <v>178</v>
      </c>
      <c r="E53" s="2119" t="s">
        <v>178</v>
      </c>
      <c r="F53" s="267"/>
      <c r="G53" s="266"/>
      <c r="H53" s="266"/>
      <c r="I53" s="260"/>
      <c r="J53" s="2113"/>
      <c r="K53" s="2094"/>
      <c r="L53" s="2093"/>
      <c r="M53" s="2093"/>
      <c r="N53" s="2093"/>
      <c r="O53" s="2094"/>
      <c r="P53" s="2094"/>
      <c r="Q53" s="2094"/>
    </row>
    <row r="54" spans="1:17" ht="15.75" customHeight="1">
      <c r="A54" s="2112"/>
      <c r="B54" s="2117"/>
      <c r="C54" s="261" t="s">
        <v>526</v>
      </c>
      <c r="D54" s="34">
        <v>7.3</v>
      </c>
      <c r="E54" s="1846"/>
      <c r="F54" s="270"/>
      <c r="G54" s="2373" t="s">
        <v>527</v>
      </c>
      <c r="H54" s="2374"/>
      <c r="I54" s="2375"/>
      <c r="J54" s="2113"/>
      <c r="K54" s="2094"/>
      <c r="L54" s="2093"/>
      <c r="M54" s="2093"/>
      <c r="N54" s="2093"/>
      <c r="O54" s="2094"/>
      <c r="P54" s="2094"/>
      <c r="Q54" s="2094"/>
    </row>
    <row r="55" spans="1:17" ht="15.75" customHeight="1">
      <c r="A55" s="2112"/>
      <c r="B55" s="2117"/>
      <c r="C55" s="1545" t="s">
        <v>528</v>
      </c>
      <c r="D55" s="34">
        <v>1.5249999999999999</v>
      </c>
      <c r="E55" s="1971"/>
      <c r="F55" s="1806" t="s">
        <v>529</v>
      </c>
      <c r="G55" s="261"/>
      <c r="H55" s="261"/>
      <c r="I55" s="263"/>
      <c r="J55" s="2113"/>
      <c r="K55" s="2094"/>
      <c r="L55" s="2093"/>
      <c r="M55" s="2093"/>
      <c r="N55" s="2093"/>
      <c r="O55" s="2094"/>
      <c r="P55" s="2094"/>
      <c r="Q55" s="2094"/>
    </row>
    <row r="56" spans="1:17" ht="15.75" customHeight="1">
      <c r="A56" s="2112"/>
      <c r="B56" s="2117"/>
      <c r="C56" s="261" t="s">
        <v>530</v>
      </c>
      <c r="D56" s="34">
        <v>2.2999999999999998</v>
      </c>
      <c r="E56" s="1846"/>
      <c r="F56" s="270"/>
      <c r="G56" s="261"/>
      <c r="H56" s="261"/>
      <c r="I56" s="263"/>
      <c r="J56" s="2113"/>
      <c r="K56" s="2094"/>
      <c r="L56" s="2093"/>
      <c r="M56" s="2093"/>
      <c r="N56" s="2093"/>
      <c r="O56" s="2094"/>
      <c r="P56" s="2094"/>
      <c r="Q56" s="2094"/>
    </row>
    <row r="57" spans="1:17" ht="15.75" customHeight="1">
      <c r="A57" s="2112"/>
      <c r="B57" s="2117"/>
      <c r="C57" s="1545" t="s">
        <v>531</v>
      </c>
      <c r="D57" s="34">
        <v>9.3000000000000007</v>
      </c>
      <c r="E57" s="1846"/>
      <c r="F57" s="1806" t="s">
        <v>529</v>
      </c>
      <c r="G57" s="2373" t="s">
        <v>532</v>
      </c>
      <c r="H57" s="2374"/>
      <c r="I57" s="2375"/>
      <c r="J57" s="2113"/>
      <c r="K57" s="2094"/>
      <c r="L57" s="2093"/>
      <c r="M57" s="2093"/>
      <c r="N57" s="2093"/>
      <c r="O57" s="2094"/>
      <c r="P57" s="2094"/>
      <c r="Q57" s="2094"/>
    </row>
    <row r="58" spans="1:17" ht="15.75" customHeight="1">
      <c r="A58" s="2112"/>
      <c r="B58" s="2117"/>
      <c r="C58" s="261" t="s">
        <v>533</v>
      </c>
      <c r="D58" s="34">
        <v>1.25</v>
      </c>
      <c r="E58" s="1846"/>
      <c r="F58" s="1806" t="s">
        <v>529</v>
      </c>
      <c r="G58" s="261"/>
      <c r="H58" s="261"/>
      <c r="I58" s="263"/>
      <c r="J58" s="2113"/>
      <c r="K58" s="2094"/>
      <c r="L58" s="2093"/>
      <c r="M58" s="2093"/>
      <c r="N58" s="2093"/>
      <c r="O58" s="2094"/>
      <c r="P58" s="2094"/>
      <c r="Q58" s="2094"/>
    </row>
    <row r="59" spans="1:17" ht="15.75" customHeight="1">
      <c r="A59" s="2112"/>
      <c r="B59" s="2117"/>
      <c r="C59" s="261" t="s">
        <v>534</v>
      </c>
      <c r="D59" s="34">
        <v>0.06</v>
      </c>
      <c r="E59" s="1846"/>
      <c r="F59" s="1806" t="s">
        <v>529</v>
      </c>
      <c r="G59" s="261"/>
      <c r="H59" s="261"/>
      <c r="I59" s="263"/>
      <c r="J59" s="2113"/>
      <c r="K59" s="1214"/>
      <c r="L59" s="1214"/>
      <c r="M59" s="1214"/>
      <c r="N59" s="1214"/>
      <c r="O59" s="1214"/>
      <c r="P59" s="1214"/>
      <c r="Q59" s="1214"/>
    </row>
    <row r="60" spans="1:17" ht="15.75" customHeight="1">
      <c r="A60" s="2112"/>
      <c r="B60" s="2117"/>
      <c r="C60" s="261" t="s">
        <v>535</v>
      </c>
      <c r="D60" s="34"/>
      <c r="E60" s="1846"/>
      <c r="F60" s="270"/>
      <c r="G60" s="261"/>
      <c r="H60" s="261"/>
      <c r="I60" s="263"/>
      <c r="J60" s="2113"/>
      <c r="K60" s="2094"/>
      <c r="L60" s="2094"/>
      <c r="M60" s="2094"/>
      <c r="N60" s="2094"/>
      <c r="O60" s="2094"/>
      <c r="P60" s="2094"/>
      <c r="Q60" s="2094"/>
    </row>
    <row r="61" spans="1:17" ht="15.75" customHeight="1">
      <c r="A61" s="2112"/>
      <c r="B61" s="2117"/>
      <c r="C61" s="261" t="s">
        <v>536</v>
      </c>
      <c r="D61" s="34">
        <v>0.44</v>
      </c>
      <c r="E61" s="1846"/>
      <c r="F61" s="1806" t="s">
        <v>537</v>
      </c>
      <c r="G61" s="261"/>
      <c r="H61" s="261"/>
      <c r="I61" s="263"/>
      <c r="J61" s="2113"/>
      <c r="K61" s="2094"/>
      <c r="L61" s="2094"/>
      <c r="M61" s="2094"/>
      <c r="N61" s="2094"/>
      <c r="O61" s="2094"/>
      <c r="P61" s="2094"/>
      <c r="Q61" s="2094"/>
    </row>
    <row r="62" spans="1:17" ht="7.5" customHeight="1" thickBot="1">
      <c r="A62" s="2112"/>
      <c r="B62" s="2117"/>
      <c r="C62" s="261"/>
      <c r="D62" s="261"/>
      <c r="E62" s="143"/>
      <c r="F62" s="270"/>
      <c r="G62" s="261"/>
      <c r="H62" s="261"/>
      <c r="I62" s="263"/>
      <c r="J62" s="2113"/>
      <c r="K62" s="2094"/>
      <c r="L62" s="2094"/>
      <c r="M62" s="2094"/>
      <c r="N62" s="2094"/>
      <c r="O62" s="2094"/>
      <c r="P62" s="2094"/>
      <c r="Q62" s="2094"/>
    </row>
    <row r="63" spans="1:17" ht="15.75" customHeight="1" thickBot="1">
      <c r="A63" s="2112"/>
      <c r="B63" s="516"/>
      <c r="C63" s="314" t="s">
        <v>538</v>
      </c>
      <c r="D63" s="517">
        <f>SUM(D54:D61)</f>
        <v>22.175000000000001</v>
      </c>
      <c r="E63" s="2012">
        <v>32.590000000000003</v>
      </c>
      <c r="F63" s="521"/>
      <c r="G63" s="314"/>
      <c r="H63" s="314"/>
      <c r="I63" s="519"/>
      <c r="J63" s="2113"/>
      <c r="K63" s="2094"/>
      <c r="L63" s="2094"/>
      <c r="M63" s="2094"/>
      <c r="N63" s="2094"/>
      <c r="O63" s="2094"/>
      <c r="P63" s="2094"/>
      <c r="Q63" s="2094"/>
    </row>
    <row r="64" spans="1:17" ht="15.75" customHeight="1" thickTop="1">
      <c r="A64" s="2112"/>
      <c r="B64" s="2116"/>
      <c r="C64" s="2120"/>
      <c r="D64" s="2120"/>
      <c r="E64" s="2120"/>
      <c r="F64" s="2121"/>
      <c r="G64" s="266"/>
      <c r="H64" s="266"/>
      <c r="I64" s="260"/>
      <c r="J64" s="2113"/>
      <c r="K64" s="2094"/>
      <c r="L64" s="2094"/>
      <c r="M64" s="2094"/>
      <c r="N64" s="2094"/>
      <c r="O64" s="2094"/>
      <c r="P64" s="2094"/>
      <c r="Q64" s="2094"/>
    </row>
    <row r="65" spans="1:16" ht="25.5">
      <c r="A65" s="2112"/>
      <c r="B65" s="2052" t="s">
        <v>539</v>
      </c>
      <c r="C65" s="271" t="s">
        <v>540</v>
      </c>
      <c r="D65" s="272" t="s">
        <v>511</v>
      </c>
      <c r="E65" s="273" t="s">
        <v>541</v>
      </c>
      <c r="F65" s="274" t="s">
        <v>542</v>
      </c>
      <c r="G65" s="273" t="s">
        <v>543</v>
      </c>
      <c r="H65" s="275" t="s">
        <v>544</v>
      </c>
      <c r="I65" s="276" t="s">
        <v>545</v>
      </c>
      <c r="J65" s="2113"/>
      <c r="K65" s="2094"/>
      <c r="L65" s="2094"/>
      <c r="M65" s="2094"/>
      <c r="N65" s="2094"/>
      <c r="O65" s="2094"/>
      <c r="P65" s="2094"/>
    </row>
    <row r="66" spans="1:16" ht="15.75" customHeight="1">
      <c r="A66" s="2112"/>
      <c r="B66" s="2117"/>
      <c r="C66" s="52" t="s">
        <v>546</v>
      </c>
      <c r="D66" s="34"/>
      <c r="E66" s="35"/>
      <c r="F66" s="35"/>
      <c r="G66" s="35"/>
      <c r="H66" s="277">
        <f>(D66*E66*12)+(D66*F66)+(D66*G66)</f>
        <v>0</v>
      </c>
      <c r="I66" s="278">
        <f t="shared" ref="I66:I72" si="3">(H66*$D$63%)+H66</f>
        <v>0</v>
      </c>
      <c r="J66" s="1856"/>
      <c r="K66" s="2346"/>
      <c r="L66" s="2347"/>
      <c r="M66" s="2347"/>
      <c r="N66" s="2347"/>
      <c r="O66" s="2347"/>
      <c r="P66" s="2347"/>
    </row>
    <row r="67" spans="1:16" ht="15.75" customHeight="1">
      <c r="A67" s="2112"/>
      <c r="B67" s="2117"/>
      <c r="C67" s="52" t="s">
        <v>513</v>
      </c>
      <c r="D67" s="34"/>
      <c r="E67" s="35"/>
      <c r="F67" s="35"/>
      <c r="G67" s="35"/>
      <c r="H67" s="277">
        <f t="shared" ref="H67:H72" si="4">(D67*E67*12)+(D67*F67)+(D67*G67)</f>
        <v>0</v>
      </c>
      <c r="I67" s="278">
        <f t="shared" si="3"/>
        <v>0</v>
      </c>
      <c r="J67" s="2122"/>
      <c r="K67" s="2347"/>
      <c r="L67" s="2347"/>
      <c r="M67" s="2347"/>
      <c r="N67" s="2347"/>
      <c r="O67" s="2347"/>
      <c r="P67" s="2347"/>
    </row>
    <row r="68" spans="1:16" ht="15.75" customHeight="1">
      <c r="A68" s="2112"/>
      <c r="B68" s="2117"/>
      <c r="C68" s="52" t="s">
        <v>514</v>
      </c>
      <c r="D68" s="34"/>
      <c r="E68" s="35"/>
      <c r="F68" s="35"/>
      <c r="G68" s="35"/>
      <c r="H68" s="277">
        <f t="shared" si="4"/>
        <v>0</v>
      </c>
      <c r="I68" s="278">
        <f t="shared" si="3"/>
        <v>0</v>
      </c>
      <c r="J68" s="2123"/>
      <c r="K68" s="2094"/>
      <c r="L68" s="2094"/>
      <c r="M68" s="2094"/>
      <c r="N68" s="2094"/>
      <c r="O68" s="2094"/>
      <c r="P68" s="2094"/>
    </row>
    <row r="69" spans="1:16" ht="15.75" customHeight="1">
      <c r="A69" s="2112"/>
      <c r="B69" s="2117"/>
      <c r="C69" s="52" t="s">
        <v>515</v>
      </c>
      <c r="D69" s="34"/>
      <c r="E69" s="35"/>
      <c r="F69" s="35"/>
      <c r="G69" s="35"/>
      <c r="H69" s="277">
        <f t="shared" si="4"/>
        <v>0</v>
      </c>
      <c r="I69" s="278">
        <f t="shared" si="3"/>
        <v>0</v>
      </c>
      <c r="J69" s="2123"/>
      <c r="K69" s="2094"/>
      <c r="L69" s="2094"/>
      <c r="M69" s="2094"/>
      <c r="N69" s="2094"/>
      <c r="O69" s="2094"/>
      <c r="P69" s="2094"/>
    </row>
    <row r="70" spans="1:16" ht="15.75" customHeight="1">
      <c r="A70" s="2112"/>
      <c r="B70" s="2117"/>
      <c r="C70" s="52" t="s">
        <v>516</v>
      </c>
      <c r="D70" s="34"/>
      <c r="E70" s="35"/>
      <c r="F70" s="35"/>
      <c r="G70" s="35"/>
      <c r="H70" s="277">
        <f t="shared" si="4"/>
        <v>0</v>
      </c>
      <c r="I70" s="278">
        <f t="shared" si="3"/>
        <v>0</v>
      </c>
      <c r="J70" s="2123"/>
      <c r="K70" s="2094"/>
      <c r="L70" s="2094"/>
      <c r="M70" s="2094"/>
      <c r="N70" s="2094"/>
      <c r="O70" s="2094"/>
      <c r="P70" s="2094"/>
    </row>
    <row r="71" spans="1:16" ht="15.75" customHeight="1">
      <c r="A71" s="2112"/>
      <c r="B71" s="2117"/>
      <c r="C71" s="52" t="s">
        <v>517</v>
      </c>
      <c r="D71" s="34"/>
      <c r="E71" s="35"/>
      <c r="F71" s="35"/>
      <c r="G71" s="35"/>
      <c r="H71" s="277">
        <f t="shared" si="4"/>
        <v>0</v>
      </c>
      <c r="I71" s="278">
        <f t="shared" si="3"/>
        <v>0</v>
      </c>
      <c r="J71" s="2123"/>
      <c r="K71" s="2094"/>
      <c r="L71" s="2094"/>
      <c r="M71" s="2094"/>
      <c r="N71" s="2094"/>
      <c r="O71" s="2094"/>
      <c r="P71" s="2094"/>
    </row>
    <row r="72" spans="1:16" ht="15.75" customHeight="1">
      <c r="A72" s="2112"/>
      <c r="B72" s="2117"/>
      <c r="C72" s="52" t="s">
        <v>518</v>
      </c>
      <c r="D72" s="34"/>
      <c r="E72" s="35"/>
      <c r="F72" s="35"/>
      <c r="G72" s="35"/>
      <c r="H72" s="277">
        <f t="shared" si="4"/>
        <v>0</v>
      </c>
      <c r="I72" s="278">
        <f t="shared" si="3"/>
        <v>0</v>
      </c>
      <c r="J72" s="2123"/>
      <c r="K72" s="2094"/>
      <c r="L72" s="2094"/>
      <c r="M72" s="2094"/>
      <c r="N72" s="2094"/>
      <c r="O72" s="2094"/>
      <c r="P72" s="2094"/>
    </row>
    <row r="73" spans="1:16" ht="7.5" customHeight="1" thickBot="1">
      <c r="A73" s="2112"/>
      <c r="B73" s="2117"/>
      <c r="C73" s="261"/>
      <c r="D73" s="261"/>
      <c r="E73" s="261"/>
      <c r="F73" s="261"/>
      <c r="G73" s="261"/>
      <c r="H73" s="279"/>
      <c r="I73" s="280"/>
      <c r="J73" s="2123"/>
      <c r="K73" s="2094"/>
      <c r="L73" s="2094"/>
      <c r="M73" s="2094"/>
      <c r="N73" s="2094"/>
      <c r="O73" s="2094"/>
      <c r="P73" s="2094"/>
    </row>
    <row r="74" spans="1:16" ht="15.75" customHeight="1" thickBot="1">
      <c r="A74" s="2112"/>
      <c r="B74" s="2118"/>
      <c r="C74" s="314" t="s">
        <v>547</v>
      </c>
      <c r="D74" s="517"/>
      <c r="E74" s="522"/>
      <c r="F74" s="522"/>
      <c r="G74" s="522"/>
      <c r="H74" s="522">
        <f>SUM(H66:H73)</f>
        <v>0</v>
      </c>
      <c r="I74" s="523">
        <f>SUM(I66:I73)</f>
        <v>0</v>
      </c>
      <c r="J74" s="2123"/>
      <c r="K74" s="2094"/>
      <c r="L74" s="2094"/>
      <c r="M74" s="2094"/>
      <c r="N74" s="2094"/>
      <c r="O74" s="2094"/>
      <c r="P74" s="2094"/>
    </row>
    <row r="75" spans="1:16" ht="7.5" customHeight="1" thickTop="1" thickBot="1">
      <c r="A75" s="2112"/>
      <c r="B75" s="2117"/>
      <c r="C75" s="236"/>
      <c r="D75" s="281"/>
      <c r="E75" s="282"/>
      <c r="F75" s="282"/>
      <c r="G75" s="282"/>
      <c r="H75" s="282"/>
      <c r="I75" s="283"/>
      <c r="J75" s="2123"/>
      <c r="K75" s="2094"/>
      <c r="L75" s="2094"/>
      <c r="M75" s="2094"/>
      <c r="N75" s="2094"/>
      <c r="O75" s="2094"/>
      <c r="P75" s="2094"/>
    </row>
    <row r="76" spans="1:16" ht="15.75" customHeight="1" thickBot="1">
      <c r="A76" s="2112"/>
      <c r="B76" s="2118"/>
      <c r="C76" s="314" t="s">
        <v>548</v>
      </c>
      <c r="D76" s="524"/>
      <c r="E76" s="522"/>
      <c r="F76" s="522"/>
      <c r="G76" s="522"/>
      <c r="H76" s="522"/>
      <c r="I76" s="523">
        <f>I74/12</f>
        <v>0</v>
      </c>
      <c r="J76" s="2123"/>
      <c r="K76" s="2094"/>
      <c r="L76" s="2094"/>
      <c r="M76" s="2094"/>
      <c r="N76" s="2094"/>
      <c r="O76" s="2094"/>
      <c r="P76" s="2094"/>
    </row>
    <row r="77" spans="1:16" ht="15.75" customHeight="1" thickTop="1">
      <c r="A77" s="2112"/>
      <c r="B77" s="2117"/>
      <c r="C77" s="2385" t="s">
        <v>549</v>
      </c>
      <c r="D77" s="2360">
        <v>0</v>
      </c>
      <c r="E77" s="2358">
        <v>450</v>
      </c>
      <c r="F77" s="2369" t="s">
        <v>550</v>
      </c>
      <c r="G77" s="2370"/>
      <c r="H77" s="2350">
        <f>(D77*E77)*12</f>
        <v>0</v>
      </c>
      <c r="I77" s="2352">
        <f>(H77*$E$63%)+H77</f>
        <v>0</v>
      </c>
      <c r="J77" s="2123"/>
      <c r="K77" s="2094"/>
      <c r="L77" s="2094"/>
      <c r="M77" s="2094"/>
      <c r="N77" s="2094"/>
      <c r="O77" s="2094"/>
      <c r="P77" s="2094"/>
    </row>
    <row r="78" spans="1:16" ht="15.75" customHeight="1" thickBot="1">
      <c r="A78" s="2112"/>
      <c r="B78" s="2117"/>
      <c r="C78" s="2386"/>
      <c r="D78" s="2361"/>
      <c r="E78" s="2376"/>
      <c r="F78" s="2371"/>
      <c r="G78" s="2372"/>
      <c r="H78" s="2367"/>
      <c r="I78" s="2368"/>
      <c r="J78" s="2113"/>
      <c r="K78" s="2094"/>
      <c r="L78" s="2094"/>
      <c r="M78" s="2094"/>
      <c r="N78" s="2094"/>
      <c r="O78" s="2094"/>
      <c r="P78" s="2094"/>
    </row>
    <row r="79" spans="1:16" ht="15.75" customHeight="1" thickBot="1">
      <c r="A79" s="2112"/>
      <c r="B79" s="2118"/>
      <c r="C79" s="314" t="s">
        <v>551</v>
      </c>
      <c r="D79" s="314"/>
      <c r="E79" s="525"/>
      <c r="F79" s="525"/>
      <c r="G79" s="525"/>
      <c r="H79" s="522">
        <f>H77</f>
        <v>0</v>
      </c>
      <c r="I79" s="523">
        <f>I77</f>
        <v>0</v>
      </c>
      <c r="J79" s="2113"/>
      <c r="K79" s="2094"/>
      <c r="L79" s="2094"/>
      <c r="M79" s="2094"/>
      <c r="N79" s="2094"/>
      <c r="O79" s="2094"/>
      <c r="P79" s="2094"/>
    </row>
    <row r="80" spans="1:16" ht="7.5" customHeight="1" thickTop="1" thickBot="1">
      <c r="A80" s="2112"/>
      <c r="B80" s="2117"/>
      <c r="C80" s="261"/>
      <c r="D80" s="261"/>
      <c r="E80" s="284"/>
      <c r="F80" s="284"/>
      <c r="G80" s="284"/>
      <c r="H80" s="285"/>
      <c r="I80" s="286"/>
      <c r="J80" s="2113"/>
      <c r="K80" s="2094"/>
      <c r="L80" s="2094"/>
      <c r="M80" s="2094"/>
      <c r="N80" s="2094"/>
      <c r="O80" s="2094"/>
      <c r="P80" s="2094"/>
    </row>
    <row r="81" spans="1:16" ht="15.75" customHeight="1" thickBot="1">
      <c r="A81" s="2112"/>
      <c r="B81" s="2118"/>
      <c r="C81" s="314" t="s">
        <v>552</v>
      </c>
      <c r="D81" s="314"/>
      <c r="E81" s="525"/>
      <c r="F81" s="525"/>
      <c r="G81" s="525"/>
      <c r="H81" s="522"/>
      <c r="I81" s="523">
        <f>I79/12</f>
        <v>0</v>
      </c>
      <c r="J81" s="2113"/>
      <c r="K81" s="2094"/>
      <c r="L81" s="2094"/>
      <c r="M81" s="2094"/>
      <c r="N81" s="2094"/>
      <c r="O81" s="2094"/>
      <c r="P81" s="2094"/>
    </row>
    <row r="82" spans="1:16" ht="15.75" customHeight="1" thickTop="1">
      <c r="A82" s="2112"/>
      <c r="B82" s="2116"/>
      <c r="C82" s="2120"/>
      <c r="D82" s="2120"/>
      <c r="E82" s="2120"/>
      <c r="F82" s="2121"/>
      <c r="G82" s="2120"/>
      <c r="H82" s="2120"/>
      <c r="I82" s="2124"/>
      <c r="J82" s="2113"/>
      <c r="K82" s="2094"/>
      <c r="L82" s="2094"/>
      <c r="M82" s="2094"/>
      <c r="N82" s="2094"/>
      <c r="O82" s="2094"/>
      <c r="P82" s="2094"/>
    </row>
    <row r="83" spans="1:16" ht="25.5">
      <c r="A83" s="2112"/>
      <c r="B83" s="2052" t="s">
        <v>553</v>
      </c>
      <c r="C83" s="2053" t="s">
        <v>554</v>
      </c>
      <c r="D83" s="272" t="s">
        <v>511</v>
      </c>
      <c r="E83" s="273" t="s">
        <v>541</v>
      </c>
      <c r="F83" s="274" t="s">
        <v>542</v>
      </c>
      <c r="G83" s="273" t="s">
        <v>543</v>
      </c>
      <c r="H83" s="275" t="s">
        <v>544</v>
      </c>
      <c r="I83" s="276" t="s">
        <v>545</v>
      </c>
      <c r="J83" s="2102"/>
      <c r="K83" s="2125"/>
      <c r="L83" s="2093"/>
      <c r="M83" s="2093"/>
      <c r="N83" s="2093"/>
      <c r="O83" s="2093"/>
      <c r="P83" s="2093"/>
    </row>
    <row r="84" spans="1:16" ht="15.75" customHeight="1">
      <c r="A84" s="2112"/>
      <c r="B84" s="2117"/>
      <c r="C84" s="52" t="s">
        <v>546</v>
      </c>
      <c r="D84" s="34"/>
      <c r="E84" s="35"/>
      <c r="F84" s="35"/>
      <c r="G84" s="35"/>
      <c r="H84" s="277">
        <f>(D84*E84*12)+(D84*F84)+(D84*G84)</f>
        <v>0</v>
      </c>
      <c r="I84" s="278">
        <f>(H84*$D$63%)+H84</f>
        <v>0</v>
      </c>
      <c r="J84" s="2102"/>
      <c r="K84" s="2348"/>
      <c r="L84" s="2347"/>
      <c r="M84" s="2347"/>
      <c r="N84" s="2347"/>
      <c r="O84" s="2347"/>
      <c r="P84" s="2347"/>
    </row>
    <row r="85" spans="1:16" ht="15.75" customHeight="1">
      <c r="A85" s="2112"/>
      <c r="B85" s="2117"/>
      <c r="C85" s="52" t="s">
        <v>513</v>
      </c>
      <c r="D85" s="34"/>
      <c r="E85" s="35"/>
      <c r="F85" s="35"/>
      <c r="G85" s="35"/>
      <c r="H85" s="277">
        <f t="shared" ref="H85:H90" si="5">(D85*E85*12)+(D85*F85)+(D85*G85)</f>
        <v>0</v>
      </c>
      <c r="I85" s="278">
        <f t="shared" ref="I85:I90" si="6">(H85*$D$63%)+H85</f>
        <v>0</v>
      </c>
      <c r="J85" s="1851"/>
      <c r="K85" s="2349"/>
      <c r="L85" s="2347"/>
      <c r="M85" s="2347"/>
      <c r="N85" s="2347"/>
      <c r="O85" s="2347"/>
      <c r="P85" s="2347"/>
    </row>
    <row r="86" spans="1:16" ht="15.75" customHeight="1">
      <c r="A86" s="2112"/>
      <c r="B86" s="2117"/>
      <c r="C86" s="52" t="s">
        <v>514</v>
      </c>
      <c r="D86" s="34"/>
      <c r="E86" s="35"/>
      <c r="F86" s="35"/>
      <c r="G86" s="35"/>
      <c r="H86" s="277">
        <f t="shared" si="5"/>
        <v>0</v>
      </c>
      <c r="I86" s="278">
        <f t="shared" si="6"/>
        <v>0</v>
      </c>
      <c r="J86" s="2126"/>
      <c r="K86" s="2125"/>
      <c r="L86" s="2093"/>
      <c r="M86" s="2093"/>
      <c r="N86" s="2093"/>
      <c r="O86" s="2093"/>
      <c r="P86" s="2093"/>
    </row>
    <row r="87" spans="1:16" ht="15.75" customHeight="1">
      <c r="A87" s="2112"/>
      <c r="B87" s="2117"/>
      <c r="C87" s="52" t="s">
        <v>515</v>
      </c>
      <c r="D87" s="34"/>
      <c r="E87" s="35"/>
      <c r="F87" s="35"/>
      <c r="G87" s="35"/>
      <c r="H87" s="277">
        <f t="shared" si="5"/>
        <v>0</v>
      </c>
      <c r="I87" s="278">
        <f t="shared" si="6"/>
        <v>0</v>
      </c>
      <c r="J87" s="2126"/>
      <c r="K87" s="2125"/>
      <c r="L87" s="2093"/>
      <c r="M87" s="2093"/>
      <c r="N87" s="2093"/>
      <c r="O87" s="2093"/>
      <c r="P87" s="2093"/>
    </row>
    <row r="88" spans="1:16" ht="15.75" customHeight="1">
      <c r="A88" s="2112"/>
      <c r="B88" s="2117"/>
      <c r="C88" s="52" t="s">
        <v>516</v>
      </c>
      <c r="D88" s="34"/>
      <c r="E88" s="35"/>
      <c r="F88" s="35"/>
      <c r="G88" s="35"/>
      <c r="H88" s="277">
        <f t="shared" si="5"/>
        <v>0</v>
      </c>
      <c r="I88" s="278">
        <f t="shared" si="6"/>
        <v>0</v>
      </c>
      <c r="J88" s="2126"/>
      <c r="K88" s="2125"/>
      <c r="L88" s="2093"/>
      <c r="M88" s="2093"/>
      <c r="N88" s="2093"/>
      <c r="O88" s="2093"/>
      <c r="P88" s="2093"/>
    </row>
    <row r="89" spans="1:16" ht="15.75" customHeight="1">
      <c r="A89" s="2112"/>
      <c r="B89" s="2117"/>
      <c r="C89" s="52" t="s">
        <v>517</v>
      </c>
      <c r="D89" s="34"/>
      <c r="E89" s="35"/>
      <c r="F89" s="35"/>
      <c r="G89" s="35"/>
      <c r="H89" s="277">
        <f t="shared" si="5"/>
        <v>0</v>
      </c>
      <c r="I89" s="278">
        <f t="shared" si="6"/>
        <v>0</v>
      </c>
      <c r="J89" s="2126"/>
      <c r="K89" s="2125"/>
      <c r="L89" s="2093"/>
      <c r="M89" s="2093"/>
      <c r="N89" s="2093"/>
      <c r="O89" s="2093"/>
      <c r="P89" s="2093"/>
    </row>
    <row r="90" spans="1:16" ht="15.75" customHeight="1">
      <c r="A90" s="2112"/>
      <c r="B90" s="2117"/>
      <c r="C90" s="52" t="s">
        <v>518</v>
      </c>
      <c r="D90" s="34"/>
      <c r="E90" s="35"/>
      <c r="F90" s="35"/>
      <c r="G90" s="35"/>
      <c r="H90" s="277">
        <f t="shared" si="5"/>
        <v>0</v>
      </c>
      <c r="I90" s="278">
        <f t="shared" si="6"/>
        <v>0</v>
      </c>
      <c r="J90" s="2126"/>
      <c r="K90" s="2125"/>
      <c r="L90" s="2093"/>
      <c r="M90" s="2093"/>
      <c r="N90" s="2093"/>
      <c r="O90" s="2093"/>
      <c r="P90" s="2093"/>
    </row>
    <row r="91" spans="1:16" ht="7.5" customHeight="1" thickBot="1">
      <c r="A91" s="2112"/>
      <c r="B91" s="2117"/>
      <c r="C91" s="261"/>
      <c r="D91" s="261"/>
      <c r="E91" s="261"/>
      <c r="F91" s="261"/>
      <c r="G91" s="261"/>
      <c r="H91" s="279"/>
      <c r="I91" s="280"/>
      <c r="J91" s="2126"/>
      <c r="K91" s="2125"/>
      <c r="L91" s="2093"/>
      <c r="M91" s="2093"/>
      <c r="N91" s="2093"/>
      <c r="O91" s="2093"/>
      <c r="P91" s="2093"/>
    </row>
    <row r="92" spans="1:16" ht="15.75" customHeight="1" thickBot="1">
      <c r="A92" s="2112"/>
      <c r="B92" s="2118"/>
      <c r="C92" s="314" t="s">
        <v>547</v>
      </c>
      <c r="D92" s="517"/>
      <c r="E92" s="522"/>
      <c r="F92" s="522"/>
      <c r="G92" s="522"/>
      <c r="H92" s="522">
        <f>SUM(H84:H91)</f>
        <v>0</v>
      </c>
      <c r="I92" s="523">
        <f>SUM(I84:I91)</f>
        <v>0</v>
      </c>
      <c r="J92" s="2126"/>
      <c r="K92" s="2125"/>
      <c r="L92" s="2093"/>
      <c r="M92" s="2093"/>
      <c r="N92" s="2093"/>
      <c r="O92" s="2093"/>
      <c r="P92" s="2093"/>
    </row>
    <row r="93" spans="1:16" ht="7.5" customHeight="1" thickTop="1" thickBot="1">
      <c r="A93" s="2112"/>
      <c r="B93" s="2117"/>
      <c r="C93" s="236"/>
      <c r="D93" s="287"/>
      <c r="E93" s="282"/>
      <c r="F93" s="282"/>
      <c r="G93" s="282"/>
      <c r="H93" s="282"/>
      <c r="I93" s="283"/>
      <c r="J93" s="2126"/>
      <c r="K93" s="2125"/>
      <c r="L93" s="2093"/>
      <c r="M93" s="2093"/>
      <c r="N93" s="2093"/>
      <c r="O93" s="2093"/>
      <c r="P93" s="2093"/>
    </row>
    <row r="94" spans="1:16" ht="15.75" customHeight="1" thickBot="1">
      <c r="A94" s="2112"/>
      <c r="B94" s="2118"/>
      <c r="C94" s="314" t="s">
        <v>548</v>
      </c>
      <c r="D94" s="517"/>
      <c r="E94" s="522"/>
      <c r="F94" s="522"/>
      <c r="G94" s="522"/>
      <c r="H94" s="522"/>
      <c r="I94" s="523">
        <f>I92/12</f>
        <v>0</v>
      </c>
      <c r="J94" s="2126"/>
      <c r="K94" s="2125"/>
      <c r="L94" s="2093"/>
      <c r="M94" s="2093"/>
      <c r="N94" s="2093"/>
      <c r="O94" s="2093"/>
      <c r="P94" s="2093"/>
    </row>
    <row r="95" spans="1:16" ht="15.75" customHeight="1" thickTop="1">
      <c r="A95" s="2112"/>
      <c r="B95" s="2117"/>
      <c r="C95" s="2354" t="s">
        <v>549</v>
      </c>
      <c r="D95" s="2356">
        <v>0</v>
      </c>
      <c r="E95" s="2358">
        <v>400</v>
      </c>
      <c r="F95" s="2342" t="s">
        <v>550</v>
      </c>
      <c r="G95" s="2343"/>
      <c r="H95" s="2350">
        <f>(D95*E95)*12</f>
        <v>0</v>
      </c>
      <c r="I95" s="2352">
        <f>(H95*$E$63%)+H95</f>
        <v>0</v>
      </c>
      <c r="J95" s="2126"/>
      <c r="K95" s="2125"/>
      <c r="L95" s="2093"/>
      <c r="M95" s="2093"/>
      <c r="N95" s="2093"/>
      <c r="O95" s="2093"/>
      <c r="P95" s="2093"/>
    </row>
    <row r="96" spans="1:16" ht="15.75" customHeight="1" thickBot="1">
      <c r="A96" s="2112"/>
      <c r="B96" s="2117"/>
      <c r="C96" s="2364"/>
      <c r="D96" s="2356"/>
      <c r="E96" s="2359"/>
      <c r="F96" s="2344"/>
      <c r="G96" s="2345"/>
      <c r="H96" s="2351"/>
      <c r="I96" s="2353"/>
      <c r="J96" s="2126"/>
      <c r="K96" s="2125"/>
      <c r="L96" s="2093"/>
      <c r="M96" s="2093"/>
      <c r="N96" s="2093"/>
      <c r="O96" s="2093"/>
      <c r="P96" s="2093"/>
    </row>
    <row r="97" spans="1:16" ht="15.75" customHeight="1" thickBot="1">
      <c r="A97" s="2112"/>
      <c r="B97" s="2118"/>
      <c r="C97" s="314" t="s">
        <v>551</v>
      </c>
      <c r="D97" s="314"/>
      <c r="E97" s="525"/>
      <c r="F97" s="525"/>
      <c r="G97" s="525"/>
      <c r="H97" s="522">
        <f>H95</f>
        <v>0</v>
      </c>
      <c r="I97" s="523">
        <f>I95</f>
        <v>0</v>
      </c>
      <c r="J97" s="2102"/>
      <c r="K97" s="2125"/>
      <c r="L97" s="2093"/>
      <c r="M97" s="2093"/>
      <c r="N97" s="2093"/>
      <c r="O97" s="2093"/>
      <c r="P97" s="2093"/>
    </row>
    <row r="98" spans="1:16" ht="7.5" customHeight="1" thickTop="1" thickBot="1">
      <c r="A98" s="2112"/>
      <c r="B98" s="2117"/>
      <c r="C98" s="261"/>
      <c r="D98" s="261"/>
      <c r="E98" s="284"/>
      <c r="F98" s="284"/>
      <c r="G98" s="284"/>
      <c r="H98" s="285"/>
      <c r="I98" s="286"/>
      <c r="J98" s="2102"/>
      <c r="K98" s="2125"/>
      <c r="L98" s="2093"/>
      <c r="M98" s="2093"/>
      <c r="N98" s="2093"/>
      <c r="O98" s="2093"/>
      <c r="P98" s="2093"/>
    </row>
    <row r="99" spans="1:16" ht="15.75" customHeight="1" thickBot="1">
      <c r="A99" s="2112"/>
      <c r="B99" s="2118"/>
      <c r="C99" s="314" t="s">
        <v>552</v>
      </c>
      <c r="D99" s="314"/>
      <c r="E99" s="525"/>
      <c r="F99" s="525"/>
      <c r="G99" s="525"/>
      <c r="H99" s="522"/>
      <c r="I99" s="523">
        <f>I97/12</f>
        <v>0</v>
      </c>
      <c r="J99" s="2102"/>
      <c r="K99" s="2125"/>
      <c r="L99" s="2093"/>
      <c r="M99" s="2093"/>
      <c r="N99" s="2093"/>
      <c r="O99" s="2093"/>
      <c r="P99" s="2093"/>
    </row>
    <row r="100" spans="1:16" ht="15.75" customHeight="1" thickTop="1">
      <c r="A100" s="2112"/>
      <c r="B100" s="2116"/>
      <c r="C100" s="2120"/>
      <c r="D100" s="2120"/>
      <c r="E100" s="2120"/>
      <c r="F100" s="2121"/>
      <c r="G100" s="2120"/>
      <c r="H100" s="2120"/>
      <c r="I100" s="2124"/>
      <c r="J100" s="2102"/>
      <c r="K100" s="2125"/>
      <c r="L100" s="2093"/>
      <c r="M100" s="2093"/>
      <c r="N100" s="2093"/>
      <c r="O100" s="2093"/>
      <c r="P100" s="2093"/>
    </row>
    <row r="101" spans="1:16" ht="25.5">
      <c r="A101" s="2112"/>
      <c r="B101" s="2052" t="s">
        <v>555</v>
      </c>
      <c r="C101" s="2053" t="s">
        <v>556</v>
      </c>
      <c r="D101" s="272" t="s">
        <v>511</v>
      </c>
      <c r="E101" s="273" t="s">
        <v>541</v>
      </c>
      <c r="F101" s="274" t="s">
        <v>542</v>
      </c>
      <c r="G101" s="273" t="s">
        <v>543</v>
      </c>
      <c r="H101" s="275" t="s">
        <v>544</v>
      </c>
      <c r="I101" s="276" t="s">
        <v>545</v>
      </c>
      <c r="J101" s="2102"/>
      <c r="K101" s="2125"/>
      <c r="L101" s="2093"/>
      <c r="M101" s="2093"/>
      <c r="N101" s="2093"/>
      <c r="O101" s="2093"/>
      <c r="P101" s="2093"/>
    </row>
    <row r="102" spans="1:16" ht="15.75" customHeight="1">
      <c r="A102" s="2112"/>
      <c r="B102" s="2117"/>
      <c r="C102" s="52" t="s">
        <v>546</v>
      </c>
      <c r="D102" s="34"/>
      <c r="E102" s="35"/>
      <c r="F102" s="35"/>
      <c r="G102" s="35"/>
      <c r="H102" s="277">
        <f>(D102*E102*12)+(D102*F102)+(D102*G102)</f>
        <v>0</v>
      </c>
      <c r="I102" s="278">
        <f>(H102*$D$63%)+H102</f>
        <v>0</v>
      </c>
      <c r="J102" s="2102"/>
      <c r="K102" s="2348"/>
      <c r="L102" s="2347"/>
      <c r="M102" s="2347"/>
      <c r="N102" s="2347"/>
      <c r="O102" s="2347"/>
      <c r="P102" s="2347"/>
    </row>
    <row r="103" spans="1:16" ht="15.75" customHeight="1">
      <c r="A103" s="2112"/>
      <c r="B103" s="2117"/>
      <c r="C103" s="52" t="s">
        <v>513</v>
      </c>
      <c r="D103" s="34"/>
      <c r="E103" s="35"/>
      <c r="F103" s="35"/>
      <c r="G103" s="35"/>
      <c r="H103" s="277">
        <f t="shared" ref="H103:H108" si="7">(D103*E103*12)+(D103*F103)+(D103*G103)</f>
        <v>0</v>
      </c>
      <c r="I103" s="278">
        <f t="shared" ref="I103:I108" si="8">(H103*$D$63%)+H103</f>
        <v>0</v>
      </c>
      <c r="J103" s="2102"/>
      <c r="K103" s="2349"/>
      <c r="L103" s="2347"/>
      <c r="M103" s="2347"/>
      <c r="N103" s="2347"/>
      <c r="O103" s="2347"/>
      <c r="P103" s="2347"/>
    </row>
    <row r="104" spans="1:16" ht="15.75" customHeight="1">
      <c r="A104" s="2112"/>
      <c r="B104" s="2117"/>
      <c r="C104" s="52" t="s">
        <v>514</v>
      </c>
      <c r="D104" s="34"/>
      <c r="E104" s="35"/>
      <c r="F104" s="35"/>
      <c r="G104" s="35"/>
      <c r="H104" s="277">
        <f t="shared" si="7"/>
        <v>0</v>
      </c>
      <c r="I104" s="278">
        <f t="shared" si="8"/>
        <v>0</v>
      </c>
      <c r="J104" s="2113"/>
      <c r="K104" s="2094"/>
      <c r="L104" s="2094"/>
      <c r="M104" s="2094"/>
      <c r="N104" s="2094"/>
      <c r="O104" s="2094"/>
      <c r="P104" s="2094"/>
    </row>
    <row r="105" spans="1:16" ht="15.75" customHeight="1">
      <c r="A105" s="2112"/>
      <c r="B105" s="2117"/>
      <c r="C105" s="52" t="s">
        <v>515</v>
      </c>
      <c r="D105" s="34"/>
      <c r="E105" s="35"/>
      <c r="F105" s="35"/>
      <c r="G105" s="35"/>
      <c r="H105" s="277">
        <f t="shared" si="7"/>
        <v>0</v>
      </c>
      <c r="I105" s="278">
        <f t="shared" si="8"/>
        <v>0</v>
      </c>
      <c r="J105" s="721"/>
      <c r="K105" s="2094"/>
      <c r="L105" s="2094"/>
      <c r="M105" s="2094"/>
      <c r="N105" s="2094"/>
      <c r="O105" s="2094"/>
      <c r="P105" s="2094"/>
    </row>
    <row r="106" spans="1:16" ht="15.75" customHeight="1">
      <c r="A106" s="2112"/>
      <c r="B106" s="2117"/>
      <c r="C106" s="52" t="s">
        <v>516</v>
      </c>
      <c r="D106" s="34"/>
      <c r="E106" s="35"/>
      <c r="F106" s="35"/>
      <c r="G106" s="35"/>
      <c r="H106" s="277">
        <f t="shared" si="7"/>
        <v>0</v>
      </c>
      <c r="I106" s="278">
        <f t="shared" si="8"/>
        <v>0</v>
      </c>
      <c r="J106" s="721"/>
      <c r="K106" s="2094"/>
      <c r="L106" s="2094"/>
      <c r="M106" s="2094"/>
      <c r="N106" s="2093"/>
      <c r="O106" s="2094"/>
      <c r="P106" s="2094"/>
    </row>
    <row r="107" spans="1:16" ht="15.75" customHeight="1">
      <c r="A107" s="2112"/>
      <c r="B107" s="2117"/>
      <c r="C107" s="52" t="s">
        <v>517</v>
      </c>
      <c r="D107" s="34"/>
      <c r="E107" s="35"/>
      <c r="F107" s="35"/>
      <c r="G107" s="35"/>
      <c r="H107" s="277">
        <f t="shared" si="7"/>
        <v>0</v>
      </c>
      <c r="I107" s="278">
        <f t="shared" si="8"/>
        <v>0</v>
      </c>
      <c r="J107" s="721"/>
      <c r="K107" s="2094"/>
      <c r="L107" s="2094"/>
      <c r="M107" s="2094"/>
      <c r="N107" s="2094"/>
      <c r="O107" s="2094"/>
      <c r="P107" s="2094"/>
    </row>
    <row r="108" spans="1:16" ht="15.75" customHeight="1">
      <c r="A108" s="2112"/>
      <c r="B108" s="2117"/>
      <c r="C108" s="52" t="s">
        <v>518</v>
      </c>
      <c r="D108" s="34"/>
      <c r="E108" s="35"/>
      <c r="F108" s="35"/>
      <c r="G108" s="35"/>
      <c r="H108" s="277">
        <f t="shared" si="7"/>
        <v>0</v>
      </c>
      <c r="I108" s="278">
        <f t="shared" si="8"/>
        <v>0</v>
      </c>
      <c r="J108" s="721"/>
      <c r="K108" s="2094"/>
      <c r="L108" s="2094"/>
      <c r="M108" s="2094"/>
      <c r="N108" s="2094"/>
      <c r="O108" s="2094"/>
      <c r="P108" s="2094"/>
    </row>
    <row r="109" spans="1:16" ht="7.5" customHeight="1" thickBot="1">
      <c r="A109" s="2112"/>
      <c r="B109" s="2117"/>
      <c r="C109" s="261"/>
      <c r="D109" s="261"/>
      <c r="E109" s="261"/>
      <c r="F109" s="261"/>
      <c r="G109" s="261"/>
      <c r="H109" s="279"/>
      <c r="I109" s="280"/>
      <c r="J109" s="2123"/>
      <c r="K109" s="2094"/>
      <c r="L109" s="2094"/>
      <c r="M109" s="2094"/>
      <c r="N109" s="2094"/>
      <c r="O109" s="2094"/>
      <c r="P109" s="2094"/>
    </row>
    <row r="110" spans="1:16" ht="15.75" customHeight="1" thickBot="1">
      <c r="A110" s="2112"/>
      <c r="B110" s="2118"/>
      <c r="C110" s="314" t="s">
        <v>547</v>
      </c>
      <c r="D110" s="517"/>
      <c r="E110" s="522"/>
      <c r="F110" s="522"/>
      <c r="G110" s="522"/>
      <c r="H110" s="522">
        <f>SUM(H102:H109)</f>
        <v>0</v>
      </c>
      <c r="I110" s="523">
        <f>SUM(I102:I109)</f>
        <v>0</v>
      </c>
      <c r="J110" s="2123"/>
      <c r="K110" s="2094"/>
      <c r="L110" s="2094"/>
      <c r="M110" s="2094"/>
      <c r="N110" s="2094"/>
      <c r="O110" s="2094"/>
      <c r="P110" s="2094"/>
    </row>
    <row r="111" spans="1:16" ht="7.5" customHeight="1" thickTop="1" thickBot="1">
      <c r="A111" s="2112"/>
      <c r="B111" s="2117"/>
      <c r="C111" s="236"/>
      <c r="D111" s="287"/>
      <c r="E111" s="282"/>
      <c r="F111" s="282"/>
      <c r="G111" s="282"/>
      <c r="H111" s="282"/>
      <c r="I111" s="283"/>
      <c r="J111" s="2123"/>
      <c r="K111" s="2094"/>
      <c r="L111" s="2094"/>
      <c r="M111" s="2094"/>
      <c r="N111" s="2094"/>
      <c r="O111" s="2094"/>
      <c r="P111" s="2094"/>
    </row>
    <row r="112" spans="1:16" ht="15.75" customHeight="1" thickBot="1">
      <c r="A112" s="2112"/>
      <c r="B112" s="2118"/>
      <c r="C112" s="314" t="s">
        <v>548</v>
      </c>
      <c r="D112" s="517"/>
      <c r="E112" s="522"/>
      <c r="F112" s="522"/>
      <c r="G112" s="522"/>
      <c r="H112" s="522"/>
      <c r="I112" s="523">
        <f>I110/12</f>
        <v>0</v>
      </c>
      <c r="J112" s="2123"/>
      <c r="K112" s="2094"/>
      <c r="L112" s="2094"/>
      <c r="M112" s="2094"/>
      <c r="N112" s="2094"/>
      <c r="O112" s="2094"/>
      <c r="P112" s="2094"/>
    </row>
    <row r="113" spans="1:10" ht="15.75" customHeight="1" thickTop="1">
      <c r="A113" s="2112"/>
      <c r="B113" s="2117"/>
      <c r="C113" s="2354" t="s">
        <v>557</v>
      </c>
      <c r="D113" s="2356">
        <v>0</v>
      </c>
      <c r="E113" s="2358">
        <v>400</v>
      </c>
      <c r="F113" s="2342" t="s">
        <v>550</v>
      </c>
      <c r="G113" s="2343"/>
      <c r="H113" s="2350">
        <f>(D113*E113)*12</f>
        <v>0</v>
      </c>
      <c r="I113" s="2352">
        <f>(H113*E63%)+H113</f>
        <v>0</v>
      </c>
      <c r="J113" s="2123"/>
    </row>
    <row r="114" spans="1:10" ht="15.75" customHeight="1" thickBot="1">
      <c r="A114" s="2112"/>
      <c r="B114" s="2117"/>
      <c r="C114" s="2355"/>
      <c r="D114" s="2357"/>
      <c r="E114" s="2359"/>
      <c r="F114" s="2344"/>
      <c r="G114" s="2345"/>
      <c r="H114" s="2351"/>
      <c r="I114" s="2353"/>
      <c r="J114" s="2123"/>
    </row>
    <row r="115" spans="1:10" ht="15.75" customHeight="1" thickBot="1">
      <c r="A115" s="2112"/>
      <c r="B115" s="2118"/>
      <c r="C115" s="314" t="s">
        <v>551</v>
      </c>
      <c r="D115" s="314"/>
      <c r="E115" s="525"/>
      <c r="F115" s="525"/>
      <c r="G115" s="525"/>
      <c r="H115" s="522">
        <f>H113</f>
        <v>0</v>
      </c>
      <c r="I115" s="523">
        <f>I113</f>
        <v>0</v>
      </c>
      <c r="J115" s="2123"/>
    </row>
    <row r="116" spans="1:10" ht="7.5" customHeight="1" thickTop="1" thickBot="1">
      <c r="A116" s="2112"/>
      <c r="B116" s="2117"/>
      <c r="C116" s="261"/>
      <c r="D116" s="261"/>
      <c r="E116" s="284"/>
      <c r="F116" s="284"/>
      <c r="G116" s="284"/>
      <c r="H116" s="285"/>
      <c r="I116" s="286"/>
      <c r="J116" s="2123"/>
    </row>
    <row r="117" spans="1:10" ht="15.75" customHeight="1" thickBot="1">
      <c r="A117" s="2112"/>
      <c r="B117" s="2127"/>
      <c r="C117" s="716" t="s">
        <v>552</v>
      </c>
      <c r="D117" s="716"/>
      <c r="E117" s="717"/>
      <c r="F117" s="717"/>
      <c r="G117" s="717"/>
      <c r="H117" s="718"/>
      <c r="I117" s="719">
        <f>I115/12</f>
        <v>0</v>
      </c>
      <c r="J117" s="2123"/>
    </row>
    <row r="118" spans="1:10" ht="13.5" thickBot="1">
      <c r="A118" s="2128"/>
      <c r="B118" s="2129"/>
      <c r="C118" s="2129"/>
      <c r="D118" s="2129"/>
      <c r="E118" s="2129"/>
      <c r="F118" s="2130"/>
      <c r="G118" s="2129"/>
      <c r="H118" s="2129"/>
      <c r="I118" s="2129"/>
      <c r="J118" s="2131"/>
    </row>
    <row r="119" spans="1:10" ht="13.5" thickTop="1">
      <c r="A119" s="2132"/>
      <c r="B119" s="2132"/>
      <c r="C119" s="2094"/>
      <c r="D119" s="2094"/>
      <c r="E119" s="2094"/>
      <c r="F119" s="2108"/>
      <c r="G119" s="2094"/>
      <c r="H119" s="2094"/>
      <c r="I119" s="2094"/>
      <c r="J119" s="2132"/>
    </row>
    <row r="120" spans="1:10">
      <c r="A120" s="2132"/>
      <c r="B120" s="2132"/>
      <c r="C120" s="2094"/>
      <c r="D120" s="2094"/>
      <c r="E120" s="2094"/>
      <c r="F120" s="2108"/>
      <c r="G120" s="2094"/>
      <c r="H120" s="2094"/>
      <c r="I120" s="2094"/>
      <c r="J120" s="2132"/>
    </row>
    <row r="121" spans="1:10">
      <c r="A121" s="2132"/>
      <c r="B121" s="2132"/>
      <c r="C121" s="2094"/>
      <c r="D121" s="2094"/>
      <c r="E121" s="2094"/>
      <c r="F121" s="2108"/>
      <c r="G121" s="2094"/>
      <c r="H121" s="2094"/>
      <c r="I121" s="2094"/>
      <c r="J121" s="2111"/>
    </row>
    <row r="122" spans="1:10">
      <c r="A122" s="2132"/>
      <c r="B122" s="2132"/>
      <c r="C122" s="2094"/>
      <c r="D122" s="2094"/>
      <c r="E122" s="2094"/>
      <c r="F122" s="2108"/>
      <c r="G122" s="2094"/>
      <c r="H122" s="2094"/>
      <c r="I122" s="2094"/>
      <c r="J122" s="2111"/>
    </row>
    <row r="123" spans="1:10">
      <c r="A123" s="2132"/>
      <c r="B123" s="2132"/>
      <c r="C123" s="2094"/>
      <c r="D123" s="2094"/>
      <c r="E123" s="2094"/>
      <c r="F123" s="2108"/>
      <c r="G123" s="2094"/>
      <c r="H123" s="2094"/>
      <c r="I123" s="2094"/>
      <c r="J123" s="2132"/>
    </row>
    <row r="124" spans="1:10">
      <c r="A124" s="2132"/>
      <c r="B124" s="2132"/>
      <c r="C124" s="2094"/>
      <c r="D124" s="2094"/>
      <c r="E124" s="2094"/>
      <c r="F124" s="2108"/>
      <c r="G124" s="2094"/>
      <c r="H124" s="2094"/>
      <c r="I124" s="2094"/>
      <c r="J124" s="2132"/>
    </row>
    <row r="125" spans="1:10">
      <c r="A125" s="2132"/>
      <c r="B125" s="2132"/>
      <c r="C125" s="2094"/>
      <c r="D125" s="2094"/>
      <c r="E125" s="2094"/>
      <c r="F125" s="2108"/>
      <c r="G125" s="2094"/>
      <c r="H125" s="2094"/>
      <c r="I125" s="2094"/>
      <c r="J125" s="2132"/>
    </row>
  </sheetData>
  <customSheetViews>
    <customSheetView guid="{A57FB75A-A9C6-4363-92C4-C633F764E6EC}" showRuler="0">
      <selection activeCell="F23" sqref="F23"/>
      <pageMargins left="0" right="0" top="0" bottom="0" header="0" footer="0"/>
      <pageSetup paperSize="9" orientation="portrait" horizontalDpi="4294967293" verticalDpi="96"/>
      <headerFooter alignWithMargins="0"/>
    </customSheetView>
    <customSheetView guid="{FC62AB03-1E1B-40DD-97B7-FC10FADA3A15}">
      <selection activeCell="E39" sqref="E39"/>
      <pageMargins left="0" right="0" top="0" bottom="0" header="0" footer="0"/>
      <pageSetup paperSize="9" orientation="portrait" horizontalDpi="4294967293" verticalDpi="96" r:id="rId1"/>
      <headerFooter alignWithMargins="0"/>
    </customSheetView>
  </customSheetViews>
  <mergeCells count="48">
    <mergeCell ref="K19:N19"/>
    <mergeCell ref="B1:I2"/>
    <mergeCell ref="G37:G38"/>
    <mergeCell ref="H37:H38"/>
    <mergeCell ref="K24:N25"/>
    <mergeCell ref="K4:N4"/>
    <mergeCell ref="C3:C5"/>
    <mergeCell ref="D3:E3"/>
    <mergeCell ref="F3:G3"/>
    <mergeCell ref="H3:I3"/>
    <mergeCell ref="F26:G26"/>
    <mergeCell ref="D26:E26"/>
    <mergeCell ref="K28:N28"/>
    <mergeCell ref="K32:N32"/>
    <mergeCell ref="L29:N29"/>
    <mergeCell ref="L30:N30"/>
    <mergeCell ref="B50:B51"/>
    <mergeCell ref="D37:D38"/>
    <mergeCell ref="E37:E38"/>
    <mergeCell ref="F37:F38"/>
    <mergeCell ref="C77:C78"/>
    <mergeCell ref="B37:B38"/>
    <mergeCell ref="C113:C114"/>
    <mergeCell ref="D113:D114"/>
    <mergeCell ref="E113:E114"/>
    <mergeCell ref="D77:D78"/>
    <mergeCell ref="H26:I26"/>
    <mergeCell ref="C95:C96"/>
    <mergeCell ref="D95:D96"/>
    <mergeCell ref="E95:E96"/>
    <mergeCell ref="C50:F51"/>
    <mergeCell ref="C37:C38"/>
    <mergeCell ref="H77:H78"/>
    <mergeCell ref="I77:I78"/>
    <mergeCell ref="F77:G78"/>
    <mergeCell ref="G54:I54"/>
    <mergeCell ref="G57:I57"/>
    <mergeCell ref="E77:E78"/>
    <mergeCell ref="L31:N31"/>
    <mergeCell ref="F95:G96"/>
    <mergeCell ref="K66:P67"/>
    <mergeCell ref="K84:P85"/>
    <mergeCell ref="F113:G114"/>
    <mergeCell ref="H113:H114"/>
    <mergeCell ref="I95:I96"/>
    <mergeCell ref="I113:I114"/>
    <mergeCell ref="K102:P103"/>
    <mergeCell ref="H95:H96"/>
  </mergeCells>
  <phoneticPr fontId="0" type="noConversion"/>
  <pageMargins left="0.78740157480314965" right="0.78740157480314965" top="0.98425196850393704" bottom="0.98425196850393704" header="0.51181102362204722" footer="0.51181102362204722"/>
  <pageSetup paperSize="9" scale="64" orientation="portrait" horizontalDpi="4294967293" verticalDpi="96" r:id="rId2"/>
  <headerFooter alignWithMargins="0">
    <oddHeader>&amp;CSeite &amp;P</oddHeader>
    <oddFooter>&amp;LDie Vorlage dieser Datei wurde zur Verfügung gestellt durch die Wirtschafts-Senioren Hannover&amp;R&amp;D</oddFooter>
  </headerFooter>
  <rowBreaks count="1" manualBreakCount="1">
    <brk id="63" max="9" man="1"/>
  </rowBreaks>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96EA-BAB7-4140-ACF9-5A654A45B3E5}">
  <dimension ref="A1:K26"/>
  <sheetViews>
    <sheetView zoomScaleNormal="100" workbookViewId="0">
      <selection activeCell="I29" sqref="I29"/>
    </sheetView>
  </sheetViews>
  <sheetFormatPr defaultRowHeight="12.75"/>
  <cols>
    <col min="1" max="3" width="11.42578125" customWidth="1"/>
    <col min="4" max="4" width="17" customWidth="1"/>
    <col min="5" max="5" width="11.42578125" customWidth="1"/>
    <col min="6" max="6" width="12.28515625" customWidth="1"/>
    <col min="7" max="7" width="13.28515625" customWidth="1"/>
    <col min="8" max="8" width="12.5703125" customWidth="1"/>
    <col min="9" max="9" width="9.7109375" customWidth="1"/>
    <col min="10" max="256" width="11.42578125" customWidth="1"/>
  </cols>
  <sheetData>
    <row r="1" spans="1:11" ht="18.75" thickTop="1">
      <c r="A1" s="1405" t="s">
        <v>558</v>
      </c>
      <c r="B1" s="1406"/>
      <c r="C1" s="1406"/>
      <c r="D1" s="1406"/>
      <c r="E1" s="1418"/>
      <c r="F1" s="1417" t="s">
        <v>559</v>
      </c>
      <c r="G1" s="1422" t="s">
        <v>560</v>
      </c>
      <c r="H1" s="1422" t="s">
        <v>561</v>
      </c>
      <c r="I1" s="1407" t="s">
        <v>562</v>
      </c>
      <c r="J1" s="1407" t="s">
        <v>563</v>
      </c>
      <c r="K1" s="1415" t="s">
        <v>564</v>
      </c>
    </row>
    <row r="2" spans="1:11" ht="15">
      <c r="A2" s="1415" t="s">
        <v>565</v>
      </c>
      <c r="B2" s="1415"/>
      <c r="C2" s="1415"/>
      <c r="D2" s="1408"/>
      <c r="E2" s="1419"/>
      <c r="F2" s="1420">
        <v>1</v>
      </c>
      <c r="G2" s="1421">
        <v>1</v>
      </c>
      <c r="H2" s="1421">
        <v>1</v>
      </c>
      <c r="I2" s="1409"/>
      <c r="J2" s="1421">
        <v>1</v>
      </c>
      <c r="K2" s="1415" t="s">
        <v>566</v>
      </c>
    </row>
    <row r="3" spans="1:11">
      <c r="A3" s="858" t="s">
        <v>567</v>
      </c>
      <c r="B3" s="858"/>
      <c r="C3" s="858"/>
      <c r="D3" s="858"/>
      <c r="E3" s="1423"/>
      <c r="F3" s="1424">
        <v>4</v>
      </c>
      <c r="G3" s="1424"/>
      <c r="H3" s="1424"/>
      <c r="I3" s="1424"/>
      <c r="J3" s="1424">
        <v>2</v>
      </c>
      <c r="K3" s="1423"/>
    </row>
    <row r="4" spans="1:11">
      <c r="A4" s="2406" t="s">
        <v>568</v>
      </c>
      <c r="B4" s="2407"/>
      <c r="C4" s="2407"/>
      <c r="D4" s="2407"/>
      <c r="E4" s="1423"/>
      <c r="F4" s="1424">
        <v>4</v>
      </c>
      <c r="G4" s="1424"/>
      <c r="H4" s="1424">
        <v>1</v>
      </c>
      <c r="I4" s="1424"/>
      <c r="J4" s="1424"/>
      <c r="K4" s="1423"/>
    </row>
    <row r="5" spans="1:11" ht="13.5" thickBot="1">
      <c r="A5" s="1410"/>
      <c r="B5" s="1410"/>
      <c r="C5" s="1410"/>
      <c r="D5" s="1410"/>
      <c r="E5" s="1423"/>
      <c r="F5" s="1424"/>
      <c r="G5" s="1424"/>
      <c r="H5" s="1425"/>
      <c r="I5" s="1424"/>
      <c r="J5" s="1424"/>
      <c r="K5" s="1423"/>
    </row>
    <row r="6" spans="1:11" ht="13.5" thickTop="1">
      <c r="A6" s="1411" t="s">
        <v>569</v>
      </c>
      <c r="B6" s="1412"/>
      <c r="C6" s="1412"/>
      <c r="D6" s="1412"/>
      <c r="E6" s="1426"/>
      <c r="F6" s="1424"/>
      <c r="G6" s="1424"/>
      <c r="H6" s="1424"/>
      <c r="I6" s="1424"/>
      <c r="J6" s="1424"/>
      <c r="K6" s="1423"/>
    </row>
    <row r="7" spans="1:11" ht="13.5" thickBot="1">
      <c r="A7" s="1413" t="s">
        <v>570</v>
      </c>
      <c r="B7" s="1414"/>
      <c r="C7" s="1414"/>
      <c r="D7" s="1414"/>
      <c r="E7" s="1423"/>
      <c r="F7" s="1424">
        <v>2</v>
      </c>
      <c r="G7" s="1424">
        <v>2</v>
      </c>
      <c r="H7" s="1424">
        <v>1</v>
      </c>
      <c r="I7" s="1424">
        <v>4</v>
      </c>
      <c r="J7" s="1424"/>
      <c r="K7" s="1423"/>
    </row>
    <row r="8" spans="1:11" ht="13.5" thickTop="1">
      <c r="A8" s="858" t="s">
        <v>571</v>
      </c>
      <c r="B8" s="858"/>
      <c r="C8" s="858"/>
      <c r="D8" s="858"/>
      <c r="E8" s="1423"/>
      <c r="F8" s="1424"/>
      <c r="G8" s="1424"/>
      <c r="H8" s="1424"/>
      <c r="I8" s="1424"/>
      <c r="J8" s="1424">
        <v>32</v>
      </c>
      <c r="K8" s="1423"/>
    </row>
    <row r="9" spans="1:11">
      <c r="A9" s="858" t="s">
        <v>572</v>
      </c>
      <c r="B9" s="858"/>
      <c r="C9" s="858"/>
      <c r="D9" s="858"/>
      <c r="E9" s="1423"/>
      <c r="F9" s="1424"/>
      <c r="G9" s="1424"/>
      <c r="H9" s="1424"/>
      <c r="I9" s="1424"/>
      <c r="J9" s="1424">
        <v>32</v>
      </c>
      <c r="K9" s="1423"/>
    </row>
    <row r="10" spans="1:11" ht="13.5" thickBot="1">
      <c r="A10" s="858" t="s">
        <v>573</v>
      </c>
      <c r="B10" s="858"/>
      <c r="C10" s="858"/>
      <c r="D10" s="858"/>
      <c r="E10" s="1423"/>
      <c r="F10" s="1424">
        <v>4</v>
      </c>
      <c r="G10" s="1424"/>
      <c r="H10" s="1424"/>
      <c r="I10" s="1424"/>
      <c r="J10" s="1424">
        <v>5</v>
      </c>
      <c r="K10" s="1423"/>
    </row>
    <row r="11" spans="1:11" ht="13.5" thickTop="1">
      <c r="A11" s="1411" t="s">
        <v>574</v>
      </c>
      <c r="B11" s="1412"/>
      <c r="C11" s="1412"/>
      <c r="D11" s="1412"/>
      <c r="E11" s="1426"/>
      <c r="F11" s="1424"/>
      <c r="G11" s="1424"/>
      <c r="H11" s="1425"/>
      <c r="I11" s="1424"/>
      <c r="J11" s="1424"/>
      <c r="K11" s="1423"/>
    </row>
    <row r="12" spans="1:11" ht="13.5" thickBot="1">
      <c r="A12" s="1413" t="s">
        <v>575</v>
      </c>
      <c r="B12" s="1414"/>
      <c r="C12" s="1414"/>
      <c r="D12" s="1414"/>
      <c r="E12" s="1423"/>
      <c r="F12" s="1424"/>
      <c r="G12" s="1424">
        <v>2</v>
      </c>
      <c r="H12" s="1425"/>
      <c r="I12" s="1424"/>
      <c r="J12" s="1424">
        <v>4</v>
      </c>
      <c r="K12" s="1423"/>
    </row>
    <row r="13" spans="1:11" ht="13.5" thickTop="1">
      <c r="A13" s="1411" t="s">
        <v>576</v>
      </c>
      <c r="B13" s="1412"/>
      <c r="C13" s="1412"/>
      <c r="D13" s="1412"/>
      <c r="E13" s="1426"/>
      <c r="F13" s="1424"/>
      <c r="G13" s="1424"/>
      <c r="H13" s="1425"/>
      <c r="I13" s="1424"/>
      <c r="J13" s="1424"/>
      <c r="K13" s="1423"/>
    </row>
    <row r="14" spans="1:11" ht="13.5" thickBot="1">
      <c r="A14" s="1413" t="s">
        <v>577</v>
      </c>
      <c r="B14" s="1414"/>
      <c r="C14" s="1414"/>
      <c r="D14" s="1414"/>
      <c r="E14" s="1423"/>
      <c r="F14" s="1424"/>
      <c r="G14" s="1424"/>
      <c r="H14" s="1425"/>
      <c r="I14" s="1424">
        <v>1</v>
      </c>
      <c r="J14" s="1424"/>
      <c r="K14" s="1423"/>
    </row>
    <row r="15" spans="1:11" ht="15" thickTop="1">
      <c r="A15" s="858" t="s">
        <v>578</v>
      </c>
      <c r="B15" s="858"/>
      <c r="C15" s="858"/>
      <c r="D15" s="858"/>
      <c r="E15" s="1427"/>
      <c r="F15" s="1424"/>
      <c r="G15" s="1424"/>
      <c r="H15" s="1424"/>
      <c r="I15" s="1424"/>
      <c r="J15" s="1424"/>
      <c r="K15" s="1428"/>
    </row>
    <row r="16" spans="1:11">
      <c r="A16" s="858" t="s">
        <v>579</v>
      </c>
      <c r="B16" s="858"/>
      <c r="C16" s="858"/>
      <c r="D16" s="858"/>
      <c r="E16" s="1423"/>
      <c r="F16" s="1424"/>
      <c r="G16" s="1424"/>
      <c r="H16" s="1425"/>
      <c r="I16" s="1424"/>
      <c r="J16" s="1424"/>
      <c r="K16" s="1423"/>
    </row>
    <row r="17" spans="1:11" ht="13.5" thickBot="1">
      <c r="A17" s="870" t="s">
        <v>580</v>
      </c>
      <c r="B17" s="870"/>
      <c r="C17" s="870"/>
      <c r="D17" s="870"/>
      <c r="E17" s="1429"/>
      <c r="F17" s="1430">
        <f>SUM(F3:F16)</f>
        <v>14</v>
      </c>
      <c r="G17" s="1430">
        <f>SUM(G3:G16)</f>
        <v>4</v>
      </c>
      <c r="H17" s="1430">
        <f>SUM(H3:H16)</f>
        <v>2</v>
      </c>
      <c r="I17" s="1430">
        <f>SUM(I3:I16)</f>
        <v>5</v>
      </c>
      <c r="J17" s="1430">
        <f>SUM(J3:J16)</f>
        <v>75</v>
      </c>
      <c r="K17" s="1434">
        <f>SUM(F17:J17)</f>
        <v>100</v>
      </c>
    </row>
    <row r="18" spans="1:11" ht="13.5" thickBot="1">
      <c r="A18" s="2133"/>
      <c r="B18" s="2134"/>
      <c r="C18" s="2134"/>
      <c r="D18" s="2134"/>
      <c r="E18" s="2135"/>
      <c r="F18" s="2135"/>
      <c r="G18" s="2135"/>
      <c r="H18" s="2135"/>
      <c r="I18" s="2135"/>
      <c r="J18" s="2135"/>
      <c r="K18" s="1431"/>
    </row>
    <row r="19" spans="1:11" ht="13.5" thickTop="1">
      <c r="A19" s="2408" t="s">
        <v>581</v>
      </c>
      <c r="B19" s="2409"/>
      <c r="C19" s="2409"/>
      <c r="D19" s="2409"/>
      <c r="E19" s="1432" t="s">
        <v>178</v>
      </c>
      <c r="F19" s="2136">
        <f>F17/F21%</f>
        <v>9.7222222222222232</v>
      </c>
      <c r="G19" s="2136">
        <f>G17/G21%</f>
        <v>5.5555555555555554</v>
      </c>
      <c r="H19" s="2136">
        <f>H17/H21%</f>
        <v>5.5555555555555554</v>
      </c>
      <c r="I19" s="2136">
        <f>I17/I21%</f>
        <v>4.4247787610619476</v>
      </c>
      <c r="J19" s="2136">
        <f>J17/J21%</f>
        <v>52.083333333333336</v>
      </c>
      <c r="K19" s="1431"/>
    </row>
    <row r="20" spans="1:11" ht="13.5" thickBot="1">
      <c r="A20" s="2137"/>
      <c r="B20" s="2138"/>
      <c r="C20" s="2138"/>
      <c r="D20" s="2138"/>
      <c r="E20" s="2139"/>
      <c r="F20" s="2140"/>
      <c r="G20" s="2140"/>
      <c r="H20" s="1433"/>
      <c r="I20" s="1433"/>
      <c r="J20" s="1433"/>
      <c r="K20" s="1431"/>
    </row>
    <row r="21" spans="1:11" ht="16.5" thickTop="1">
      <c r="A21" s="1416" t="s">
        <v>582</v>
      </c>
      <c r="B21" s="1416"/>
      <c r="C21" s="1416"/>
      <c r="D21" s="1416"/>
      <c r="E21" s="2141"/>
      <c r="F21" s="1434">
        <f>ArbStd_MA!D14*'ArbSt_MA II'!F2</f>
        <v>144</v>
      </c>
      <c r="G21" s="1434">
        <f>ArbStd_MA!D14*'ArbSt_MA II'!G2/2</f>
        <v>72</v>
      </c>
      <c r="H21" s="1434">
        <f>ArbStd_MA!D14*'ArbSt_MA II'!H2/4</f>
        <v>36</v>
      </c>
      <c r="I21" s="1435">
        <v>113</v>
      </c>
      <c r="J21" s="1434">
        <f>ArbStd_MA!D14*'ArbSt_MA II'!J2</f>
        <v>144</v>
      </c>
      <c r="K21" s="1434">
        <f>SUM(F21:J21)</f>
        <v>509</v>
      </c>
    </row>
    <row r="22" spans="1:11">
      <c r="A22" s="2111"/>
      <c r="B22" s="2111"/>
      <c r="C22" s="2111"/>
      <c r="D22" s="2111"/>
      <c r="E22" s="2139"/>
      <c r="F22" s="2139"/>
      <c r="G22" s="2139"/>
      <c r="H22" s="1431"/>
      <c r="I22" s="1436"/>
      <c r="J22" s="1431"/>
      <c r="K22" s="1431"/>
    </row>
    <row r="23" spans="1:11">
      <c r="A23" s="2111"/>
      <c r="B23" s="2111"/>
      <c r="C23" s="2111"/>
      <c r="D23" s="2111"/>
      <c r="E23" s="2139"/>
      <c r="F23" s="2139"/>
      <c r="G23" s="2139"/>
      <c r="H23" s="1431"/>
      <c r="I23" s="1431"/>
      <c r="J23" s="1431"/>
      <c r="K23" s="1431"/>
    </row>
    <row r="24" spans="1:11">
      <c r="A24" s="2410" t="s">
        <v>583</v>
      </c>
      <c r="B24" s="2411"/>
      <c r="C24" s="2411"/>
      <c r="D24" s="2411"/>
      <c r="E24" s="1431"/>
      <c r="F24" s="1431"/>
      <c r="G24" s="1431"/>
      <c r="H24" s="1431"/>
      <c r="I24" s="1431"/>
      <c r="J24" s="1431"/>
      <c r="K24" s="1431"/>
    </row>
    <row r="25" spans="1:11" ht="21.6" customHeight="1">
      <c r="A25" s="2412"/>
      <c r="B25" s="2411"/>
      <c r="C25" s="2411"/>
      <c r="D25" s="2411"/>
      <c r="E25" s="2141"/>
      <c r="F25" s="1434">
        <f>F21-F17</f>
        <v>130</v>
      </c>
      <c r="G25" s="1434">
        <f>G21-G17</f>
        <v>68</v>
      </c>
      <c r="H25" s="1434">
        <f>H21-H17</f>
        <v>34</v>
      </c>
      <c r="I25" s="1434">
        <f>I21-I17</f>
        <v>108</v>
      </c>
      <c r="J25" s="1434">
        <f>J21-J17</f>
        <v>69</v>
      </c>
      <c r="K25" s="1434">
        <f>SUM(F25:J25)</f>
        <v>409</v>
      </c>
    </row>
    <row r="26" spans="1:11" ht="15">
      <c r="A26" s="1213"/>
      <c r="B26" s="1213"/>
      <c r="C26" s="1213"/>
      <c r="D26" s="1213"/>
      <c r="E26" s="2111"/>
      <c r="F26" s="2111"/>
      <c r="G26" s="2111"/>
      <c r="H26" s="2111"/>
      <c r="I26" s="2111"/>
      <c r="J26" s="2111"/>
      <c r="K26" s="2111"/>
    </row>
  </sheetData>
  <mergeCells count="3">
    <mergeCell ref="A4:D4"/>
    <mergeCell ref="A19:D19"/>
    <mergeCell ref="A24:D25"/>
  </mergeCells>
  <pageMargins left="0.7" right="0.7" top="0.78740157499999996" bottom="0.78740157499999996" header="0.3" footer="0.3"/>
  <pageSetup paperSize="9" orientation="portrait" verticalDpi="0" r:id="rId1"/>
  <headerFooter>
    <oddFooter>&amp;L Zur Verfügung gestellt durch Rüdiger ADAMY, Hannover</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B095F-01EF-474E-8D61-2F256CE82624}">
  <sheetPr>
    <tabColor indexed="44"/>
    <pageSetUpPr autoPageBreaks="0" fitToPage="1"/>
  </sheetPr>
  <dimension ref="A1:AN114"/>
  <sheetViews>
    <sheetView showGridLines="0" showRuler="0" topLeftCell="C1" zoomScale="83" zoomScaleNormal="83" zoomScalePageLayoutView="50" workbookViewId="0">
      <selection activeCell="I60" sqref="I60"/>
    </sheetView>
  </sheetViews>
  <sheetFormatPr defaultColWidth="0" defaultRowHeight="12.75" zeroHeight="1"/>
  <cols>
    <col min="1" max="1" width="2.7109375" style="1214" customWidth="1"/>
    <col min="2" max="2" width="8.7109375" style="1214" customWidth="1"/>
    <col min="3" max="3" width="17.7109375" style="1238" customWidth="1"/>
    <col min="4" max="4" width="19.5703125" style="1239" customWidth="1"/>
    <col min="5" max="5" width="14" style="1214" customWidth="1"/>
    <col min="6" max="6" width="13.7109375" style="1214" customWidth="1"/>
    <col min="7" max="7" width="16.7109375" style="1214" customWidth="1"/>
    <col min="8" max="8" width="12.28515625" style="1223" customWidth="1"/>
    <col min="9" max="9" width="15.42578125" style="1220" customWidth="1"/>
    <col min="10" max="10" width="13.7109375" style="1223" customWidth="1"/>
    <col min="11" max="11" width="2.140625" style="1223" customWidth="1"/>
    <col min="12" max="12" width="26.7109375" style="1223" customWidth="1"/>
    <col min="13" max="13" width="11.5703125" style="1223" customWidth="1"/>
    <col min="14" max="14" width="13.85546875" style="1223" customWidth="1"/>
    <col min="15" max="15" width="10.28515625" style="1223" customWidth="1"/>
    <col min="16" max="16" width="12.28515625" style="1223" customWidth="1"/>
    <col min="17" max="17" width="15.28515625" style="1223" customWidth="1"/>
    <col min="18" max="18" width="11.140625" style="1223" customWidth="1"/>
    <col min="19" max="19" width="10.28515625" style="1223" customWidth="1"/>
    <col min="20" max="20" width="13.28515625" style="1223" customWidth="1"/>
    <col min="21" max="21" width="10.5703125" style="1223" customWidth="1"/>
    <col min="22" max="22" width="23.28515625" style="1223" customWidth="1"/>
    <col min="23" max="23" width="25.7109375" style="1223" customWidth="1"/>
    <col min="24" max="24" width="9.7109375" style="1223" hidden="1" customWidth="1"/>
    <col min="25" max="25" width="13" style="1223" hidden="1" customWidth="1"/>
    <col min="26" max="26" width="13.28515625" style="1223" hidden="1" customWidth="1"/>
    <col min="27" max="27" width="11.140625" style="1214" hidden="1" customWidth="1"/>
    <col min="28" max="28" width="7.5703125" style="1214" hidden="1" customWidth="1"/>
    <col min="29" max="29" width="10.7109375" style="1214" hidden="1" customWidth="1"/>
    <col min="30" max="30" width="10.28515625" style="1214" hidden="1" customWidth="1"/>
    <col min="31" max="31" width="1.5703125" style="1214" hidden="1" customWidth="1"/>
    <col min="32" max="32" width="22.85546875" style="1214" hidden="1" customWidth="1"/>
    <col min="33" max="33" width="12" style="1214" hidden="1" customWidth="1"/>
    <col min="34" max="40" width="0" style="1214" hidden="1" customWidth="1"/>
    <col min="41" max="16384" width="11.42578125" style="1214" hidden="1"/>
  </cols>
  <sheetData>
    <row r="1" spans="1:40" ht="24.6" customHeight="1" thickTop="1">
      <c r="A1" s="288"/>
      <c r="B1" s="2432" t="s">
        <v>584</v>
      </c>
      <c r="C1" s="2432"/>
      <c r="D1" s="2432"/>
      <c r="E1" s="2432"/>
      <c r="F1" s="2432"/>
      <c r="G1" s="2432"/>
      <c r="H1" s="2432"/>
      <c r="I1" s="2432"/>
      <c r="J1" s="2432"/>
      <c r="K1" s="2433"/>
      <c r="L1" s="1387"/>
      <c r="M1" s="1809">
        <f>ZusammenführErgebn!C3</f>
        <v>2025</v>
      </c>
      <c r="N1" s="1810"/>
      <c r="O1" s="1811"/>
      <c r="P1" s="1809">
        <f>ZusammenführErgebn!D3</f>
        <v>2026</v>
      </c>
      <c r="Q1" s="1810"/>
      <c r="R1" s="1811"/>
      <c r="S1" s="1809">
        <f>ZusammenführErgebn!E3</f>
        <v>2027</v>
      </c>
      <c r="T1" s="1388"/>
      <c r="U1" s="1388"/>
      <c r="W1" s="1460"/>
      <c r="X1" s="1389"/>
      <c r="Y1" s="537"/>
      <c r="Z1" s="398"/>
      <c r="AA1" s="406"/>
      <c r="AB1" s="2067"/>
      <c r="AC1" s="2067"/>
      <c r="AD1" s="2067"/>
      <c r="AE1" s="2067"/>
      <c r="AF1" s="1215"/>
      <c r="AG1" s="1215"/>
      <c r="AH1" s="1215"/>
    </row>
    <row r="2" spans="1:40" ht="56.45" customHeight="1" thickBot="1">
      <c r="A2" s="289"/>
      <c r="B2" s="2434"/>
      <c r="C2" s="2434"/>
      <c r="D2" s="2434"/>
      <c r="E2" s="2434"/>
      <c r="F2" s="2434"/>
      <c r="G2" s="2434"/>
      <c r="H2" s="2434"/>
      <c r="I2" s="2434"/>
      <c r="J2" s="2434"/>
      <c r="K2" s="2435"/>
      <c r="L2" s="1402" t="s">
        <v>585</v>
      </c>
      <c r="M2" s="1402" t="s">
        <v>586</v>
      </c>
      <c r="N2" s="1402" t="s">
        <v>587</v>
      </c>
      <c r="O2" s="1402" t="s">
        <v>588</v>
      </c>
      <c r="P2" s="1403" t="s">
        <v>589</v>
      </c>
      <c r="Q2" s="1402" t="s">
        <v>587</v>
      </c>
      <c r="R2" s="1402" t="s">
        <v>590</v>
      </c>
      <c r="S2" s="1402" t="s">
        <v>591</v>
      </c>
      <c r="T2" s="1402" t="s">
        <v>587</v>
      </c>
      <c r="U2" s="1402" t="s">
        <v>590</v>
      </c>
      <c r="V2" s="1218"/>
      <c r="W2" s="1218"/>
      <c r="X2" s="1390" t="s">
        <v>590</v>
      </c>
      <c r="Y2" s="537"/>
      <c r="Z2" s="398"/>
      <c r="AA2" s="406"/>
      <c r="AB2" s="2067"/>
      <c r="AC2" s="2067"/>
      <c r="AD2" s="2067"/>
      <c r="AE2" s="2067"/>
      <c r="AF2" s="1215"/>
      <c r="AG2" s="1215"/>
      <c r="AH2" s="1215"/>
      <c r="AI2" s="1215"/>
      <c r="AJ2" s="1215"/>
      <c r="AK2" s="1215"/>
      <c r="AL2" s="1215"/>
      <c r="AM2" s="1215"/>
      <c r="AN2" s="1215"/>
    </row>
    <row r="3" spans="1:40" ht="44.25" customHeight="1" thickTop="1" thickBot="1">
      <c r="A3" s="289"/>
      <c r="B3" s="2447" t="s">
        <v>592</v>
      </c>
      <c r="C3" s="2448"/>
      <c r="D3" s="2449" t="s">
        <v>593</v>
      </c>
      <c r="E3" s="2450"/>
      <c r="F3" s="2450"/>
      <c r="G3" s="2450"/>
      <c r="H3" s="2450"/>
      <c r="I3" s="2450"/>
      <c r="J3" s="2451"/>
      <c r="K3" s="2056"/>
      <c r="L3" s="1391" t="s">
        <v>594</v>
      </c>
      <c r="M3" s="1461">
        <v>3.5</v>
      </c>
      <c r="N3" s="1462" t="e">
        <f>('Ertragsv. 2025'!O20-'Ertragsv. 2025'!O4+'Ertragsv. 2025'!O22+'Ertragsv. 2025'!O23)*100/'Ertragsv. 2025'!O4</f>
        <v>#DIV/0!</v>
      </c>
      <c r="O3" s="1463" t="e">
        <f>M3*N3%+M3</f>
        <v>#DIV/0!</v>
      </c>
      <c r="P3" s="1464">
        <v>3.5</v>
      </c>
      <c r="Q3" s="1462" t="e">
        <f>('Ertragsv. 2026'!O20-'Ertragsv. 2026'!O4+'Ertragsv. 2026'!O22+'Ertragsv. 2026'!O23)*100/'Ertragsv. 2026'!O4</f>
        <v>#DIV/0!</v>
      </c>
      <c r="R3" s="1463" t="e">
        <f>P3*Q3%+P3</f>
        <v>#DIV/0!</v>
      </c>
      <c r="S3" s="1465">
        <v>3.5</v>
      </c>
      <c r="T3" s="1462" t="e">
        <f>('Ertragsv. 2027'!O20-'Ertragsv. 2027'!O4+'Ertragsv. 2027'!O22+'Ertragsv. 2027'!O23)*100/'Ertragsv. 2027'!O4</f>
        <v>#DIV/0!</v>
      </c>
      <c r="U3" s="1466" t="e">
        <f>S3*T3%+S3</f>
        <v>#DIV/0!</v>
      </c>
      <c r="V3" s="1218"/>
      <c r="W3" s="1218"/>
      <c r="X3" s="1392" t="e">
        <f>S3*T3%+S3</f>
        <v>#DIV/0!</v>
      </c>
      <c r="Y3" s="537"/>
      <c r="Z3" s="398"/>
      <c r="AA3" s="406"/>
      <c r="AB3" s="2067"/>
      <c r="AC3" s="2067"/>
      <c r="AD3" s="2067"/>
      <c r="AE3" s="2067"/>
      <c r="AF3" s="1215"/>
      <c r="AG3" s="1215"/>
      <c r="AH3" s="1215"/>
      <c r="AI3" s="1215"/>
      <c r="AJ3" s="1215"/>
      <c r="AK3" s="1215"/>
      <c r="AL3" s="1215"/>
      <c r="AM3" s="1215"/>
      <c r="AN3" s="1215"/>
    </row>
    <row r="4" spans="1:40" ht="15.75" customHeight="1" thickTop="1" thickBot="1">
      <c r="A4" s="289"/>
      <c r="B4" s="2436"/>
      <c r="C4" s="2437"/>
      <c r="D4" s="2426" t="s">
        <v>595</v>
      </c>
      <c r="E4" s="2429" t="s">
        <v>596</v>
      </c>
      <c r="F4" s="2429" t="s">
        <v>597</v>
      </c>
      <c r="G4" s="2429" t="s">
        <v>598</v>
      </c>
      <c r="H4" s="2426" t="s">
        <v>599</v>
      </c>
      <c r="I4" s="2426" t="s">
        <v>600</v>
      </c>
      <c r="J4" s="2445" t="s">
        <v>601</v>
      </c>
      <c r="K4" s="290"/>
      <c r="L4" s="1391" t="s">
        <v>602</v>
      </c>
      <c r="M4" s="1461">
        <v>3.5</v>
      </c>
      <c r="N4" s="1462">
        <f>'Ertragsv. 2025'!M43</f>
        <v>0</v>
      </c>
      <c r="O4" s="1463">
        <f>M4*N4%+M4</f>
        <v>3.5</v>
      </c>
      <c r="P4" s="1464">
        <v>3.5</v>
      </c>
      <c r="Q4" s="1462">
        <f>'Ertragsv. 2026'!M42</f>
        <v>0</v>
      </c>
      <c r="R4" s="1463">
        <f>P4*Q4%+P4</f>
        <v>3.5</v>
      </c>
      <c r="S4" s="1465">
        <v>3.5</v>
      </c>
      <c r="T4" s="1462">
        <f>'Ertragsv. 2027'!M42</f>
        <v>0</v>
      </c>
      <c r="U4" s="1466">
        <f>S4*T4%+S4</f>
        <v>3.5</v>
      </c>
      <c r="V4" s="1218"/>
      <c r="W4" s="1218"/>
      <c r="X4" s="1393">
        <f>S4*T4%+S4</f>
        <v>3.5</v>
      </c>
      <c r="Y4" s="537"/>
      <c r="Z4" s="408"/>
      <c r="AA4" s="8"/>
      <c r="AB4" s="8"/>
      <c r="AC4" s="8"/>
      <c r="AD4" s="8"/>
      <c r="AE4" s="2067"/>
      <c r="AF4" s="1215"/>
      <c r="AG4" s="1215"/>
      <c r="AH4" s="1215"/>
      <c r="AI4" s="1215"/>
      <c r="AJ4" s="1215"/>
      <c r="AK4" s="1215"/>
      <c r="AL4" s="1215"/>
      <c r="AM4" s="1215"/>
      <c r="AN4" s="1215"/>
    </row>
    <row r="5" spans="1:40" ht="26.25" customHeight="1" thickTop="1">
      <c r="A5" s="289"/>
      <c r="B5" s="2417" t="s">
        <v>603</v>
      </c>
      <c r="C5" s="2431"/>
      <c r="D5" s="2429"/>
      <c r="E5" s="2430"/>
      <c r="F5" s="2429"/>
      <c r="G5" s="2429"/>
      <c r="H5" s="2430"/>
      <c r="I5" s="2427"/>
      <c r="J5" s="2446"/>
      <c r="K5" s="290"/>
      <c r="L5" s="1394"/>
      <c r="M5" s="1394"/>
      <c r="N5" s="1394"/>
      <c r="O5" s="1394"/>
      <c r="P5" s="1394"/>
      <c r="Q5" s="1394"/>
      <c r="R5" s="1394"/>
      <c r="S5" s="1394"/>
      <c r="T5" s="1394"/>
      <c r="U5" s="1447"/>
      <c r="V5" s="1452"/>
      <c r="W5" s="1397"/>
      <c r="X5" s="1395"/>
      <c r="Y5" s="408"/>
      <c r="Z5" s="408"/>
      <c r="AA5" s="8"/>
      <c r="AB5" s="8"/>
      <c r="AC5" s="8"/>
      <c r="AD5" s="8"/>
      <c r="AE5" s="2067"/>
      <c r="AF5" s="1215"/>
      <c r="AG5" s="1215"/>
      <c r="AH5" s="1215"/>
      <c r="AI5" s="1215"/>
      <c r="AJ5" s="1215"/>
      <c r="AK5" s="1215"/>
      <c r="AL5" s="1215"/>
      <c r="AM5" s="1215"/>
      <c r="AN5" s="1215"/>
    </row>
    <row r="6" spans="1:40" ht="6.75" customHeight="1">
      <c r="A6" s="289"/>
      <c r="B6" s="2424"/>
      <c r="C6" s="2425"/>
      <c r="D6" s="823"/>
      <c r="E6" s="824"/>
      <c r="F6" s="824"/>
      <c r="G6" s="824"/>
      <c r="H6" s="822"/>
      <c r="I6" s="828"/>
      <c r="J6" s="836"/>
      <c r="K6" s="292"/>
      <c r="L6" s="1396"/>
      <c r="M6" s="1396"/>
      <c r="N6" s="1396"/>
      <c r="O6" s="1396"/>
      <c r="P6" s="1396"/>
      <c r="Q6" s="1396"/>
      <c r="R6" s="1396"/>
      <c r="S6" s="1396"/>
      <c r="T6" s="1396"/>
      <c r="U6" s="1448"/>
      <c r="V6" s="1453"/>
      <c r="W6" s="1397"/>
      <c r="X6" s="1397"/>
      <c r="Y6" s="408"/>
      <c r="Z6" s="408"/>
      <c r="AA6" s="8"/>
      <c r="AB6" s="8"/>
      <c r="AC6" s="8"/>
      <c r="AD6" s="8"/>
      <c r="AE6" s="8"/>
      <c r="AI6" s="1215"/>
      <c r="AJ6" s="1215"/>
      <c r="AK6" s="1215"/>
      <c r="AL6" s="1215"/>
      <c r="AM6" s="1216"/>
      <c r="AN6" s="1215"/>
    </row>
    <row r="7" spans="1:40" ht="15.75" customHeight="1" thickBot="1">
      <c r="A7" s="289"/>
      <c r="B7" s="2424"/>
      <c r="C7" s="2428"/>
      <c r="D7" s="825" t="s">
        <v>604</v>
      </c>
      <c r="E7" s="826">
        <v>5</v>
      </c>
      <c r="F7" s="826" t="s">
        <v>605</v>
      </c>
      <c r="G7" s="360">
        <v>12.6</v>
      </c>
      <c r="H7" s="827">
        <f>E7*G7</f>
        <v>63</v>
      </c>
      <c r="I7" s="829">
        <v>0.55000000000000004</v>
      </c>
      <c r="J7" s="837">
        <f t="shared" ref="J7:J18" si="0">H7*I7+H7</f>
        <v>97.65</v>
      </c>
      <c r="K7" s="292"/>
      <c r="L7" s="1396"/>
      <c r="M7" s="1396"/>
      <c r="N7" s="1396"/>
      <c r="O7" s="1396"/>
      <c r="P7" s="1396"/>
      <c r="Q7" s="1396"/>
      <c r="R7" s="1396"/>
      <c r="S7" s="1396"/>
      <c r="T7" s="1396"/>
      <c r="U7" s="1448"/>
      <c r="V7" s="1453"/>
      <c r="W7" s="1454"/>
      <c r="X7" s="1398"/>
      <c r="Y7" s="8"/>
      <c r="Z7" s="1214"/>
      <c r="AI7" s="1217"/>
      <c r="AJ7" s="1215"/>
      <c r="AK7" s="1215"/>
      <c r="AL7" s="1218"/>
      <c r="AM7" s="1219"/>
      <c r="AN7" s="1218"/>
    </row>
    <row r="8" spans="1:40" ht="15.75" customHeight="1" thickTop="1" thickBot="1">
      <c r="A8" s="289"/>
      <c r="B8" s="2424"/>
      <c r="C8" s="2428"/>
      <c r="D8" s="825" t="s">
        <v>606</v>
      </c>
      <c r="E8" s="826">
        <v>5</v>
      </c>
      <c r="F8" s="826" t="s">
        <v>605</v>
      </c>
      <c r="G8" s="360">
        <v>0.99</v>
      </c>
      <c r="H8" s="827">
        <f t="shared" ref="H8:H18" si="1">E8*G8</f>
        <v>4.95</v>
      </c>
      <c r="I8" s="829">
        <v>0.55000000000000004</v>
      </c>
      <c r="J8" s="837">
        <f t="shared" si="0"/>
        <v>7.6725000000000003</v>
      </c>
      <c r="K8" s="369"/>
      <c r="L8" s="1467" t="s">
        <v>607</v>
      </c>
      <c r="M8" s="1399" t="s">
        <v>608</v>
      </c>
      <c r="N8" s="1400">
        <f>H20</f>
        <v>107.38499999999999</v>
      </c>
      <c r="O8" s="1396"/>
      <c r="P8" s="1396"/>
      <c r="Q8" s="1396"/>
      <c r="R8" s="1396"/>
      <c r="S8" s="1396"/>
      <c r="T8" s="1396"/>
      <c r="U8" s="1448"/>
      <c r="V8" s="1453"/>
      <c r="W8" s="1454"/>
      <c r="X8" s="1398"/>
      <c r="Y8" s="8"/>
      <c r="Z8" s="1214"/>
      <c r="AI8" s="1217"/>
      <c r="AJ8" s="1215"/>
      <c r="AK8" s="1215"/>
      <c r="AL8" s="1218"/>
      <c r="AM8" s="1219"/>
      <c r="AN8" s="1218"/>
    </row>
    <row r="9" spans="1:40" ht="15.75" customHeight="1" thickTop="1" thickBot="1">
      <c r="A9" s="289"/>
      <c r="B9" s="384"/>
      <c r="C9" s="293"/>
      <c r="D9" s="825" t="s">
        <v>609</v>
      </c>
      <c r="E9" s="826">
        <v>1</v>
      </c>
      <c r="F9" s="826" t="s">
        <v>605</v>
      </c>
      <c r="G9" s="360">
        <v>16.8</v>
      </c>
      <c r="H9" s="827">
        <f t="shared" si="1"/>
        <v>16.8</v>
      </c>
      <c r="I9" s="829">
        <v>0.55000000000000004</v>
      </c>
      <c r="J9" s="837">
        <f t="shared" si="0"/>
        <v>26.040000000000003</v>
      </c>
      <c r="K9" s="369"/>
      <c r="L9" s="1468"/>
      <c r="M9" s="1399" t="s">
        <v>610</v>
      </c>
      <c r="N9" s="1400">
        <f>J44</f>
        <v>169.8436224489796</v>
      </c>
      <c r="O9" s="1396"/>
      <c r="P9" s="1396"/>
      <c r="Q9" s="1396"/>
      <c r="R9" s="1396"/>
      <c r="S9" s="1396"/>
      <c r="T9" s="1396"/>
      <c r="U9" s="1448"/>
      <c r="V9" s="1453"/>
      <c r="W9" s="1454"/>
      <c r="X9" s="1398"/>
      <c r="Y9" s="8"/>
      <c r="Z9" s="1214"/>
      <c r="AI9" s="1217"/>
      <c r="AJ9" s="1215"/>
      <c r="AK9" s="1215"/>
      <c r="AL9" s="1218"/>
      <c r="AM9" s="1219"/>
      <c r="AN9" s="1218"/>
    </row>
    <row r="10" spans="1:40" ht="15.75" customHeight="1" thickTop="1" thickBot="1">
      <c r="A10" s="289"/>
      <c r="B10" s="384"/>
      <c r="C10" s="293"/>
      <c r="D10" s="825" t="s">
        <v>611</v>
      </c>
      <c r="E10" s="826">
        <v>12</v>
      </c>
      <c r="F10" s="826" t="s">
        <v>612</v>
      </c>
      <c r="G10" s="360">
        <v>0.25</v>
      </c>
      <c r="H10" s="827">
        <f t="shared" si="1"/>
        <v>3</v>
      </c>
      <c r="I10" s="829">
        <v>0.55000000000000004</v>
      </c>
      <c r="J10" s="837">
        <f t="shared" si="0"/>
        <v>4.6500000000000004</v>
      </c>
      <c r="K10" s="369"/>
      <c r="L10" s="1468"/>
      <c r="M10" s="1399"/>
      <c r="N10" s="1400"/>
      <c r="O10" s="1396"/>
      <c r="P10" s="1396"/>
      <c r="Q10" s="1396"/>
      <c r="R10" s="1396"/>
      <c r="S10" s="1396"/>
      <c r="T10" s="1396"/>
      <c r="U10" s="1448"/>
      <c r="V10" s="1453"/>
      <c r="W10" s="1454"/>
      <c r="X10" s="1398"/>
      <c r="Y10" s="8"/>
      <c r="Z10" s="1214"/>
      <c r="AI10" s="1217"/>
      <c r="AJ10" s="1215"/>
      <c r="AK10" s="1215"/>
      <c r="AL10" s="1218"/>
      <c r="AM10" s="1219"/>
      <c r="AN10" s="1218"/>
    </row>
    <row r="11" spans="1:40" ht="15.75" customHeight="1" thickTop="1" thickBot="1">
      <c r="A11" s="289"/>
      <c r="B11" s="384"/>
      <c r="C11" s="293"/>
      <c r="D11" s="825" t="s">
        <v>613</v>
      </c>
      <c r="E11" s="826">
        <v>0.5</v>
      </c>
      <c r="F11" s="826" t="s">
        <v>605</v>
      </c>
      <c r="G11" s="360">
        <v>2.25</v>
      </c>
      <c r="H11" s="827">
        <f t="shared" si="1"/>
        <v>1.125</v>
      </c>
      <c r="I11" s="829">
        <v>0.55000000000000004</v>
      </c>
      <c r="J11" s="837">
        <f t="shared" si="0"/>
        <v>1.7437499999999999</v>
      </c>
      <c r="K11" s="369"/>
      <c r="L11" s="1469"/>
      <c r="M11" s="1399" t="s">
        <v>614</v>
      </c>
      <c r="N11" s="1401">
        <f>(N9-N8)/N8*100</f>
        <v>58.163265306122469</v>
      </c>
      <c r="O11" s="1396"/>
      <c r="P11" s="1396"/>
      <c r="Q11" s="1396"/>
      <c r="R11" s="1396"/>
      <c r="S11" s="1396"/>
      <c r="T11" s="1396"/>
      <c r="U11" s="1448"/>
      <c r="V11" s="1453"/>
      <c r="W11" s="1454"/>
      <c r="X11" s="1398"/>
      <c r="Y11" s="8"/>
      <c r="Z11" s="1214"/>
      <c r="AI11" s="1217"/>
      <c r="AJ11" s="1215"/>
      <c r="AK11" s="1215"/>
      <c r="AL11" s="1218"/>
      <c r="AM11" s="1219"/>
      <c r="AN11" s="1218"/>
    </row>
    <row r="12" spans="1:40" ht="15.75" customHeight="1" thickTop="1">
      <c r="A12" s="289"/>
      <c r="B12" s="384"/>
      <c r="C12" s="293"/>
      <c r="D12" s="825" t="s">
        <v>615</v>
      </c>
      <c r="E12" s="826">
        <v>1</v>
      </c>
      <c r="F12" s="826" t="s">
        <v>616</v>
      </c>
      <c r="G12" s="360">
        <v>1.25</v>
      </c>
      <c r="H12" s="827">
        <f t="shared" si="1"/>
        <v>1.25</v>
      </c>
      <c r="I12" s="829">
        <v>0.55000000000000004</v>
      </c>
      <c r="J12" s="837">
        <f t="shared" si="0"/>
        <v>1.9375</v>
      </c>
      <c r="K12" s="292"/>
      <c r="L12" s="1396"/>
      <c r="M12" s="1396"/>
      <c r="N12" s="1396"/>
      <c r="O12" s="1396"/>
      <c r="P12" s="1396"/>
      <c r="Q12" s="1396"/>
      <c r="R12" s="1396"/>
      <c r="S12" s="1396"/>
      <c r="T12" s="1396"/>
      <c r="U12" s="1448"/>
      <c r="V12" s="1453"/>
      <c r="W12" s="1454"/>
      <c r="X12" s="1398"/>
      <c r="Y12" s="8"/>
      <c r="Z12" s="1214"/>
      <c r="AI12" s="1217"/>
      <c r="AJ12" s="1215"/>
      <c r="AK12" s="1215"/>
      <c r="AL12" s="1218"/>
      <c r="AM12" s="1219"/>
      <c r="AN12" s="1218"/>
    </row>
    <row r="13" spans="1:40" ht="15.75" customHeight="1">
      <c r="A13" s="289"/>
      <c r="B13" s="384"/>
      <c r="C13" s="293"/>
      <c r="D13" s="825" t="s">
        <v>617</v>
      </c>
      <c r="E13" s="826">
        <v>3</v>
      </c>
      <c r="F13" s="826" t="s">
        <v>618</v>
      </c>
      <c r="G13" s="360">
        <v>0.45</v>
      </c>
      <c r="H13" s="827">
        <f t="shared" si="1"/>
        <v>1.35</v>
      </c>
      <c r="I13" s="829">
        <v>0.55000000000000004</v>
      </c>
      <c r="J13" s="837">
        <f t="shared" si="0"/>
        <v>2.0925000000000002</v>
      </c>
      <c r="K13" s="292"/>
      <c r="L13" s="1396"/>
      <c r="M13" s="1396"/>
      <c r="N13" s="1396"/>
      <c r="O13" s="1396"/>
      <c r="P13" s="1396"/>
      <c r="Q13" s="1396"/>
      <c r="R13" s="1396"/>
      <c r="S13" s="1396"/>
      <c r="T13" s="1396"/>
      <c r="U13" s="1448"/>
      <c r="V13" s="1453"/>
      <c r="W13" s="1454"/>
      <c r="X13" s="1398"/>
      <c r="Y13" s="8"/>
      <c r="Z13" s="1214"/>
      <c r="AI13" s="1217"/>
      <c r="AJ13" s="1215"/>
      <c r="AK13" s="1215"/>
      <c r="AL13" s="1218"/>
      <c r="AM13" s="1219"/>
      <c r="AN13" s="1218"/>
    </row>
    <row r="14" spans="1:40" ht="15.75" customHeight="1">
      <c r="A14" s="289"/>
      <c r="B14" s="384"/>
      <c r="C14" s="293"/>
      <c r="D14" s="825" t="s">
        <v>619</v>
      </c>
      <c r="E14" s="826">
        <v>0.5</v>
      </c>
      <c r="F14" s="826" t="s">
        <v>605</v>
      </c>
      <c r="G14" s="360">
        <v>1.5</v>
      </c>
      <c r="H14" s="827">
        <f t="shared" si="1"/>
        <v>0.75</v>
      </c>
      <c r="I14" s="829">
        <v>0.55000000000000004</v>
      </c>
      <c r="J14" s="837">
        <f t="shared" si="0"/>
        <v>1.1625000000000001</v>
      </c>
      <c r="K14" s="292"/>
      <c r="L14" s="1396"/>
      <c r="M14" s="1396"/>
      <c r="N14" s="1396"/>
      <c r="O14" s="1396"/>
      <c r="P14" s="1396"/>
      <c r="Q14" s="1396"/>
      <c r="R14" s="1396"/>
      <c r="S14" s="1396"/>
      <c r="T14" s="1396"/>
      <c r="U14" s="1448"/>
      <c r="V14" s="1453"/>
      <c r="W14" s="1454"/>
      <c r="X14" s="1398"/>
      <c r="Y14" s="8"/>
      <c r="Z14" s="1214"/>
      <c r="AI14" s="1217"/>
      <c r="AJ14" s="1215"/>
      <c r="AK14" s="1215"/>
      <c r="AL14" s="1218"/>
      <c r="AM14" s="1219"/>
      <c r="AN14" s="1218"/>
    </row>
    <row r="15" spans="1:40" ht="15.75" customHeight="1">
      <c r="A15" s="289"/>
      <c r="B15" s="384"/>
      <c r="C15" s="293"/>
      <c r="D15" s="825" t="s">
        <v>620</v>
      </c>
      <c r="E15" s="826">
        <v>2</v>
      </c>
      <c r="F15" s="826" t="s">
        <v>612</v>
      </c>
      <c r="G15" s="360">
        <v>1.29</v>
      </c>
      <c r="H15" s="827">
        <f t="shared" si="1"/>
        <v>2.58</v>
      </c>
      <c r="I15" s="829">
        <v>0.55000000000000004</v>
      </c>
      <c r="J15" s="837">
        <f t="shared" si="0"/>
        <v>3.9990000000000006</v>
      </c>
      <c r="K15" s="292"/>
      <c r="L15" s="1396"/>
      <c r="M15" s="1396"/>
      <c r="N15" s="1396"/>
      <c r="O15" s="1396"/>
      <c r="P15" s="1396"/>
      <c r="Q15" s="1396"/>
      <c r="R15" s="1396"/>
      <c r="S15" s="1396"/>
      <c r="T15" s="1396"/>
      <c r="U15" s="1448"/>
      <c r="V15" s="1453"/>
      <c r="W15" s="1454"/>
      <c r="X15" s="1398"/>
      <c r="Y15" s="8"/>
      <c r="Z15" s="1214"/>
      <c r="AI15" s="1217"/>
      <c r="AJ15" s="1215"/>
      <c r="AK15" s="1215"/>
      <c r="AL15" s="1218"/>
      <c r="AM15" s="1219"/>
      <c r="AN15" s="1218"/>
    </row>
    <row r="16" spans="1:40" ht="15.75" customHeight="1">
      <c r="A16" s="289"/>
      <c r="B16" s="384"/>
      <c r="C16" s="293"/>
      <c r="D16" s="825" t="s">
        <v>621</v>
      </c>
      <c r="E16" s="826">
        <v>2</v>
      </c>
      <c r="F16" s="826" t="s">
        <v>605</v>
      </c>
      <c r="G16" s="360">
        <v>4.99</v>
      </c>
      <c r="H16" s="827">
        <f t="shared" si="1"/>
        <v>9.98</v>
      </c>
      <c r="I16" s="829">
        <v>0.55000000000000004</v>
      </c>
      <c r="J16" s="837">
        <f t="shared" si="0"/>
        <v>15.469000000000001</v>
      </c>
      <c r="K16" s="292"/>
      <c r="L16" s="1396"/>
      <c r="M16" s="1396"/>
      <c r="N16" s="1396"/>
      <c r="O16" s="1396"/>
      <c r="P16" s="1396"/>
      <c r="Q16" s="1396"/>
      <c r="R16" s="1396"/>
      <c r="S16" s="1396"/>
      <c r="T16" s="1396"/>
      <c r="U16" s="1448"/>
      <c r="V16" s="1453"/>
      <c r="W16" s="1454"/>
      <c r="X16" s="1398"/>
      <c r="Y16" s="8"/>
      <c r="Z16" s="1214"/>
      <c r="AI16" s="1217"/>
      <c r="AJ16" s="1215"/>
      <c r="AK16" s="1215"/>
      <c r="AL16" s="1218"/>
      <c r="AM16" s="1219"/>
      <c r="AN16" s="1218"/>
    </row>
    <row r="17" spans="1:40" ht="15.75" customHeight="1">
      <c r="A17" s="289"/>
      <c r="B17" s="384"/>
      <c r="C17" s="293"/>
      <c r="D17" s="825" t="s">
        <v>622</v>
      </c>
      <c r="E17" s="826">
        <v>1</v>
      </c>
      <c r="F17" s="826" t="s">
        <v>616</v>
      </c>
      <c r="G17" s="360">
        <v>2.6</v>
      </c>
      <c r="H17" s="827">
        <f t="shared" si="1"/>
        <v>2.6</v>
      </c>
      <c r="I17" s="829">
        <v>0.55000000000000004</v>
      </c>
      <c r="J17" s="837">
        <f t="shared" si="0"/>
        <v>4.03</v>
      </c>
      <c r="K17" s="292"/>
      <c r="L17" s="1396"/>
      <c r="M17" s="1396"/>
      <c r="N17" s="1396"/>
      <c r="O17" s="1396"/>
      <c r="P17" s="1396"/>
      <c r="Q17" s="1396"/>
      <c r="R17" s="1396"/>
      <c r="S17" s="1396"/>
      <c r="T17" s="1396"/>
      <c r="U17" s="1448"/>
      <c r="V17" s="1453"/>
      <c r="W17" s="1454"/>
      <c r="X17" s="1398"/>
      <c r="Y17" s="8"/>
      <c r="Z17" s="1214"/>
      <c r="AI17" s="1217"/>
      <c r="AJ17" s="1215"/>
      <c r="AK17" s="1215"/>
      <c r="AL17" s="1218"/>
      <c r="AM17" s="1219"/>
      <c r="AN17" s="1218"/>
    </row>
    <row r="18" spans="1:40" ht="15.75" customHeight="1">
      <c r="A18" s="289"/>
      <c r="B18" s="384"/>
      <c r="C18" s="293"/>
      <c r="D18" s="825" t="s">
        <v>623</v>
      </c>
      <c r="E18" s="826"/>
      <c r="F18" s="826"/>
      <c r="G18" s="360"/>
      <c r="H18" s="827">
        <f t="shared" si="1"/>
        <v>0</v>
      </c>
      <c r="I18" s="829">
        <v>0.55000000000000004</v>
      </c>
      <c r="J18" s="837">
        <f t="shared" si="0"/>
        <v>0</v>
      </c>
      <c r="K18" s="292"/>
      <c r="L18" s="1396"/>
      <c r="M18" s="1396"/>
      <c r="N18" s="1396"/>
      <c r="O18" s="1396"/>
      <c r="P18" s="1396"/>
      <c r="Q18" s="1396"/>
      <c r="R18" s="1396"/>
      <c r="S18" s="1396"/>
      <c r="T18" s="1396"/>
      <c r="U18" s="1448"/>
      <c r="V18" s="1453"/>
      <c r="W18" s="1454"/>
      <c r="X18" s="1398"/>
      <c r="Y18" s="8"/>
      <c r="Z18" s="1214"/>
      <c r="AI18" s="1217"/>
      <c r="AJ18" s="1215"/>
      <c r="AK18" s="1215"/>
      <c r="AL18" s="1218"/>
      <c r="AM18" s="1219"/>
      <c r="AN18" s="1218"/>
    </row>
    <row r="19" spans="1:40" ht="18" customHeight="1" thickBot="1">
      <c r="A19" s="289"/>
      <c r="B19" s="384"/>
      <c r="C19" s="293"/>
      <c r="D19" s="291"/>
      <c r="E19" s="143"/>
      <c r="F19" s="143"/>
      <c r="G19" s="143"/>
      <c r="H19" s="386"/>
      <c r="I19" s="311"/>
      <c r="J19" s="387"/>
      <c r="K19" s="292"/>
      <c r="L19" s="327"/>
      <c r="M19" s="327"/>
      <c r="N19" s="327"/>
      <c r="O19" s="327"/>
      <c r="P19" s="327"/>
      <c r="Q19" s="327"/>
      <c r="R19" s="327"/>
      <c r="S19" s="327"/>
      <c r="T19" s="327"/>
      <c r="U19" s="1449"/>
      <c r="V19" s="1222"/>
      <c r="W19" s="424"/>
      <c r="X19" s="8"/>
      <c r="Y19" s="8"/>
      <c r="Z19" s="1214"/>
      <c r="AI19" s="1217"/>
      <c r="AJ19" s="1215"/>
      <c r="AK19" s="1215"/>
      <c r="AL19" s="1218"/>
      <c r="AM19" s="1219"/>
      <c r="AN19" s="1218"/>
    </row>
    <row r="20" spans="1:40" ht="15.75" customHeight="1" thickBot="1">
      <c r="A20" s="289"/>
      <c r="B20" s="294" t="s">
        <v>624</v>
      </c>
      <c r="C20" s="295"/>
      <c r="D20" s="296"/>
      <c r="E20" s="297"/>
      <c r="F20" s="297"/>
      <c r="G20" s="297"/>
      <c r="H20" s="298">
        <f>SUM(H7:H18)</f>
        <v>107.38499999999999</v>
      </c>
      <c r="I20" s="299">
        <f>(J20-H20)/H20</f>
        <v>0.55000000000000027</v>
      </c>
      <c r="J20" s="300">
        <f>SUM(J7:J18)</f>
        <v>166.44675000000001</v>
      </c>
      <c r="K20" s="301"/>
      <c r="L20" s="859"/>
      <c r="M20" s="859"/>
      <c r="N20" s="859"/>
      <c r="O20" s="859"/>
      <c r="P20" s="859"/>
      <c r="Q20" s="859"/>
      <c r="R20" s="859"/>
      <c r="S20" s="859"/>
      <c r="T20" s="859"/>
      <c r="U20" s="1450"/>
      <c r="V20" s="1455"/>
      <c r="W20" s="424"/>
      <c r="X20" s="8"/>
      <c r="Y20" s="8"/>
      <c r="Z20" s="1214"/>
      <c r="AI20" s="1217"/>
      <c r="AJ20" s="1215"/>
      <c r="AK20" s="1215"/>
      <c r="AL20" s="1218"/>
      <c r="AM20" s="1217"/>
      <c r="AN20" s="1218"/>
    </row>
    <row r="21" spans="1:40" ht="8.25" customHeight="1">
      <c r="A21" s="289"/>
      <c r="B21" s="727"/>
      <c r="C21" s="216"/>
      <c r="D21" s="269"/>
      <c r="E21" s="268"/>
      <c r="F21" s="268"/>
      <c r="G21" s="268"/>
      <c r="H21" s="302"/>
      <c r="I21" s="303"/>
      <c r="J21" s="728"/>
      <c r="K21" s="301"/>
      <c r="L21" s="859"/>
      <c r="M21" s="859"/>
      <c r="N21" s="859"/>
      <c r="O21" s="859"/>
      <c r="P21" s="859"/>
      <c r="Q21" s="859"/>
      <c r="R21" s="859"/>
      <c r="S21" s="859"/>
      <c r="T21" s="859"/>
      <c r="U21" s="1450"/>
      <c r="V21" s="1455"/>
      <c r="W21" s="424"/>
      <c r="X21" s="8"/>
      <c r="Y21" s="8"/>
      <c r="Z21" s="1214"/>
      <c r="AI21" s="1217"/>
      <c r="AJ21" s="1215"/>
      <c r="AK21" s="1215"/>
      <c r="AL21" s="1218"/>
      <c r="AM21" s="1217"/>
      <c r="AN21" s="1218"/>
    </row>
    <row r="22" spans="1:40" ht="38.25" customHeight="1">
      <c r="A22" s="289"/>
      <c r="B22" s="2417" t="s">
        <v>625</v>
      </c>
      <c r="C22" s="2418"/>
      <c r="D22" s="839" t="s">
        <v>626</v>
      </c>
      <c r="E22" s="840" t="s">
        <v>627</v>
      </c>
      <c r="F22" s="841"/>
      <c r="G22" s="842" t="s">
        <v>628</v>
      </c>
      <c r="H22" s="320"/>
      <c r="I22" s="303"/>
      <c r="J22" s="816"/>
      <c r="K22" s="301"/>
      <c r="L22" s="859"/>
      <c r="M22" s="859"/>
      <c r="N22" s="859"/>
      <c r="O22" s="859"/>
      <c r="P22" s="859"/>
      <c r="Q22" s="859"/>
      <c r="R22" s="859"/>
      <c r="S22" s="859"/>
      <c r="T22" s="859"/>
      <c r="U22" s="1450"/>
      <c r="V22" s="1455"/>
      <c r="W22" s="424"/>
      <c r="X22" s="8"/>
      <c r="Y22" s="8"/>
      <c r="Z22" s="1214"/>
      <c r="AI22" s="1217"/>
      <c r="AJ22" s="1215"/>
      <c r="AK22" s="1215"/>
      <c r="AL22" s="1218"/>
      <c r="AM22" s="1217"/>
      <c r="AN22" s="1218"/>
    </row>
    <row r="23" spans="1:40" ht="15.75" customHeight="1">
      <c r="A23" s="289"/>
      <c r="B23" s="2424"/>
      <c r="C23" s="2425"/>
      <c r="D23" s="830" t="s">
        <v>629</v>
      </c>
      <c r="E23" s="831">
        <v>0.5</v>
      </c>
      <c r="F23" s="144"/>
      <c r="G23" s="304"/>
      <c r="H23" s="304"/>
      <c r="I23" s="304"/>
      <c r="J23" s="404"/>
      <c r="K23" s="292"/>
      <c r="L23" s="327"/>
      <c r="M23" s="327"/>
      <c r="N23" s="327"/>
      <c r="O23" s="327"/>
      <c r="P23" s="327"/>
      <c r="Q23" s="327"/>
      <c r="R23" s="327"/>
      <c r="S23" s="327"/>
      <c r="T23" s="327"/>
      <c r="U23" s="1449"/>
      <c r="V23" s="1222"/>
      <c r="W23" s="424"/>
      <c r="X23" s="8"/>
      <c r="Y23" s="8"/>
      <c r="Z23" s="1214"/>
      <c r="AI23" s="1215"/>
      <c r="AJ23" s="1215"/>
      <c r="AK23" s="1215"/>
      <c r="AL23" s="1215"/>
      <c r="AM23" s="1215"/>
      <c r="AN23" s="1215"/>
    </row>
    <row r="24" spans="1:40" ht="15.75" customHeight="1">
      <c r="A24" s="289"/>
      <c r="B24" s="2424"/>
      <c r="C24" s="2425"/>
      <c r="D24" s="731" t="s">
        <v>630</v>
      </c>
      <c r="E24" s="732">
        <v>1</v>
      </c>
      <c r="F24" s="144"/>
      <c r="G24" s="304"/>
      <c r="H24" s="304"/>
      <c r="I24" s="304"/>
      <c r="J24" s="404"/>
      <c r="K24" s="292"/>
      <c r="L24" s="327"/>
      <c r="M24" s="327"/>
      <c r="N24" s="327"/>
      <c r="O24" s="327"/>
      <c r="P24" s="327"/>
      <c r="Q24" s="327"/>
      <c r="R24" s="327"/>
      <c r="S24" s="327"/>
      <c r="T24" s="327"/>
      <c r="U24" s="1449"/>
      <c r="V24" s="1222"/>
      <c r="W24" s="424"/>
      <c r="X24" s="8"/>
      <c r="Y24" s="8"/>
      <c r="Z24" s="1214"/>
      <c r="AI24" s="1215"/>
      <c r="AJ24" s="1215"/>
      <c r="AK24" s="1215"/>
      <c r="AL24" s="1215"/>
      <c r="AM24" s="1215"/>
      <c r="AN24" s="1215"/>
    </row>
    <row r="25" spans="1:40" ht="15.75" customHeight="1">
      <c r="A25" s="289"/>
      <c r="B25" s="2424"/>
      <c r="C25" s="2425"/>
      <c r="D25" s="731" t="s">
        <v>631</v>
      </c>
      <c r="E25" s="732">
        <v>1</v>
      </c>
      <c r="F25" s="144"/>
      <c r="G25" s="304"/>
      <c r="H25" s="304"/>
      <c r="I25" s="304"/>
      <c r="J25" s="404"/>
      <c r="K25" s="292"/>
      <c r="L25" s="327"/>
      <c r="M25" s="327"/>
      <c r="N25" s="327"/>
      <c r="O25" s="327"/>
      <c r="P25" s="327"/>
      <c r="Q25" s="327"/>
      <c r="R25" s="327"/>
      <c r="S25" s="327"/>
      <c r="T25" s="327"/>
      <c r="U25" s="1449"/>
      <c r="V25" s="1222"/>
      <c r="W25" s="424"/>
      <c r="X25" s="8"/>
      <c r="Y25" s="8"/>
      <c r="Z25" s="1214"/>
      <c r="AI25" s="1215"/>
      <c r="AJ25" s="1215"/>
      <c r="AK25" s="1215"/>
      <c r="AL25" s="1215"/>
      <c r="AM25" s="1215"/>
      <c r="AN25" s="1215"/>
    </row>
    <row r="26" spans="1:40" ht="15.75" customHeight="1">
      <c r="A26" s="289"/>
      <c r="B26" s="2059"/>
      <c r="C26" s="2060"/>
      <c r="D26" s="731" t="s">
        <v>213</v>
      </c>
      <c r="E26" s="732">
        <v>0</v>
      </c>
      <c r="F26" s="144"/>
      <c r="G26" s="304"/>
      <c r="H26" s="304"/>
      <c r="I26" s="304"/>
      <c r="J26" s="404"/>
      <c r="K26" s="292"/>
      <c r="L26" s="327"/>
      <c r="M26" s="327"/>
      <c r="N26" s="327"/>
      <c r="O26" s="327"/>
      <c r="P26" s="327"/>
      <c r="Q26" s="327"/>
      <c r="R26" s="327"/>
      <c r="S26" s="327"/>
      <c r="T26" s="327"/>
      <c r="U26" s="1449"/>
      <c r="V26" s="1222"/>
      <c r="W26" s="424"/>
      <c r="X26" s="8"/>
      <c r="Y26" s="8"/>
      <c r="Z26" s="1214"/>
      <c r="AI26" s="1215"/>
      <c r="AJ26" s="1215"/>
      <c r="AK26" s="1215"/>
      <c r="AL26" s="1215"/>
      <c r="AM26" s="1215"/>
      <c r="AN26" s="1215"/>
    </row>
    <row r="27" spans="1:40" ht="15.75" customHeight="1">
      <c r="A27" s="289"/>
      <c r="B27" s="2059"/>
      <c r="C27" s="2060"/>
      <c r="D27" s="731"/>
      <c r="E27" s="732">
        <v>0</v>
      </c>
      <c r="F27" s="144"/>
      <c r="G27" s="304"/>
      <c r="H27" s="304"/>
      <c r="I27" s="304"/>
      <c r="J27" s="404"/>
      <c r="K27" s="292"/>
      <c r="L27" s="327"/>
      <c r="M27" s="327"/>
      <c r="N27" s="327"/>
      <c r="O27" s="327"/>
      <c r="P27" s="327"/>
      <c r="Q27" s="327"/>
      <c r="R27" s="327"/>
      <c r="S27" s="327"/>
      <c r="T27" s="327"/>
      <c r="U27" s="1449"/>
      <c r="V27" s="1222"/>
      <c r="W27" s="424"/>
      <c r="X27" s="8"/>
      <c r="Y27" s="8"/>
      <c r="Z27" s="1214"/>
      <c r="AI27" s="1215"/>
      <c r="AJ27" s="1215"/>
      <c r="AK27" s="1215"/>
      <c r="AL27" s="1215"/>
      <c r="AM27" s="1215"/>
      <c r="AN27" s="1215"/>
    </row>
    <row r="28" spans="1:40" ht="15.75" customHeight="1">
      <c r="A28" s="289"/>
      <c r="B28" s="2059"/>
      <c r="C28" s="2060"/>
      <c r="D28" s="731" t="s">
        <v>632</v>
      </c>
      <c r="E28" s="732">
        <v>0</v>
      </c>
      <c r="F28" s="144"/>
      <c r="G28" s="304"/>
      <c r="H28" s="304"/>
      <c r="I28" s="304"/>
      <c r="J28" s="404"/>
      <c r="K28" s="292"/>
      <c r="L28" s="327"/>
      <c r="M28" s="327"/>
      <c r="N28" s="327"/>
      <c r="O28" s="327"/>
      <c r="P28" s="327"/>
      <c r="Q28" s="327"/>
      <c r="R28" s="327"/>
      <c r="S28" s="327"/>
      <c r="T28" s="327"/>
      <c r="U28" s="1449"/>
      <c r="V28" s="1222"/>
      <c r="W28" s="424"/>
      <c r="X28" s="8"/>
      <c r="Y28" s="8"/>
      <c r="Z28" s="1214"/>
      <c r="AI28" s="1215"/>
      <c r="AJ28" s="1215"/>
      <c r="AK28" s="1215"/>
      <c r="AL28" s="1215"/>
      <c r="AM28" s="1215"/>
      <c r="AN28" s="1215"/>
    </row>
    <row r="29" spans="1:40" ht="15.75" customHeight="1">
      <c r="A29" s="289"/>
      <c r="B29" s="2059"/>
      <c r="C29" s="2060"/>
      <c r="D29" s="731" t="s">
        <v>632</v>
      </c>
      <c r="E29" s="732">
        <v>0</v>
      </c>
      <c r="F29" s="144"/>
      <c r="G29" s="304"/>
      <c r="H29" s="304"/>
      <c r="I29" s="304"/>
      <c r="J29" s="404"/>
      <c r="K29" s="292"/>
      <c r="L29" s="327"/>
      <c r="M29" s="327"/>
      <c r="N29" s="327"/>
      <c r="O29" s="327"/>
      <c r="P29" s="327"/>
      <c r="Q29" s="327"/>
      <c r="R29" s="327"/>
      <c r="S29" s="327"/>
      <c r="T29" s="327"/>
      <c r="U29" s="1449"/>
      <c r="V29" s="1222"/>
      <c r="W29" s="424"/>
      <c r="X29" s="8"/>
      <c r="Y29" s="8"/>
      <c r="Z29" s="1214"/>
      <c r="AI29" s="1215"/>
      <c r="AJ29" s="1215"/>
      <c r="AK29" s="1215"/>
      <c r="AL29" s="1215"/>
      <c r="AM29" s="1215"/>
      <c r="AN29" s="1215"/>
    </row>
    <row r="30" spans="1:40" ht="15.75" customHeight="1">
      <c r="A30" s="289"/>
      <c r="B30" s="2059"/>
      <c r="C30" s="2060"/>
      <c r="D30" s="733" t="s">
        <v>632</v>
      </c>
      <c r="E30" s="734">
        <v>0</v>
      </c>
      <c r="F30" s="144"/>
      <c r="G30" s="304"/>
      <c r="H30" s="304"/>
      <c r="I30" s="304"/>
      <c r="J30" s="404"/>
      <c r="K30" s="292"/>
      <c r="L30" s="327"/>
      <c r="M30" s="327"/>
      <c r="N30" s="327"/>
      <c r="O30" s="327"/>
      <c r="P30" s="327"/>
      <c r="Q30" s="327"/>
      <c r="R30" s="327"/>
      <c r="S30" s="327"/>
      <c r="T30" s="327"/>
      <c r="U30" s="1449"/>
      <c r="V30" s="1222"/>
      <c r="W30" s="424"/>
      <c r="X30" s="366"/>
      <c r="Y30" s="8"/>
      <c r="Z30" s="1214"/>
      <c r="AI30" s="1215"/>
      <c r="AJ30" s="1215"/>
      <c r="AK30" s="1215"/>
      <c r="AL30" s="1215"/>
      <c r="AM30" s="1215"/>
      <c r="AN30" s="1215"/>
    </row>
    <row r="31" spans="1:40" ht="6.75" customHeight="1">
      <c r="A31" s="289"/>
      <c r="B31" s="2059"/>
      <c r="C31" s="2060"/>
      <c r="D31" s="305"/>
      <c r="E31" s="143"/>
      <c r="F31" s="143"/>
      <c r="G31" s="306"/>
      <c r="H31" s="304"/>
      <c r="I31" s="304"/>
      <c r="J31" s="404"/>
      <c r="K31" s="292"/>
      <c r="L31" s="327"/>
      <c r="M31" s="327"/>
      <c r="N31" s="327"/>
      <c r="O31" s="327"/>
      <c r="P31" s="327"/>
      <c r="Q31" s="327"/>
      <c r="R31" s="327"/>
      <c r="S31" s="327"/>
      <c r="T31" s="327"/>
      <c r="U31" s="1449"/>
      <c r="V31" s="1222"/>
      <c r="W31" s="424"/>
      <c r="X31" s="366"/>
      <c r="Y31" s="8"/>
      <c r="Z31" s="1214"/>
      <c r="AI31" s="1215"/>
      <c r="AJ31" s="1215"/>
      <c r="AK31" s="1215"/>
      <c r="AL31" s="1215"/>
      <c r="AM31" s="1215"/>
      <c r="AN31" s="1215"/>
    </row>
    <row r="32" spans="1:40" ht="15.75" customHeight="1">
      <c r="A32" s="289"/>
      <c r="B32" s="2059"/>
      <c r="C32" s="2060"/>
      <c r="D32" s="307" t="s">
        <v>633</v>
      </c>
      <c r="E32" s="145">
        <f>SUM(E23:E31)</f>
        <v>2.5</v>
      </c>
      <c r="F32" s="143"/>
      <c r="G32" s="308">
        <f>'Ertragsv. 2025'!M41</f>
        <v>0</v>
      </c>
      <c r="H32" s="304"/>
      <c r="I32" s="304"/>
      <c r="J32" s="404"/>
      <c r="K32" s="292"/>
      <c r="L32" s="327"/>
      <c r="M32" s="327"/>
      <c r="N32" s="327"/>
      <c r="O32" s="327"/>
      <c r="P32" s="327"/>
      <c r="Q32" s="327"/>
      <c r="R32" s="327"/>
      <c r="S32" s="327"/>
      <c r="T32" s="327"/>
      <c r="U32" s="1449"/>
      <c r="V32" s="1222"/>
      <c r="W32" s="424"/>
      <c r="X32" s="366"/>
      <c r="Y32" s="8"/>
      <c r="Z32" s="1214"/>
      <c r="AI32" s="1215"/>
      <c r="AJ32" s="1215"/>
      <c r="AK32" s="1215"/>
      <c r="AL32" s="1215"/>
      <c r="AM32" s="1215"/>
      <c r="AN32" s="1215"/>
    </row>
    <row r="33" spans="1:40" ht="24.75" customHeight="1">
      <c r="A33" s="289"/>
      <c r="B33" s="2059"/>
      <c r="C33" s="2060"/>
      <c r="D33" s="309"/>
      <c r="E33" s="144"/>
      <c r="F33" s="143"/>
      <c r="G33" s="310"/>
      <c r="H33" s="304"/>
      <c r="I33" s="304"/>
      <c r="J33" s="404"/>
      <c r="K33" s="292"/>
      <c r="L33" s="327"/>
      <c r="M33" s="327"/>
      <c r="N33" s="327"/>
      <c r="O33" s="327"/>
      <c r="P33" s="327"/>
      <c r="Q33" s="327"/>
      <c r="R33" s="327"/>
      <c r="S33" s="327"/>
      <c r="T33" s="327"/>
      <c r="U33" s="1449"/>
      <c r="V33" s="1222"/>
      <c r="W33" s="424"/>
      <c r="X33" s="366"/>
      <c r="Y33" s="8"/>
      <c r="Z33" s="1214"/>
      <c r="AI33" s="1215"/>
      <c r="AJ33" s="1215"/>
      <c r="AK33" s="1215"/>
      <c r="AL33" s="1215"/>
      <c r="AM33" s="1215"/>
      <c r="AN33" s="1215"/>
    </row>
    <row r="34" spans="1:40" ht="9.6" customHeight="1" thickBot="1">
      <c r="A34" s="289"/>
      <c r="B34" s="2059"/>
      <c r="C34" s="2060"/>
      <c r="D34" s="291"/>
      <c r="E34" s="143"/>
      <c r="F34" s="143"/>
      <c r="G34" s="144"/>
      <c r="H34" s="144"/>
      <c r="I34" s="311"/>
      <c r="J34" s="409"/>
      <c r="K34" s="292"/>
      <c r="L34" s="327"/>
      <c r="M34" s="327"/>
      <c r="N34" s="327"/>
      <c r="O34" s="327"/>
      <c r="P34" s="327"/>
      <c r="Q34" s="327"/>
      <c r="R34" s="327"/>
      <c r="S34" s="327"/>
      <c r="T34" s="327"/>
      <c r="U34" s="1449"/>
      <c r="V34" s="1222"/>
      <c r="W34" s="424"/>
      <c r="X34" s="366"/>
      <c r="Y34" s="8"/>
      <c r="Z34" s="1214"/>
      <c r="AI34" s="1215"/>
      <c r="AJ34" s="1215"/>
      <c r="AK34" s="1215"/>
      <c r="AL34" s="1215"/>
      <c r="AM34" s="1215"/>
      <c r="AN34" s="1215"/>
    </row>
    <row r="35" spans="1:40" ht="15.75" customHeight="1" thickBot="1">
      <c r="A35" s="289"/>
      <c r="B35" s="735" t="s">
        <v>634</v>
      </c>
      <c r="C35" s="312"/>
      <c r="D35" s="313"/>
      <c r="E35" s="314"/>
      <c r="F35" s="314"/>
      <c r="G35" s="315"/>
      <c r="H35" s="315"/>
      <c r="I35" s="316"/>
      <c r="J35" s="736">
        <f>E32*G32</f>
        <v>0</v>
      </c>
      <c r="K35" s="292"/>
      <c r="L35" s="327"/>
      <c r="M35" s="327"/>
      <c r="N35" s="327"/>
      <c r="O35" s="327"/>
      <c r="P35" s="327"/>
      <c r="Q35" s="327"/>
      <c r="R35" s="327"/>
      <c r="S35" s="327"/>
      <c r="T35" s="327"/>
      <c r="U35" s="1449"/>
      <c r="V35" s="1222"/>
      <c r="W35" s="424"/>
      <c r="X35" s="366"/>
      <c r="Y35" s="366"/>
      <c r="Z35" s="1214"/>
    </row>
    <row r="36" spans="1:40" ht="16.149999999999999" customHeight="1" thickTop="1">
      <c r="A36" s="289"/>
      <c r="B36" s="370"/>
      <c r="C36" s="216"/>
      <c r="D36" s="269"/>
      <c r="E36" s="266"/>
      <c r="F36" s="266"/>
      <c r="G36" s="266"/>
      <c r="H36" s="317"/>
      <c r="I36" s="318"/>
      <c r="J36" s="737"/>
      <c r="K36" s="292"/>
      <c r="L36" s="327"/>
      <c r="M36" s="327"/>
      <c r="N36" s="327"/>
      <c r="O36" s="327"/>
      <c r="P36" s="327"/>
      <c r="Q36" s="327"/>
      <c r="R36" s="327"/>
      <c r="S36" s="327"/>
      <c r="T36" s="327"/>
      <c r="U36" s="1449"/>
      <c r="V36" s="1222"/>
      <c r="W36" s="424"/>
      <c r="X36" s="366"/>
      <c r="Y36" s="366"/>
      <c r="Z36" s="1214"/>
    </row>
    <row r="37" spans="1:40" ht="42.75" customHeight="1">
      <c r="A37" s="289"/>
      <c r="B37" s="2438" t="s">
        <v>635</v>
      </c>
      <c r="C37" s="2439"/>
      <c r="D37" s="2440"/>
      <c r="E37" s="2441"/>
      <c r="F37" s="2441"/>
      <c r="G37" s="2442"/>
      <c r="H37" s="319"/>
      <c r="I37" s="320"/>
      <c r="J37" s="729"/>
      <c r="K37" s="321"/>
      <c r="L37" s="858"/>
      <c r="M37" s="858"/>
      <c r="N37" s="858"/>
      <c r="O37" s="858"/>
      <c r="P37" s="858"/>
      <c r="Q37" s="858"/>
      <c r="R37" s="858"/>
      <c r="S37" s="858"/>
      <c r="T37" s="858"/>
      <c r="U37" s="864"/>
      <c r="V37" s="424"/>
      <c r="W37" s="398"/>
      <c r="X37" s="398"/>
      <c r="Y37" s="398"/>
      <c r="Z37" s="405"/>
      <c r="AA37" s="366"/>
      <c r="AB37" s="366"/>
      <c r="AC37" s="366"/>
      <c r="AD37" s="366"/>
      <c r="AE37" s="366"/>
    </row>
    <row r="38" spans="1:40" ht="16.149999999999999" customHeight="1">
      <c r="A38" s="289"/>
      <c r="B38" s="371"/>
      <c r="C38" s="322"/>
      <c r="D38" s="323" t="s">
        <v>636</v>
      </c>
      <c r="E38" s="323"/>
      <c r="F38" s="293"/>
      <c r="G38" s="143"/>
      <c r="H38" s="324"/>
      <c r="I38" s="325"/>
      <c r="J38" s="418">
        <f>J20+J35</f>
        <v>166.44675000000001</v>
      </c>
      <c r="K38" s="321"/>
      <c r="L38" s="858"/>
      <c r="M38" s="858"/>
      <c r="N38" s="858"/>
      <c r="O38" s="858"/>
      <c r="P38" s="858"/>
      <c r="Q38" s="858"/>
      <c r="R38" s="858"/>
      <c r="S38" s="858"/>
      <c r="T38" s="858"/>
      <c r="U38" s="864"/>
      <c r="V38" s="424"/>
      <c r="W38" s="398"/>
      <c r="X38" s="398"/>
      <c r="Y38" s="405"/>
      <c r="Z38" s="405"/>
      <c r="AA38" s="366"/>
      <c r="AB38" s="366"/>
      <c r="AC38" s="366"/>
      <c r="AD38" s="366"/>
      <c r="AE38" s="366"/>
      <c r="AF38" s="1215"/>
    </row>
    <row r="39" spans="1:40" ht="16.149999999999999" customHeight="1">
      <c r="A39" s="289"/>
      <c r="B39" s="422"/>
      <c r="C39" s="326"/>
      <c r="D39" s="2060" t="s">
        <v>637</v>
      </c>
      <c r="E39" s="2060"/>
      <c r="F39" s="293"/>
      <c r="G39" s="143"/>
      <c r="H39" s="293" t="s">
        <v>638</v>
      </c>
      <c r="I39" s="359">
        <v>0.02</v>
      </c>
      <c r="J39" s="418">
        <f>I39*J40</f>
        <v>3.3968724489795923</v>
      </c>
      <c r="K39" s="321"/>
      <c r="L39" s="858"/>
      <c r="M39" s="858"/>
      <c r="N39" s="858"/>
      <c r="O39" s="858"/>
      <c r="P39" s="858"/>
      <c r="Q39" s="858"/>
      <c r="R39" s="858"/>
      <c r="S39" s="858"/>
      <c r="T39" s="858"/>
      <c r="U39" s="864"/>
      <c r="V39" s="424"/>
      <c r="W39" s="398"/>
      <c r="X39" s="398"/>
      <c r="Y39" s="398"/>
      <c r="Z39" s="398"/>
      <c r="AA39" s="366"/>
      <c r="AB39" s="366"/>
      <c r="AC39" s="366"/>
      <c r="AD39" s="366"/>
      <c r="AE39" s="366"/>
      <c r="AF39" s="1215"/>
    </row>
    <row r="40" spans="1:40" ht="16.149999999999999" customHeight="1">
      <c r="A40" s="289"/>
      <c r="B40" s="422"/>
      <c r="C40" s="326"/>
      <c r="D40" s="2060" t="s">
        <v>639</v>
      </c>
      <c r="E40" s="2060"/>
      <c r="F40" s="2060"/>
      <c r="G40" s="143"/>
      <c r="H40" s="324"/>
      <c r="I40" s="325"/>
      <c r="J40" s="418">
        <f>J38/(1-I39)</f>
        <v>169.8436224489796</v>
      </c>
      <c r="K40" s="321"/>
      <c r="L40" s="858"/>
      <c r="M40" s="858"/>
      <c r="N40" s="858"/>
      <c r="O40" s="858"/>
      <c r="P40" s="858"/>
      <c r="Q40" s="858"/>
      <c r="R40" s="858"/>
      <c r="S40" s="858"/>
      <c r="T40" s="858"/>
      <c r="U40" s="864"/>
      <c r="V40" s="424"/>
      <c r="W40" s="398"/>
      <c r="X40" s="398"/>
      <c r="Y40" s="398"/>
      <c r="Z40" s="398"/>
      <c r="AA40" s="366"/>
      <c r="AB40" s="366"/>
      <c r="AC40" s="366"/>
      <c r="AD40" s="366"/>
      <c r="AE40" s="366"/>
      <c r="AF40" s="1215"/>
    </row>
    <row r="41" spans="1:40" ht="16.149999999999999" customHeight="1">
      <c r="A41" s="289"/>
      <c r="B41" s="422"/>
      <c r="C41" s="326"/>
      <c r="D41" s="2060" t="s">
        <v>640</v>
      </c>
      <c r="E41" s="2060"/>
      <c r="F41" s="2060"/>
      <c r="G41" s="143"/>
      <c r="H41" s="324" t="s">
        <v>641</v>
      </c>
      <c r="I41" s="359">
        <v>0</v>
      </c>
      <c r="J41" s="418">
        <f>I41*J42</f>
        <v>0</v>
      </c>
      <c r="K41" s="321"/>
      <c r="L41" s="858"/>
      <c r="M41" s="858"/>
      <c r="N41" s="858"/>
      <c r="O41" s="858"/>
      <c r="P41" s="858"/>
      <c r="Q41" s="858"/>
      <c r="R41" s="858"/>
      <c r="S41" s="858"/>
      <c r="T41" s="858"/>
      <c r="U41" s="864"/>
      <c r="V41" s="424"/>
      <c r="W41" s="366"/>
      <c r="X41" s="1215"/>
      <c r="Y41" s="1214"/>
      <c r="Z41" s="1214"/>
    </row>
    <row r="42" spans="1:40" ht="16.149999999999999" customHeight="1">
      <c r="A42" s="289"/>
      <c r="B42" s="422"/>
      <c r="C42" s="326"/>
      <c r="D42" s="2060" t="s">
        <v>642</v>
      </c>
      <c r="E42" s="2060"/>
      <c r="F42" s="2060"/>
      <c r="G42" s="143"/>
      <c r="H42" s="324"/>
      <c r="I42" s="325"/>
      <c r="J42" s="418">
        <f>J40/(1-I41)</f>
        <v>169.8436224489796</v>
      </c>
      <c r="K42" s="321"/>
      <c r="L42" s="858"/>
      <c r="M42" s="858"/>
      <c r="N42" s="858"/>
      <c r="O42" s="858"/>
      <c r="P42" s="858"/>
      <c r="Q42" s="858"/>
      <c r="R42" s="858"/>
      <c r="S42" s="858"/>
      <c r="T42" s="858"/>
      <c r="U42" s="864"/>
      <c r="V42" s="424"/>
      <c r="W42" s="366"/>
      <c r="X42" s="1215"/>
      <c r="Y42" s="1214"/>
      <c r="Z42" s="1214"/>
    </row>
    <row r="43" spans="1:40" ht="16.149999999999999" customHeight="1" thickBot="1">
      <c r="A43" s="289"/>
      <c r="B43" s="422"/>
      <c r="C43" s="326"/>
      <c r="D43" s="327"/>
      <c r="E43" s="2060"/>
      <c r="F43" s="2060"/>
      <c r="G43" s="2060"/>
      <c r="H43" s="324"/>
      <c r="I43" s="328"/>
      <c r="J43" s="738"/>
      <c r="K43" s="321"/>
      <c r="L43" s="858"/>
      <c r="M43" s="858"/>
      <c r="N43" s="858"/>
      <c r="O43" s="858"/>
      <c r="P43" s="858"/>
      <c r="Q43" s="858"/>
      <c r="R43" s="858"/>
      <c r="S43" s="858"/>
      <c r="T43" s="858"/>
      <c r="U43" s="864"/>
      <c r="V43" s="424"/>
      <c r="W43" s="366"/>
      <c r="X43" s="1215"/>
      <c r="Y43" s="1214"/>
      <c r="Z43" s="1214"/>
    </row>
    <row r="44" spans="1:40" ht="16.149999999999999" customHeight="1" thickBot="1">
      <c r="A44" s="289"/>
      <c r="B44" s="329" t="s">
        <v>643</v>
      </c>
      <c r="C44" s="295"/>
      <c r="D44" s="330"/>
      <c r="E44" s="331"/>
      <c r="F44" s="331"/>
      <c r="G44" s="332"/>
      <c r="H44" s="333"/>
      <c r="I44" s="334"/>
      <c r="J44" s="335">
        <f>SUM(J42:J43)</f>
        <v>169.8436224489796</v>
      </c>
      <c r="K44" s="321"/>
      <c r="L44" s="858"/>
      <c r="M44" s="858"/>
      <c r="N44" s="858"/>
      <c r="O44" s="858"/>
      <c r="P44" s="858"/>
      <c r="Q44" s="858"/>
      <c r="R44" s="858"/>
      <c r="S44" s="858"/>
      <c r="T44" s="858"/>
      <c r="U44" s="864"/>
      <c r="V44" s="424"/>
      <c r="W44" s="366"/>
      <c r="X44" s="1215"/>
      <c r="Y44" s="1214"/>
      <c r="Z44" s="1214"/>
    </row>
    <row r="45" spans="1:40" ht="7.5" customHeight="1">
      <c r="A45" s="289"/>
      <c r="B45" s="370"/>
      <c r="C45" s="216"/>
      <c r="D45" s="317"/>
      <c r="E45" s="216"/>
      <c r="F45" s="216"/>
      <c r="G45" s="216"/>
      <c r="H45" s="336"/>
      <c r="I45" s="337"/>
      <c r="J45" s="739"/>
      <c r="K45" s="321"/>
      <c r="L45" s="858"/>
      <c r="M45" s="858"/>
      <c r="N45" s="858"/>
      <c r="O45" s="858"/>
      <c r="P45" s="858"/>
      <c r="Q45" s="858"/>
      <c r="R45" s="858"/>
      <c r="S45" s="858"/>
      <c r="T45" s="858"/>
      <c r="U45" s="864"/>
      <c r="V45" s="424"/>
      <c r="W45" s="366"/>
      <c r="X45" s="1215"/>
      <c r="Y45" s="1214"/>
      <c r="Z45" s="1214"/>
    </row>
    <row r="46" spans="1:40" ht="40.5" customHeight="1">
      <c r="A46" s="289"/>
      <c r="B46" s="2417" t="s">
        <v>644</v>
      </c>
      <c r="C46" s="2418"/>
      <c r="D46" s="832" t="s">
        <v>645</v>
      </c>
      <c r="E46" s="400"/>
      <c r="F46" s="400"/>
      <c r="G46" s="400"/>
      <c r="H46" s="833"/>
      <c r="I46" s="834"/>
      <c r="J46" s="835" t="s">
        <v>646</v>
      </c>
      <c r="K46" s="321"/>
      <c r="L46" s="858"/>
      <c r="M46" s="858"/>
      <c r="N46" s="858"/>
      <c r="O46" s="858"/>
      <c r="P46" s="858"/>
      <c r="Q46" s="858"/>
      <c r="R46" s="858"/>
      <c r="S46" s="858"/>
      <c r="T46" s="858"/>
      <c r="U46" s="864"/>
      <c r="V46" s="424"/>
      <c r="W46" s="366"/>
      <c r="X46" s="1215"/>
      <c r="Y46" s="1214"/>
      <c r="Z46" s="1214"/>
    </row>
    <row r="47" spans="1:40" ht="16.149999999999999" customHeight="1">
      <c r="A47" s="289"/>
      <c r="B47" s="422"/>
      <c r="C47" s="326"/>
      <c r="D47" s="360" t="s">
        <v>647</v>
      </c>
      <c r="E47" s="144"/>
      <c r="F47" s="143"/>
      <c r="G47" s="327"/>
      <c r="H47" s="327"/>
      <c r="I47" s="327"/>
      <c r="J47" s="439">
        <v>27</v>
      </c>
      <c r="K47" s="321"/>
      <c r="L47" s="858"/>
      <c r="M47" s="858"/>
      <c r="N47" s="858"/>
      <c r="O47" s="858"/>
      <c r="P47" s="858"/>
      <c r="Q47" s="858"/>
      <c r="R47" s="858"/>
      <c r="S47" s="858"/>
      <c r="T47" s="858"/>
      <c r="U47" s="864"/>
      <c r="V47" s="424"/>
      <c r="W47" s="366"/>
      <c r="X47" s="1215"/>
      <c r="Y47" s="1214"/>
      <c r="Z47" s="1214"/>
    </row>
    <row r="48" spans="1:40" ht="15.75" customHeight="1">
      <c r="A48" s="289"/>
      <c r="B48" s="2443"/>
      <c r="C48" s="2444"/>
      <c r="D48" s="360" t="s">
        <v>648</v>
      </c>
      <c r="E48" s="144"/>
      <c r="F48" s="143"/>
      <c r="G48" s="327"/>
      <c r="H48" s="327"/>
      <c r="I48" s="327"/>
      <c r="J48" s="439">
        <v>38</v>
      </c>
      <c r="K48" s="321"/>
      <c r="L48" s="858"/>
      <c r="M48" s="858"/>
      <c r="N48" s="858"/>
      <c r="O48" s="858"/>
      <c r="P48" s="858"/>
      <c r="Q48" s="858"/>
      <c r="R48" s="858"/>
      <c r="S48" s="858"/>
      <c r="T48" s="858"/>
      <c r="U48" s="864"/>
      <c r="V48" s="424"/>
      <c r="W48" s="366"/>
      <c r="X48" s="1215"/>
      <c r="Y48" s="1214"/>
      <c r="Z48" s="1214"/>
    </row>
    <row r="49" spans="1:32" ht="15.75" customHeight="1">
      <c r="A49" s="289"/>
      <c r="B49" s="2422"/>
      <c r="C49" s="2423"/>
      <c r="D49" s="360" t="s">
        <v>543</v>
      </c>
      <c r="E49" s="144"/>
      <c r="F49" s="143"/>
      <c r="G49" s="327"/>
      <c r="H49" s="327"/>
      <c r="I49" s="338"/>
      <c r="J49" s="440"/>
      <c r="K49" s="321"/>
      <c r="L49" s="858"/>
      <c r="M49" s="858"/>
      <c r="N49" s="858"/>
      <c r="O49" s="858"/>
      <c r="P49" s="858"/>
      <c r="Q49" s="858"/>
      <c r="R49" s="858"/>
      <c r="S49" s="858"/>
      <c r="T49" s="858"/>
      <c r="U49" s="864"/>
      <c r="V49" s="424"/>
      <c r="W49" s="366"/>
      <c r="X49" s="1215"/>
      <c r="Y49" s="1214"/>
      <c r="Z49" s="1214"/>
    </row>
    <row r="50" spans="1:32" ht="15.75" customHeight="1">
      <c r="A50" s="289"/>
      <c r="B50" s="2057"/>
      <c r="C50" s="2058"/>
      <c r="D50" s="360" t="s">
        <v>649</v>
      </c>
      <c r="E50" s="144"/>
      <c r="F50" s="143"/>
      <c r="G50" s="327"/>
      <c r="H50" s="327"/>
      <c r="I50" s="338"/>
      <c r="J50" s="440"/>
      <c r="K50" s="321"/>
      <c r="L50" s="858"/>
      <c r="M50" s="858"/>
      <c r="N50" s="858"/>
      <c r="O50" s="858"/>
      <c r="P50" s="858"/>
      <c r="Q50" s="858"/>
      <c r="R50" s="858"/>
      <c r="S50" s="858"/>
      <c r="T50" s="858"/>
      <c r="U50" s="864"/>
      <c r="V50" s="424"/>
      <c r="W50" s="398"/>
      <c r="X50" s="398"/>
      <c r="Y50" s="398"/>
      <c r="Z50" s="398"/>
      <c r="AA50" s="366"/>
      <c r="AB50" s="366"/>
      <c r="AC50" s="366"/>
      <c r="AD50" s="366"/>
      <c r="AE50" s="366"/>
      <c r="AF50" s="1215"/>
    </row>
    <row r="51" spans="1:32" ht="15.75" customHeight="1">
      <c r="A51" s="289"/>
      <c r="B51" s="2057"/>
      <c r="C51" s="2058"/>
      <c r="D51" s="360" t="s">
        <v>649</v>
      </c>
      <c r="E51" s="144"/>
      <c r="F51" s="143"/>
      <c r="G51" s="327"/>
      <c r="H51" s="327"/>
      <c r="I51" s="338"/>
      <c r="J51" s="440"/>
      <c r="K51" s="321"/>
      <c r="L51" s="858"/>
      <c r="M51" s="858"/>
      <c r="N51" s="858"/>
      <c r="O51" s="858"/>
      <c r="P51" s="858"/>
      <c r="Q51" s="858"/>
      <c r="R51" s="858"/>
      <c r="S51" s="858"/>
      <c r="T51" s="858"/>
      <c r="U51" s="864"/>
      <c r="V51" s="424"/>
      <c r="W51" s="398"/>
      <c r="X51" s="2421"/>
      <c r="Y51" s="2421"/>
      <c r="Z51" s="398"/>
      <c r="AA51" s="366"/>
      <c r="AB51" s="366"/>
      <c r="AC51" s="366"/>
      <c r="AD51" s="366"/>
      <c r="AE51" s="366"/>
      <c r="AF51" s="1215"/>
    </row>
    <row r="52" spans="1:32" ht="15.75" customHeight="1">
      <c r="A52" s="289"/>
      <c r="B52" s="2057"/>
      <c r="C52" s="2058"/>
      <c r="D52" s="360"/>
      <c r="E52" s="144"/>
      <c r="F52" s="143"/>
      <c r="G52" s="327"/>
      <c r="H52" s="327"/>
      <c r="I52" s="338"/>
      <c r="J52" s="440"/>
      <c r="K52" s="321"/>
      <c r="L52" s="858"/>
      <c r="M52" s="858"/>
      <c r="N52" s="858"/>
      <c r="O52" s="858"/>
      <c r="P52" s="858"/>
      <c r="Q52" s="858"/>
      <c r="R52" s="858"/>
      <c r="S52" s="858"/>
      <c r="T52" s="858"/>
      <c r="U52" s="864"/>
      <c r="V52" s="424"/>
      <c r="W52" s="398"/>
      <c r="X52" s="1220"/>
      <c r="Y52" s="1220"/>
      <c r="Z52" s="1220"/>
      <c r="AA52" s="366"/>
      <c r="AB52" s="366"/>
      <c r="AC52" s="366"/>
      <c r="AD52" s="366"/>
      <c r="AE52" s="366"/>
      <c r="AF52" s="1215"/>
    </row>
    <row r="53" spans="1:32" ht="15.75" customHeight="1">
      <c r="A53" s="289"/>
      <c r="B53" s="2057"/>
      <c r="C53" s="2058"/>
      <c r="D53" s="360"/>
      <c r="E53" s="144"/>
      <c r="F53" s="143"/>
      <c r="G53" s="327"/>
      <c r="H53" s="327"/>
      <c r="I53" s="338"/>
      <c r="J53" s="440"/>
      <c r="K53" s="321"/>
      <c r="L53" s="858"/>
      <c r="M53" s="858"/>
      <c r="N53" s="858"/>
      <c r="O53" s="858"/>
      <c r="P53" s="858"/>
      <c r="Q53" s="858"/>
      <c r="R53" s="858"/>
      <c r="S53" s="858"/>
      <c r="T53" s="858"/>
      <c r="U53" s="864"/>
      <c r="V53" s="424"/>
      <c r="W53" s="398"/>
      <c r="X53" s="1220"/>
      <c r="Y53" s="1220"/>
      <c r="Z53" s="1220"/>
      <c r="AA53" s="1215"/>
      <c r="AB53" s="1215"/>
      <c r="AC53" s="1215"/>
      <c r="AD53" s="1215"/>
      <c r="AE53" s="1215"/>
      <c r="AF53" s="1215"/>
    </row>
    <row r="54" spans="1:32" ht="19.899999999999999" customHeight="1">
      <c r="A54" s="289"/>
      <c r="B54" s="422"/>
      <c r="C54" s="2058"/>
      <c r="D54" s="360"/>
      <c r="E54" s="144"/>
      <c r="F54" s="143"/>
      <c r="G54" s="327"/>
      <c r="H54" s="327"/>
      <c r="I54" s="338"/>
      <c r="J54" s="440"/>
      <c r="K54" s="321"/>
      <c r="L54" s="858"/>
      <c r="M54" s="858"/>
      <c r="N54" s="858"/>
      <c r="O54" s="858"/>
      <c r="P54" s="858"/>
      <c r="Q54" s="858"/>
      <c r="R54" s="858"/>
      <c r="S54" s="858"/>
      <c r="T54" s="858"/>
      <c r="U54" s="864"/>
      <c r="V54" s="424"/>
      <c r="W54" s="398"/>
      <c r="X54" s="1220"/>
      <c r="Y54" s="1220"/>
      <c r="Z54" s="1220"/>
      <c r="AA54" s="1221"/>
      <c r="AB54" s="1221"/>
      <c r="AC54" s="1221"/>
      <c r="AD54" s="1221"/>
      <c r="AE54" s="1215"/>
      <c r="AF54" s="1215"/>
    </row>
    <row r="55" spans="1:32" ht="15" customHeight="1">
      <c r="A55" s="289"/>
      <c r="B55" s="422"/>
      <c r="C55" s="2058"/>
      <c r="D55" s="838"/>
      <c r="E55" s="144"/>
      <c r="F55" s="143"/>
      <c r="G55" s="327"/>
      <c r="H55" s="327"/>
      <c r="I55" s="338"/>
      <c r="J55" s="440"/>
      <c r="K55" s="321"/>
      <c r="L55" s="858"/>
      <c r="M55" s="858"/>
      <c r="N55" s="858"/>
      <c r="O55" s="858"/>
      <c r="P55" s="858"/>
      <c r="Q55" s="858"/>
      <c r="R55" s="858"/>
      <c r="S55" s="858"/>
      <c r="T55" s="858"/>
      <c r="U55" s="864"/>
      <c r="V55" s="424"/>
      <c r="W55" s="398"/>
      <c r="X55" s="1220"/>
      <c r="Y55" s="1220"/>
      <c r="Z55" s="1220"/>
      <c r="AA55" s="1215"/>
      <c r="AB55" s="1215"/>
      <c r="AC55" s="1218"/>
      <c r="AD55" s="1215"/>
      <c r="AE55" s="1221"/>
      <c r="AF55" s="1215"/>
    </row>
    <row r="56" spans="1:32" ht="15.75" customHeight="1">
      <c r="A56" s="289"/>
      <c r="B56" s="740" t="s">
        <v>650</v>
      </c>
      <c r="C56" s="339"/>
      <c r="D56" s="340"/>
      <c r="E56" s="341"/>
      <c r="F56" s="341"/>
      <c r="G56" s="341"/>
      <c r="H56" s="342"/>
      <c r="I56" s="343"/>
      <c r="J56" s="821">
        <f>SUM(J47:J55)</f>
        <v>65</v>
      </c>
      <c r="K56" s="292"/>
      <c r="L56" s="327"/>
      <c r="M56" s="327"/>
      <c r="N56" s="327"/>
      <c r="O56" s="327"/>
      <c r="P56" s="327"/>
      <c r="Q56" s="327"/>
      <c r="R56" s="327"/>
      <c r="S56" s="327"/>
      <c r="T56" s="327"/>
      <c r="U56" s="1449"/>
      <c r="V56" s="1222"/>
      <c r="W56" s="398"/>
      <c r="X56" s="1220"/>
      <c r="Y56" s="1220"/>
      <c r="Z56" s="1220"/>
      <c r="AA56" s="1218"/>
      <c r="AB56" s="1218"/>
      <c r="AC56" s="1218"/>
      <c r="AD56" s="1218"/>
      <c r="AE56" s="1218"/>
      <c r="AF56" s="1215"/>
    </row>
    <row r="57" spans="1:32" ht="15.6" customHeight="1" thickBot="1">
      <c r="A57" s="289"/>
      <c r="B57" s="741"/>
      <c r="C57" s="344"/>
      <c r="D57" s="345"/>
      <c r="E57" s="261"/>
      <c r="F57" s="261"/>
      <c r="G57" s="261"/>
      <c r="H57" s="346"/>
      <c r="I57" s="347"/>
      <c r="J57" s="742"/>
      <c r="K57" s="292"/>
      <c r="L57" s="327"/>
      <c r="M57" s="327"/>
      <c r="N57" s="327"/>
      <c r="O57" s="327"/>
      <c r="P57" s="327"/>
      <c r="Q57" s="327"/>
      <c r="R57" s="327"/>
      <c r="S57" s="327"/>
      <c r="T57" s="327"/>
      <c r="U57" s="1449"/>
      <c r="V57" s="1222"/>
      <c r="W57" s="398"/>
      <c r="X57" s="1220"/>
      <c r="Y57" s="1220"/>
      <c r="Z57" s="1220"/>
      <c r="AA57" s="1215"/>
      <c r="AB57" s="1218"/>
      <c r="AC57" s="1215"/>
      <c r="AD57" s="1218"/>
      <c r="AE57" s="1218"/>
      <c r="AF57" s="1215"/>
    </row>
    <row r="58" spans="1:32" ht="15.75" customHeight="1" thickBot="1">
      <c r="A58" s="289"/>
      <c r="B58" s="743" t="s">
        <v>651</v>
      </c>
      <c r="C58" s="348"/>
      <c r="D58" s="313"/>
      <c r="E58" s="314"/>
      <c r="F58" s="314"/>
      <c r="G58" s="314"/>
      <c r="H58" s="315"/>
      <c r="I58" s="316"/>
      <c r="J58" s="736">
        <f>J44+J56</f>
        <v>234.8436224489796</v>
      </c>
      <c r="K58" s="292"/>
      <c r="L58" s="327"/>
      <c r="M58" s="327"/>
      <c r="N58" s="327"/>
      <c r="O58" s="327"/>
      <c r="P58" s="327"/>
      <c r="Q58" s="327"/>
      <c r="R58" s="327"/>
      <c r="S58" s="327"/>
      <c r="T58" s="327"/>
      <c r="U58" s="1449"/>
      <c r="V58" s="1222"/>
      <c r="W58" s="398"/>
      <c r="X58" s="1220"/>
      <c r="Y58" s="1220"/>
      <c r="Z58" s="1220"/>
      <c r="AA58" s="1215"/>
      <c r="AB58" s="1218"/>
      <c r="AC58" s="1215"/>
      <c r="AD58" s="1218"/>
      <c r="AE58" s="1215"/>
      <c r="AF58" s="1218"/>
    </row>
    <row r="59" spans="1:32" ht="16.899999999999999" customHeight="1" thickTop="1" thickBot="1">
      <c r="A59" s="289"/>
      <c r="B59" s="744"/>
      <c r="C59" s="265"/>
      <c r="D59" s="349"/>
      <c r="E59" s="261"/>
      <c r="F59" s="261"/>
      <c r="G59" s="2419"/>
      <c r="H59" s="2420"/>
      <c r="I59" s="347"/>
      <c r="J59" s="745"/>
      <c r="K59" s="292"/>
      <c r="L59" s="327"/>
      <c r="M59" s="327"/>
      <c r="N59" s="327"/>
      <c r="O59" s="327"/>
      <c r="P59" s="327"/>
      <c r="Q59" s="327"/>
      <c r="R59" s="327"/>
      <c r="S59" s="327"/>
      <c r="T59" s="327"/>
      <c r="U59" s="1449"/>
      <c r="V59" s="1222"/>
      <c r="W59" s="398"/>
      <c r="X59" s="2416"/>
      <c r="Y59" s="2416"/>
      <c r="Z59" s="1218"/>
      <c r="AA59" s="1215"/>
      <c r="AB59" s="1218"/>
      <c r="AC59" s="1215"/>
      <c r="AD59" s="1218"/>
      <c r="AE59" s="1215"/>
      <c r="AF59" s="1218"/>
    </row>
    <row r="60" spans="1:32" ht="15.75" customHeight="1" thickBot="1">
      <c r="A60" s="289"/>
      <c r="B60" s="743" t="s">
        <v>652</v>
      </c>
      <c r="C60" s="348"/>
      <c r="D60" s="313"/>
      <c r="E60" s="314"/>
      <c r="F60" s="314"/>
      <c r="G60" s="314"/>
      <c r="H60" s="315"/>
      <c r="I60" s="350">
        <v>0.19</v>
      </c>
      <c r="J60" s="736">
        <f>J58*I60</f>
        <v>44.620288265306122</v>
      </c>
      <c r="K60" s="292"/>
      <c r="L60" s="327"/>
      <c r="M60" s="327"/>
      <c r="N60" s="327"/>
      <c r="O60" s="327"/>
      <c r="P60" s="327"/>
      <c r="Q60" s="327"/>
      <c r="R60" s="327"/>
      <c r="S60" s="327"/>
      <c r="T60" s="327"/>
      <c r="U60" s="1449"/>
      <c r="V60" s="1222"/>
      <c r="W60" s="1218"/>
      <c r="X60" s="2416"/>
      <c r="Y60" s="2416"/>
      <c r="Z60" s="1218"/>
      <c r="AA60" s="1215"/>
      <c r="AB60" s="1218"/>
      <c r="AC60" s="1215"/>
      <c r="AD60" s="1218"/>
      <c r="AE60" s="1215"/>
      <c r="AF60" s="1218"/>
    </row>
    <row r="61" spans="1:32" ht="12.6" customHeight="1" thickTop="1" thickBot="1">
      <c r="A61" s="289"/>
      <c r="B61" s="744"/>
      <c r="C61" s="265"/>
      <c r="D61" s="265"/>
      <c r="E61" s="261"/>
      <c r="F61" s="261"/>
      <c r="G61" s="261"/>
      <c r="H61" s="346"/>
      <c r="I61" s="347"/>
      <c r="J61" s="742"/>
      <c r="K61" s="292"/>
      <c r="L61" s="327"/>
      <c r="M61" s="327"/>
      <c r="N61" s="327"/>
      <c r="O61" s="327"/>
      <c r="P61" s="327"/>
      <c r="Q61" s="327"/>
      <c r="R61" s="327"/>
      <c r="S61" s="327"/>
      <c r="T61" s="327"/>
      <c r="U61" s="1449"/>
      <c r="V61" s="1222"/>
      <c r="W61" s="1218"/>
      <c r="X61" s="2416"/>
      <c r="Y61" s="2416"/>
      <c r="Z61" s="1218"/>
      <c r="AA61" s="1215"/>
      <c r="AB61" s="1218"/>
      <c r="AC61" s="1215"/>
      <c r="AD61" s="1218"/>
      <c r="AE61" s="1215"/>
      <c r="AF61" s="1218"/>
    </row>
    <row r="62" spans="1:32" ht="15.75" customHeight="1">
      <c r="A62" s="289"/>
      <c r="B62" s="746" t="s">
        <v>653</v>
      </c>
      <c r="C62" s="351"/>
      <c r="D62" s="2414" t="s">
        <v>654</v>
      </c>
      <c r="E62" s="2415"/>
      <c r="F62" s="2415"/>
      <c r="G62" s="1240">
        <v>10</v>
      </c>
      <c r="H62" s="352"/>
      <c r="I62" s="353"/>
      <c r="J62" s="747">
        <f>J58+J60</f>
        <v>279.4639107142857</v>
      </c>
      <c r="K62" s="354"/>
      <c r="L62" s="860"/>
      <c r="M62" s="860"/>
      <c r="N62" s="860"/>
      <c r="O62" s="860"/>
      <c r="P62" s="860"/>
      <c r="Q62" s="860"/>
      <c r="R62" s="860"/>
      <c r="S62" s="860"/>
      <c r="T62" s="860"/>
      <c r="U62" s="1451"/>
      <c r="V62" s="1456"/>
      <c r="W62" s="1218"/>
      <c r="X62" s="2416"/>
      <c r="Y62" s="2416"/>
      <c r="Z62" s="1218"/>
      <c r="AA62" s="1215"/>
      <c r="AB62" s="1218"/>
      <c r="AC62" s="1215"/>
      <c r="AD62" s="1218"/>
      <c r="AE62" s="1215"/>
      <c r="AF62" s="1218"/>
    </row>
    <row r="63" spans="1:32" ht="15.6" customHeight="1" thickBot="1">
      <c r="A63" s="289"/>
      <c r="B63" s="748" t="s">
        <v>655</v>
      </c>
      <c r="C63" s="749"/>
      <c r="D63" s="749"/>
      <c r="E63" s="749"/>
      <c r="F63" s="749"/>
      <c r="G63" s="749"/>
      <c r="H63" s="750"/>
      <c r="I63" s="750"/>
      <c r="J63" s="751">
        <f>J62/G62</f>
        <v>27.946391071428572</v>
      </c>
      <c r="K63" s="354"/>
      <c r="L63" s="860"/>
      <c r="M63" s="860"/>
      <c r="N63" s="860"/>
      <c r="O63" s="860"/>
      <c r="P63" s="860"/>
      <c r="Q63" s="860"/>
      <c r="R63" s="860"/>
      <c r="S63" s="860"/>
      <c r="T63" s="860"/>
      <c r="U63" s="1451"/>
      <c r="V63" s="1456"/>
      <c r="W63" s="1218"/>
      <c r="X63" s="1218"/>
      <c r="Y63" s="1218"/>
      <c r="Z63" s="1218"/>
      <c r="AA63" s="1215"/>
      <c r="AB63" s="1218"/>
      <c r="AC63" s="1215"/>
      <c r="AD63" s="1215"/>
      <c r="AE63" s="1215"/>
      <c r="AF63" s="1218"/>
    </row>
    <row r="64" spans="1:32" ht="15.6" customHeight="1">
      <c r="A64" s="289"/>
      <c r="B64" s="338"/>
      <c r="C64" s="327"/>
      <c r="D64" s="327"/>
      <c r="E64" s="327"/>
      <c r="F64" s="327"/>
      <c r="G64" s="327"/>
      <c r="H64" s="858"/>
      <c r="I64" s="858"/>
      <c r="J64" s="338"/>
      <c r="K64" s="354"/>
      <c r="L64" s="860"/>
      <c r="M64" s="860"/>
      <c r="N64" s="860"/>
      <c r="O64" s="860"/>
      <c r="P64" s="860"/>
      <c r="Q64" s="860"/>
      <c r="R64" s="860"/>
      <c r="S64" s="860"/>
      <c r="T64" s="860"/>
      <c r="U64" s="1451"/>
      <c r="V64" s="1456"/>
      <c r="W64" s="1218"/>
      <c r="X64" s="1218"/>
      <c r="Y64" s="1218"/>
      <c r="Z64" s="1218"/>
      <c r="AA64" s="1215"/>
      <c r="AB64" s="1218"/>
      <c r="AC64" s="1215"/>
      <c r="AD64" s="1215"/>
      <c r="AE64" s="1215"/>
      <c r="AF64" s="1218"/>
    </row>
    <row r="65" spans="1:32" ht="15.6" customHeight="1">
      <c r="A65" s="289"/>
      <c r="B65" s="338"/>
      <c r="C65" s="327"/>
      <c r="D65" s="327"/>
      <c r="E65" s="327"/>
      <c r="F65" s="327"/>
      <c r="G65" s="327"/>
      <c r="H65" s="858"/>
      <c r="I65" s="858"/>
      <c r="J65" s="338"/>
      <c r="K65" s="354"/>
      <c r="L65" s="860"/>
      <c r="M65" s="860"/>
      <c r="N65" s="860"/>
      <c r="O65" s="860"/>
      <c r="P65" s="860"/>
      <c r="Q65" s="860"/>
      <c r="R65" s="860"/>
      <c r="S65" s="860"/>
      <c r="T65" s="860"/>
      <c r="U65" s="1451"/>
      <c r="V65" s="1456"/>
      <c r="W65" s="1218"/>
      <c r="X65" s="1218"/>
      <c r="Y65" s="1218"/>
      <c r="Z65" s="1218"/>
      <c r="AA65" s="1215"/>
      <c r="AB65" s="1218"/>
      <c r="AC65" s="1215"/>
      <c r="AD65" s="1215"/>
      <c r="AE65" s="1215"/>
      <c r="AF65" s="1218"/>
    </row>
    <row r="66" spans="1:32" ht="15.6" customHeight="1">
      <c r="A66" s="289"/>
      <c r="B66" s="855" t="s">
        <v>656</v>
      </c>
      <c r="C66" s="145"/>
      <c r="D66" s="145"/>
      <c r="E66" s="145"/>
      <c r="F66" s="145"/>
      <c r="G66" s="145"/>
      <c r="H66" s="856"/>
      <c r="I66" s="856"/>
      <c r="J66" s="1241"/>
      <c r="K66" s="354"/>
      <c r="L66" s="860"/>
      <c r="M66" s="860"/>
      <c r="N66" s="860"/>
      <c r="O66" s="860"/>
      <c r="P66" s="860"/>
      <c r="Q66" s="860"/>
      <c r="R66" s="860"/>
      <c r="S66" s="860"/>
      <c r="T66" s="860"/>
      <c r="U66" s="1451"/>
      <c r="V66" s="1456"/>
      <c r="W66" s="1218"/>
      <c r="X66" s="1218"/>
      <c r="Y66" s="1218"/>
      <c r="Z66" s="1218"/>
      <c r="AA66" s="1215"/>
      <c r="AB66" s="1218"/>
      <c r="AC66" s="1215"/>
      <c r="AD66" s="1215"/>
      <c r="AE66" s="1215"/>
      <c r="AF66" s="1218"/>
    </row>
    <row r="67" spans="1:32" ht="15.75" customHeight="1" thickBot="1">
      <c r="A67" s="355"/>
      <c r="B67" s="356"/>
      <c r="C67" s="356"/>
      <c r="D67" s="356"/>
      <c r="E67" s="356"/>
      <c r="F67" s="356"/>
      <c r="G67" s="356"/>
      <c r="H67" s="357"/>
      <c r="I67" s="357"/>
      <c r="J67" s="357"/>
      <c r="K67" s="358"/>
      <c r="L67" s="861"/>
      <c r="M67" s="862"/>
      <c r="N67" s="862"/>
      <c r="O67" s="862"/>
      <c r="P67" s="862"/>
      <c r="Q67" s="862"/>
      <c r="R67" s="862"/>
      <c r="S67" s="858"/>
      <c r="T67" s="858"/>
      <c r="U67" s="864"/>
      <c r="V67" s="424"/>
      <c r="W67" s="1218"/>
      <c r="X67" s="1218"/>
      <c r="Y67" s="1218"/>
      <c r="Z67" s="1218"/>
      <c r="AA67" s="1215"/>
      <c r="AB67" s="1215"/>
      <c r="AC67" s="1215"/>
      <c r="AD67" s="1215"/>
      <c r="AE67" s="1215"/>
      <c r="AF67" s="1218"/>
    </row>
    <row r="68" spans="1:32" ht="15.75" customHeight="1" thickTop="1">
      <c r="A68" s="857"/>
      <c r="B68" s="369"/>
      <c r="C68" s="369"/>
      <c r="D68" s="369"/>
      <c r="E68" s="369"/>
      <c r="F68" s="369"/>
      <c r="G68" s="369"/>
      <c r="H68" s="365"/>
      <c r="I68" s="365"/>
      <c r="J68" s="365"/>
      <c r="K68" s="365"/>
      <c r="L68" s="365"/>
      <c r="M68" s="365"/>
      <c r="N68" s="365"/>
      <c r="O68" s="365"/>
      <c r="P68" s="365"/>
      <c r="Q68" s="365"/>
      <c r="R68" s="365"/>
      <c r="S68" s="365"/>
      <c r="T68" s="365"/>
      <c r="U68" s="863"/>
      <c r="V68" s="1457"/>
      <c r="W68" s="1458"/>
      <c r="X68" s="1218"/>
      <c r="Y68" s="1218"/>
      <c r="Z68" s="1218"/>
      <c r="AA68" s="1215"/>
      <c r="AB68" s="1215"/>
      <c r="AC68" s="1215"/>
      <c r="AD68" s="1215"/>
      <c r="AE68" s="1215"/>
      <c r="AF68" s="1218"/>
    </row>
    <row r="69" spans="1:32" ht="15.75" customHeight="1">
      <c r="A69" s="857"/>
      <c r="B69" s="369"/>
      <c r="C69" s="369"/>
      <c r="D69" s="369"/>
      <c r="E69" s="369"/>
      <c r="F69" s="369"/>
      <c r="G69" s="369"/>
      <c r="H69" s="365"/>
      <c r="I69" s="365"/>
      <c r="J69" s="365"/>
      <c r="K69" s="365"/>
      <c r="L69" s="365"/>
      <c r="M69" s="365"/>
      <c r="N69" s="365"/>
      <c r="O69" s="365"/>
      <c r="P69" s="365"/>
      <c r="Q69" s="365"/>
      <c r="R69" s="365"/>
      <c r="S69" s="365"/>
      <c r="T69" s="365"/>
      <c r="U69" s="864"/>
      <c r="V69" s="424"/>
      <c r="W69" s="1459"/>
      <c r="X69" s="1218"/>
      <c r="Y69" s="1218"/>
      <c r="Z69" s="1218"/>
      <c r="AA69" s="1215"/>
      <c r="AB69" s="1215"/>
      <c r="AC69" s="1215"/>
      <c r="AD69" s="1215"/>
      <c r="AE69" s="1215"/>
      <c r="AF69" s="1218"/>
    </row>
    <row r="70" spans="1:32" ht="15.75" customHeight="1">
      <c r="A70" s="857"/>
      <c r="B70" s="369"/>
      <c r="C70" s="369"/>
      <c r="D70" s="369"/>
      <c r="E70" s="369"/>
      <c r="F70" s="369"/>
      <c r="G70" s="369"/>
      <c r="H70" s="365"/>
      <c r="I70" s="365"/>
      <c r="J70" s="365"/>
      <c r="K70" s="365"/>
      <c r="L70" s="365"/>
      <c r="M70" s="365"/>
      <c r="N70" s="365"/>
      <c r="O70" s="365"/>
      <c r="P70" s="365"/>
      <c r="Q70" s="365"/>
      <c r="R70" s="365"/>
      <c r="S70" s="365"/>
      <c r="T70" s="365"/>
      <c r="U70" s="864"/>
      <c r="V70" s="424"/>
      <c r="W70" s="1459"/>
      <c r="X70" s="1218"/>
      <c r="Y70" s="1218"/>
      <c r="Z70" s="1218"/>
      <c r="AA70" s="1215"/>
      <c r="AB70" s="1215"/>
      <c r="AC70" s="1215"/>
      <c r="AD70" s="1215"/>
      <c r="AE70" s="1215"/>
      <c r="AF70" s="1218"/>
    </row>
    <row r="71" spans="1:32" ht="15.75" customHeight="1">
      <c r="A71" s="1210"/>
      <c r="B71" s="1222"/>
      <c r="C71" s="1222"/>
      <c r="D71" s="1222"/>
      <c r="E71" s="1222"/>
      <c r="F71" s="1222"/>
      <c r="G71" s="1222"/>
      <c r="H71" s="424"/>
      <c r="I71" s="424"/>
      <c r="J71" s="424"/>
      <c r="K71" s="424"/>
      <c r="L71" s="424"/>
      <c r="M71" s="424"/>
      <c r="N71" s="424"/>
      <c r="O71" s="424"/>
      <c r="P71" s="424"/>
      <c r="Q71" s="424"/>
      <c r="R71" s="424"/>
      <c r="S71" s="424"/>
      <c r="T71" s="424"/>
      <c r="U71" s="424"/>
      <c r="V71" s="424"/>
      <c r="X71" s="2416"/>
      <c r="Y71" s="2416"/>
      <c r="Z71" s="1218"/>
      <c r="AA71" s="1215"/>
      <c r="AB71" s="1218"/>
      <c r="AC71" s="1215"/>
      <c r="AD71" s="1218"/>
      <c r="AE71" s="1215"/>
      <c r="AF71" s="1218"/>
    </row>
    <row r="72" spans="1:32" ht="15.75" hidden="1" customHeight="1">
      <c r="A72" s="1210"/>
      <c r="B72" s="1222"/>
      <c r="C72" s="1222"/>
      <c r="D72" s="1222"/>
      <c r="E72" s="1222"/>
      <c r="F72" s="1222"/>
      <c r="G72" s="1222"/>
      <c r="H72" s="424"/>
      <c r="I72" s="424"/>
      <c r="J72" s="424"/>
      <c r="K72" s="424"/>
      <c r="L72" s="424"/>
      <c r="M72" s="424"/>
      <c r="N72" s="424"/>
      <c r="O72" s="424"/>
      <c r="P72" s="424"/>
      <c r="Q72" s="424"/>
      <c r="R72" s="424"/>
      <c r="S72" s="424"/>
      <c r="T72" s="424"/>
      <c r="U72" s="424"/>
      <c r="V72" s="424"/>
      <c r="X72" s="1218"/>
      <c r="Y72" s="1218"/>
      <c r="Z72" s="1218"/>
      <c r="AA72" s="1215"/>
      <c r="AB72" s="1215"/>
      <c r="AC72" s="1215"/>
      <c r="AD72" s="1215"/>
      <c r="AE72" s="1215"/>
      <c r="AF72" s="1218"/>
    </row>
    <row r="73" spans="1:32" ht="15.75" hidden="1" customHeight="1">
      <c r="A73" s="1210"/>
      <c r="B73" s="1222"/>
      <c r="C73" s="1222"/>
      <c r="D73" s="1222"/>
      <c r="E73" s="1222"/>
      <c r="F73" s="1222"/>
      <c r="G73" s="1222"/>
      <c r="H73" s="424"/>
      <c r="I73" s="424"/>
      <c r="J73" s="424"/>
      <c r="K73" s="424"/>
      <c r="L73" s="424"/>
      <c r="M73" s="424"/>
      <c r="N73" s="424"/>
      <c r="O73" s="424"/>
      <c r="P73" s="424"/>
      <c r="Q73" s="424"/>
      <c r="R73" s="424"/>
      <c r="S73" s="424"/>
      <c r="T73" s="424"/>
      <c r="U73" s="424"/>
      <c r="V73" s="424"/>
      <c r="X73" s="1215"/>
      <c r="Y73" s="1224"/>
      <c r="Z73" s="1225"/>
      <c r="AA73" s="1215"/>
      <c r="AB73" s="1218"/>
      <c r="AC73" s="1215"/>
      <c r="AD73" s="1218"/>
      <c r="AE73" s="1215"/>
      <c r="AF73" s="1218"/>
    </row>
    <row r="74" spans="1:32" ht="15.6" hidden="1" customHeight="1">
      <c r="A74" s="1210"/>
      <c r="B74" s="1222"/>
      <c r="C74" s="1222"/>
      <c r="D74" s="1222"/>
      <c r="E74" s="1222"/>
      <c r="F74" s="1222"/>
      <c r="G74" s="1222"/>
      <c r="H74" s="424"/>
      <c r="I74" s="424"/>
      <c r="J74" s="424"/>
      <c r="K74" s="424"/>
      <c r="L74" s="424"/>
      <c r="M74" s="424"/>
      <c r="N74" s="424"/>
      <c r="O74" s="424"/>
      <c r="P74" s="424"/>
      <c r="Q74" s="424"/>
      <c r="R74" s="424"/>
      <c r="S74" s="424"/>
      <c r="T74" s="424"/>
      <c r="U74" s="424"/>
      <c r="V74" s="424"/>
      <c r="X74" s="2413"/>
      <c r="Y74" s="2413"/>
      <c r="Z74" s="1218"/>
      <c r="AA74" s="1215"/>
      <c r="AB74" s="1226"/>
      <c r="AC74" s="1215"/>
      <c r="AD74" s="1226"/>
      <c r="AE74" s="1215"/>
      <c r="AF74" s="1218"/>
    </row>
    <row r="75" spans="1:32" ht="15.75" hidden="1" customHeight="1">
      <c r="A75" s="1210"/>
      <c r="B75" s="1222"/>
      <c r="C75" s="1222"/>
      <c r="D75" s="1222"/>
      <c r="E75" s="1222"/>
      <c r="F75" s="1222"/>
      <c r="G75" s="1222"/>
      <c r="H75" s="424"/>
      <c r="I75" s="424"/>
      <c r="J75" s="424"/>
      <c r="K75" s="424"/>
      <c r="L75" s="424"/>
      <c r="M75" s="424"/>
      <c r="N75" s="424"/>
      <c r="O75" s="424"/>
      <c r="P75" s="424"/>
      <c r="Q75" s="424"/>
      <c r="R75" s="424"/>
      <c r="S75" s="424"/>
      <c r="T75" s="424"/>
      <c r="U75" s="424"/>
      <c r="V75" s="424"/>
      <c r="AE75" s="1215"/>
      <c r="AF75" s="1218"/>
    </row>
    <row r="76" spans="1:32" ht="14.45" hidden="1" customHeight="1">
      <c r="A76" s="1210"/>
      <c r="B76" s="1222"/>
      <c r="C76" s="1222"/>
      <c r="D76" s="1222"/>
      <c r="E76" s="1222"/>
      <c r="F76" s="1222"/>
      <c r="G76" s="1222"/>
      <c r="H76" s="424"/>
      <c r="I76" s="424"/>
      <c r="J76" s="424"/>
      <c r="K76" s="424"/>
      <c r="L76" s="424"/>
      <c r="M76" s="424"/>
      <c r="N76" s="424"/>
      <c r="O76" s="424"/>
      <c r="P76" s="424"/>
      <c r="Q76" s="424"/>
      <c r="R76" s="424"/>
      <c r="S76" s="424"/>
      <c r="T76" s="424"/>
      <c r="U76" s="424"/>
      <c r="V76" s="424"/>
      <c r="AF76" s="1226"/>
    </row>
    <row r="77" spans="1:32" ht="15.75" hidden="1" customHeight="1">
      <c r="A77" s="1210"/>
      <c r="B77" s="1227"/>
      <c r="C77" s="1222"/>
      <c r="D77" s="1222"/>
      <c r="E77" s="1222"/>
      <c r="F77" s="1222"/>
      <c r="G77" s="1222"/>
      <c r="H77" s="424"/>
      <c r="I77" s="424"/>
      <c r="J77" s="424"/>
      <c r="K77" s="424"/>
      <c r="L77" s="424"/>
      <c r="M77" s="424"/>
      <c r="N77" s="424"/>
      <c r="O77" s="424"/>
      <c r="P77" s="424"/>
      <c r="Q77" s="424"/>
      <c r="R77" s="424"/>
      <c r="S77" s="424"/>
      <c r="T77" s="424"/>
      <c r="U77" s="424"/>
      <c r="V77" s="424"/>
    </row>
    <row r="78" spans="1:32" ht="15.75" hidden="1" customHeight="1">
      <c r="A78" s="1210"/>
      <c r="B78" s="1228"/>
      <c r="C78" s="1229"/>
      <c r="D78" s="1230"/>
      <c r="E78" s="1231"/>
      <c r="F78" s="1231"/>
      <c r="G78" s="1231"/>
      <c r="H78" s="1232"/>
      <c r="I78" s="1233"/>
      <c r="J78" s="1234"/>
      <c r="K78" s="1227"/>
      <c r="L78" s="1227"/>
      <c r="M78" s="1227"/>
      <c r="N78" s="1227"/>
      <c r="O78" s="1227"/>
      <c r="P78" s="1227"/>
      <c r="Q78" s="1227"/>
      <c r="R78" s="1227"/>
      <c r="S78" s="1227"/>
      <c r="T78" s="1227"/>
      <c r="U78" s="1227"/>
      <c r="V78" s="1227"/>
    </row>
    <row r="79" spans="1:32" ht="15.75" hidden="1" customHeight="1">
      <c r="A79" s="1235"/>
      <c r="B79" s="1235"/>
      <c r="C79" s="1235"/>
      <c r="D79" s="1235"/>
      <c r="E79" s="8"/>
      <c r="F79" s="8"/>
      <c r="G79" s="8"/>
      <c r="H79" s="408"/>
      <c r="I79" s="1236"/>
      <c r="J79" s="408"/>
      <c r="K79" s="398"/>
      <c r="L79" s="398"/>
      <c r="M79" s="398"/>
      <c r="N79" s="398"/>
      <c r="O79" s="398"/>
      <c r="P79" s="398"/>
      <c r="Q79" s="398"/>
      <c r="R79" s="398"/>
      <c r="S79" s="398"/>
      <c r="T79" s="398"/>
      <c r="U79" s="398"/>
      <c r="V79" s="398"/>
    </row>
    <row r="80" spans="1:32" hidden="1">
      <c r="A80" s="1220"/>
      <c r="B80" s="1220"/>
      <c r="C80" s="1220"/>
      <c r="D80" s="1220"/>
      <c r="E80" s="1220"/>
      <c r="F80" s="1220"/>
      <c r="G80" s="1220"/>
      <c r="H80" s="1220"/>
      <c r="J80" s="1220"/>
      <c r="K80" s="1220"/>
      <c r="L80" s="1220"/>
      <c r="M80" s="1220"/>
      <c r="N80" s="1220"/>
      <c r="O80" s="1220"/>
      <c r="P80" s="1220"/>
      <c r="Q80" s="1220"/>
      <c r="R80" s="1220"/>
      <c r="S80" s="1220"/>
      <c r="T80" s="1220"/>
      <c r="U80" s="1220"/>
      <c r="V80" s="1220"/>
    </row>
    <row r="81" spans="1:22" hidden="1">
      <c r="A81" s="1220"/>
      <c r="B81" s="1220"/>
      <c r="C81" s="1237"/>
      <c r="D81" s="1237"/>
      <c r="E81" s="1237"/>
      <c r="F81" s="1237"/>
      <c r="G81" s="1237"/>
      <c r="H81" s="1237"/>
      <c r="J81" s="1220"/>
      <c r="K81" s="1220"/>
      <c r="L81" s="1220"/>
      <c r="M81" s="1220"/>
      <c r="N81" s="1220"/>
      <c r="O81" s="1220"/>
      <c r="P81" s="1220"/>
      <c r="Q81" s="1220"/>
      <c r="R81" s="1220"/>
      <c r="S81" s="1220"/>
      <c r="T81" s="1220"/>
      <c r="U81" s="1220"/>
      <c r="V81" s="1220"/>
    </row>
    <row r="82" spans="1:22" hidden="1">
      <c r="A82" s="1220"/>
      <c r="B82" s="1220"/>
      <c r="C82" s="1237"/>
      <c r="D82" s="1237"/>
      <c r="E82" s="1237"/>
      <c r="F82" s="1237"/>
      <c r="G82" s="1237"/>
      <c r="H82" s="1237"/>
      <c r="J82" s="1220"/>
      <c r="K82" s="1220"/>
      <c r="L82" s="1220"/>
      <c r="M82" s="1220"/>
      <c r="N82" s="1220"/>
      <c r="O82" s="1220"/>
      <c r="P82" s="1220"/>
      <c r="Q82" s="1220"/>
      <c r="R82" s="1220"/>
      <c r="S82" s="1220"/>
      <c r="T82" s="1220"/>
      <c r="U82" s="1220"/>
      <c r="V82" s="1220"/>
    </row>
    <row r="83" spans="1:22" hidden="1">
      <c r="A83" s="1220"/>
      <c r="B83" s="1220"/>
      <c r="C83" s="1220"/>
      <c r="D83" s="1220"/>
      <c r="E83" s="1220"/>
      <c r="F83" s="1220"/>
      <c r="G83" s="1220"/>
      <c r="H83" s="1220"/>
      <c r="J83" s="1220"/>
      <c r="K83" s="1220"/>
      <c r="L83" s="1220"/>
      <c r="M83" s="1220"/>
      <c r="N83" s="1220"/>
      <c r="O83" s="1220"/>
      <c r="P83" s="1220"/>
      <c r="Q83" s="1220"/>
      <c r="R83" s="1220"/>
      <c r="S83" s="1220"/>
      <c r="T83" s="1220"/>
      <c r="U83" s="1220"/>
      <c r="V83" s="1220"/>
    </row>
    <row r="84" spans="1:22" ht="24" hidden="1" customHeight="1">
      <c r="A84" s="1220"/>
      <c r="B84" s="1220"/>
      <c r="C84" s="1220"/>
      <c r="D84" s="1220"/>
      <c r="E84" s="1220"/>
      <c r="F84" s="1220"/>
      <c r="G84" s="1220"/>
      <c r="H84" s="1220"/>
      <c r="J84" s="1220"/>
      <c r="K84" s="1220"/>
      <c r="L84" s="1220"/>
      <c r="M84" s="1220"/>
      <c r="N84" s="1220"/>
      <c r="O84" s="1220"/>
      <c r="P84" s="1220"/>
      <c r="Q84" s="1220"/>
      <c r="R84" s="1220"/>
      <c r="S84" s="1220"/>
      <c r="T84" s="1220"/>
      <c r="U84" s="1220"/>
      <c r="V84" s="1220"/>
    </row>
    <row r="85" spans="1:22" hidden="1">
      <c r="A85" s="1220"/>
      <c r="B85" s="1220"/>
      <c r="C85" s="1220"/>
      <c r="D85" s="1220"/>
      <c r="E85" s="1220"/>
      <c r="F85" s="1220"/>
      <c r="G85" s="1220"/>
      <c r="H85" s="1220"/>
      <c r="J85" s="1220"/>
      <c r="K85" s="1220"/>
      <c r="L85" s="1220"/>
      <c r="M85" s="1220"/>
      <c r="N85" s="1220"/>
      <c r="O85" s="1220"/>
      <c r="P85" s="1220"/>
      <c r="Q85" s="1220"/>
      <c r="R85" s="1220"/>
      <c r="S85" s="1220"/>
      <c r="T85" s="1220"/>
      <c r="U85" s="1220"/>
      <c r="V85" s="1220"/>
    </row>
    <row r="86" spans="1:22" ht="39.75" hidden="1" customHeight="1">
      <c r="A86" s="1220"/>
      <c r="B86" s="1220"/>
      <c r="C86" s="1220"/>
      <c r="D86" s="1220"/>
      <c r="E86" s="1220"/>
      <c r="F86" s="1220"/>
      <c r="G86" s="1220"/>
      <c r="H86" s="1220"/>
      <c r="J86" s="1220"/>
      <c r="K86" s="1220"/>
      <c r="L86" s="1220"/>
      <c r="M86" s="1220"/>
      <c r="N86" s="1220"/>
      <c r="O86" s="1220"/>
      <c r="P86" s="1220"/>
      <c r="Q86" s="1220"/>
      <c r="R86" s="1220"/>
      <c r="S86" s="1220"/>
      <c r="T86" s="1220"/>
      <c r="U86" s="1220"/>
      <c r="V86" s="1220"/>
    </row>
    <row r="87" spans="1:22" ht="35.25" hidden="1" customHeight="1"/>
    <row r="88" spans="1:22" ht="33.75" hidden="1" customHeight="1"/>
    <row r="89" spans="1:22" ht="31.5" hidden="1" customHeight="1"/>
    <row r="90" spans="1:22" ht="38.25" hidden="1" customHeight="1"/>
    <row r="97" ht="23.25" hidden="1" customHeight="1"/>
    <row r="98" ht="24.75" hidden="1" customHeight="1"/>
    <row r="114" ht="24" hidden="1" customHeight="1"/>
  </sheetData>
  <mergeCells count="33">
    <mergeCell ref="B1:K2"/>
    <mergeCell ref="B4:C4"/>
    <mergeCell ref="B37:D37"/>
    <mergeCell ref="E37:G37"/>
    <mergeCell ref="B48:C48"/>
    <mergeCell ref="J4:J5"/>
    <mergeCell ref="B3:C3"/>
    <mergeCell ref="D3:J3"/>
    <mergeCell ref="B23:C23"/>
    <mergeCell ref="B24:C24"/>
    <mergeCell ref="B25:C25"/>
    <mergeCell ref="I4:I5"/>
    <mergeCell ref="B7:C7"/>
    <mergeCell ref="B8:C8"/>
    <mergeCell ref="B22:C22"/>
    <mergeCell ref="E4:E5"/>
    <mergeCell ref="G4:G5"/>
    <mergeCell ref="H4:H5"/>
    <mergeCell ref="B5:C5"/>
    <mergeCell ref="F4:F5"/>
    <mergeCell ref="D4:D5"/>
    <mergeCell ref="B6:C6"/>
    <mergeCell ref="X74:Y74"/>
    <mergeCell ref="D62:F62"/>
    <mergeCell ref="X59:Y59"/>
    <mergeCell ref="B46:C46"/>
    <mergeCell ref="X60:Y60"/>
    <mergeCell ref="X71:Y71"/>
    <mergeCell ref="X61:Y61"/>
    <mergeCell ref="X62:Y62"/>
    <mergeCell ref="G59:H59"/>
    <mergeCell ref="X51:Y51"/>
    <mergeCell ref="B49:C49"/>
  </mergeCells>
  <pageMargins left="0.78740157480314965" right="0.78740157480314965" top="0.98425196850393704" bottom="0.98425196850393704" header="0.51181102362204722" footer="0.51181102362204722"/>
  <pageSetup paperSize="9" scale="39" orientation="landscape" verticalDpi="96" r:id="rId1"/>
  <headerFooter alignWithMargins="0">
    <oddHeader>&amp;CSeite &amp;P</oddHeader>
    <oddFooter>&amp;LDie Vorlage dieser Datei wurde  zur Verfügung gestellt durch Rüdiger ADAMY, Hannover&amp;R&amp;D</oddFooter>
  </headerFooter>
  <rowBreaks count="1" manualBreakCount="1">
    <brk id="70" max="16383" man="1"/>
  </rowBreak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3C812-55E6-4C9A-A89C-5E449EAD8233}">
  <sheetPr>
    <tabColor indexed="44"/>
    <pageSetUpPr autoPageBreaks="0" fitToPage="1"/>
  </sheetPr>
  <dimension ref="A1:AB102"/>
  <sheetViews>
    <sheetView showGridLines="0" showRuler="0" zoomScale="83" zoomScaleNormal="83" zoomScalePageLayoutView="50" workbookViewId="0">
      <selection activeCell="N3" sqref="N3"/>
    </sheetView>
  </sheetViews>
  <sheetFormatPr defaultColWidth="0" defaultRowHeight="12.75" zeroHeight="1"/>
  <cols>
    <col min="1" max="1" width="2.7109375" style="8" customWidth="1"/>
    <col min="2" max="2" width="8.7109375" style="8" customWidth="1"/>
    <col min="3" max="3" width="18.42578125" style="1203" customWidth="1"/>
    <col min="4" max="4" width="19.5703125" style="1235" customWidth="1"/>
    <col min="5" max="5" width="13.7109375" style="8" customWidth="1"/>
    <col min="6" max="6" width="13.140625" style="8" customWidth="1"/>
    <col min="7" max="7" width="12.28515625" style="408" customWidth="1"/>
    <col min="8" max="8" width="14.85546875" style="1236" customWidth="1"/>
    <col min="9" max="9" width="13.7109375" style="408" customWidth="1"/>
    <col min="10" max="11" width="2.140625" style="408" customWidth="1"/>
    <col min="12" max="12" width="9.7109375" style="408" customWidth="1"/>
    <col min="13" max="13" width="20.5703125" style="408" customWidth="1"/>
    <col min="14" max="14" width="10.28515625" style="408" customWidth="1"/>
    <col min="15" max="15" width="11.140625" style="8" bestFit="1" customWidth="1"/>
    <col min="16" max="16" width="7.5703125" style="8" customWidth="1"/>
    <col min="17" max="17" width="10.7109375" style="8" customWidth="1"/>
    <col min="18" max="18" width="10.28515625" style="8" customWidth="1"/>
    <col min="19" max="19" width="1.5703125" style="8" customWidth="1"/>
    <col min="20" max="20" width="22.85546875" style="8" customWidth="1"/>
    <col min="21" max="21" width="12" style="8" customWidth="1"/>
    <col min="22" max="22" width="11.42578125" style="8" customWidth="1"/>
    <col min="23" max="28" width="0" style="8" hidden="1" customWidth="1"/>
    <col min="29" max="16384" width="11.42578125" style="8" hidden="1"/>
  </cols>
  <sheetData>
    <row r="1" spans="1:28" ht="12.75" customHeight="1">
      <c r="A1" s="361"/>
      <c r="B1" s="2452" t="s">
        <v>657</v>
      </c>
      <c r="C1" s="2452"/>
      <c r="D1" s="2452"/>
      <c r="E1" s="2452"/>
      <c r="F1" s="2452"/>
      <c r="G1" s="2452"/>
      <c r="H1" s="2452"/>
      <c r="I1" s="2452"/>
      <c r="J1" s="2453"/>
      <c r="K1" s="2064"/>
      <c r="L1" s="362"/>
      <c r="M1" s="362"/>
      <c r="N1" s="362"/>
      <c r="O1" s="175"/>
      <c r="P1" s="175"/>
      <c r="Q1" s="175"/>
      <c r="R1" s="175"/>
      <c r="S1" s="176"/>
      <c r="T1" s="424"/>
      <c r="U1" s="424"/>
    </row>
    <row r="2" spans="1:28" ht="24.75" customHeight="1" thickBot="1">
      <c r="A2" s="363"/>
      <c r="B2" s="2434"/>
      <c r="C2" s="2434"/>
      <c r="D2" s="2434"/>
      <c r="E2" s="2434"/>
      <c r="F2" s="2434"/>
      <c r="G2" s="2434"/>
      <c r="H2" s="2434"/>
      <c r="I2" s="2434"/>
      <c r="J2" s="2454"/>
      <c r="K2" s="2055"/>
      <c r="L2" s="364"/>
      <c r="M2" s="364"/>
      <c r="N2" s="364"/>
      <c r="O2" s="364"/>
      <c r="P2" s="364"/>
      <c r="Q2" s="364"/>
      <c r="R2" s="364"/>
      <c r="S2" s="177"/>
      <c r="T2" s="424"/>
      <c r="U2" s="424"/>
      <c r="V2" s="366"/>
      <c r="W2" s="366"/>
      <c r="X2" s="366"/>
      <c r="Y2" s="366"/>
      <c r="Z2" s="366"/>
      <c r="AA2" s="366"/>
      <c r="AB2" s="366"/>
    </row>
    <row r="3" spans="1:28" ht="29.25" customHeight="1" thickBot="1">
      <c r="A3" s="363"/>
      <c r="B3" s="2478" t="s">
        <v>603</v>
      </c>
      <c r="C3" s="2479"/>
      <c r="D3" s="2480" t="s">
        <v>658</v>
      </c>
      <c r="E3" s="2460" t="s">
        <v>659</v>
      </c>
      <c r="F3" s="2460" t="s">
        <v>660</v>
      </c>
      <c r="G3" s="2477" t="s">
        <v>661</v>
      </c>
      <c r="H3" s="2463" t="s">
        <v>600</v>
      </c>
      <c r="I3" s="2472" t="s">
        <v>601</v>
      </c>
      <c r="J3" s="367"/>
      <c r="K3" s="368"/>
      <c r="L3" s="2465" t="s">
        <v>662</v>
      </c>
      <c r="M3" s="2466"/>
      <c r="N3" s="1822">
        <f>ZusammenführErgebn!C3</f>
        <v>2025</v>
      </c>
      <c r="O3" s="2062">
        <f>('Ertragsv. 2025'!O20-'Ertragsv. 2025'!O4+'Ertragsv. 2025'!O22+'Ertragsv. 2025'!O23)/12/ArbStd_MA!D23/ArbStd_MA!F49</f>
        <v>0</v>
      </c>
      <c r="P3" s="2482" t="s">
        <v>663</v>
      </c>
      <c r="Q3" s="2483"/>
      <c r="R3" s="2062">
        <f>'Ertragsv. 2025'!M41</f>
        <v>0</v>
      </c>
      <c r="S3" s="375"/>
      <c r="T3" s="1812"/>
      <c r="U3" s="1241"/>
      <c r="V3" s="366"/>
      <c r="W3" s="366"/>
      <c r="X3" s="366"/>
      <c r="Y3" s="366"/>
      <c r="Z3" s="366"/>
      <c r="AA3" s="366"/>
      <c r="AB3" s="366"/>
    </row>
    <row r="4" spans="1:28" ht="18.75" customHeight="1" thickBot="1">
      <c r="A4" s="363"/>
      <c r="B4" s="370"/>
      <c r="C4" s="216"/>
      <c r="D4" s="2481"/>
      <c r="E4" s="2476"/>
      <c r="F4" s="2461"/>
      <c r="G4" s="2476"/>
      <c r="H4" s="2464"/>
      <c r="I4" s="2473"/>
      <c r="J4" s="367"/>
      <c r="K4" s="368"/>
      <c r="L4" s="2465" t="s">
        <v>662</v>
      </c>
      <c r="M4" s="2466"/>
      <c r="N4" s="1822">
        <f>ZusammenführErgebn!D3</f>
        <v>2026</v>
      </c>
      <c r="O4" s="2062">
        <f>('Ertragsv. 2026'!O20-'Ertragsv. 2026'!O4+'Ertragsv. 2026'!O22+'Ertragsv. 2026'!O23)/12/ArbStd_MA!F23/ArbStd_MA!F49</f>
        <v>0</v>
      </c>
      <c r="P4" s="2482" t="s">
        <v>663</v>
      </c>
      <c r="Q4" s="2483"/>
      <c r="R4" s="2062">
        <f>'Ertragsv. 2026'!M40</f>
        <v>0</v>
      </c>
      <c r="S4" s="1813"/>
      <c r="T4" s="1812"/>
      <c r="U4" s="1241"/>
      <c r="V4" s="366"/>
      <c r="W4" s="366"/>
      <c r="X4" s="366"/>
      <c r="Y4" s="366"/>
      <c r="Z4" s="366"/>
      <c r="AA4" s="366"/>
      <c r="AB4" s="366"/>
    </row>
    <row r="5" spans="1:28" ht="24.6" customHeight="1" thickBot="1">
      <c r="A5" s="363"/>
      <c r="B5" s="371"/>
      <c r="C5" s="322"/>
      <c r="D5" s="291"/>
      <c r="E5" s="322"/>
      <c r="F5" s="322"/>
      <c r="G5" s="324"/>
      <c r="H5" s="372"/>
      <c r="I5" s="373"/>
      <c r="J5" s="367"/>
      <c r="K5" s="368"/>
      <c r="L5" s="2465" t="s">
        <v>662</v>
      </c>
      <c r="M5" s="2466"/>
      <c r="N5" s="1822">
        <f>ZusammenführErgebn!E3</f>
        <v>2027</v>
      </c>
      <c r="O5" s="2062">
        <f>('Ertragsv. 2027'!O20-'Ertragsv. 2027'!O4+'Ertragsv. 2027'!O22+'Ertragsv. 2027'!O23)/12/ArbStd_MA!H49/ArbStd_MA!H23</f>
        <v>0</v>
      </c>
      <c r="P5" s="2482" t="s">
        <v>663</v>
      </c>
      <c r="Q5" s="2483"/>
      <c r="R5" s="2062">
        <f>'Ertragsv. 2027'!M40</f>
        <v>0</v>
      </c>
      <c r="S5" s="1813"/>
      <c r="T5" s="1812"/>
      <c r="U5" s="1241"/>
      <c r="V5" s="366"/>
      <c r="W5" s="366"/>
      <c r="X5" s="366"/>
      <c r="Y5" s="366"/>
      <c r="Z5" s="366"/>
      <c r="AA5" s="366"/>
      <c r="AB5" s="366"/>
    </row>
    <row r="6" spans="1:28" ht="15.6" customHeight="1">
      <c r="A6" s="363"/>
      <c r="B6" s="371"/>
      <c r="C6" s="322"/>
      <c r="D6" s="291"/>
      <c r="E6" s="143"/>
      <c r="F6" s="143"/>
      <c r="G6" s="144"/>
      <c r="H6" s="311"/>
      <c r="I6" s="374"/>
      <c r="J6" s="367"/>
      <c r="K6" s="368"/>
      <c r="L6" s="369"/>
      <c r="M6" s="369"/>
      <c r="N6" s="369"/>
      <c r="O6" s="369"/>
      <c r="P6" s="369"/>
      <c r="Q6" s="369"/>
      <c r="R6" s="369"/>
      <c r="S6" s="375"/>
      <c r="T6" s="1222"/>
      <c r="U6" s="1222"/>
      <c r="V6" s="366"/>
      <c r="W6" s="366"/>
      <c r="X6" s="366"/>
      <c r="Y6" s="366"/>
      <c r="Z6" s="366"/>
      <c r="AA6" s="366"/>
      <c r="AB6" s="366"/>
    </row>
    <row r="7" spans="1:28" ht="6.75" customHeight="1">
      <c r="A7" s="363"/>
      <c r="B7" s="2424"/>
      <c r="C7" s="2425"/>
      <c r="D7" s="291"/>
      <c r="E7" s="143"/>
      <c r="F7" s="143"/>
      <c r="G7" s="144"/>
      <c r="H7" s="311"/>
      <c r="I7" s="374"/>
      <c r="J7" s="376"/>
      <c r="K7" s="369"/>
      <c r="L7" s="377"/>
      <c r="M7" s="378"/>
      <c r="N7" s="369"/>
      <c r="O7" s="2470"/>
      <c r="P7" s="2471"/>
      <c r="Q7" s="2471"/>
      <c r="R7" s="2471"/>
      <c r="S7" s="375"/>
      <c r="T7" s="1222"/>
      <c r="U7" s="1222"/>
      <c r="V7" s="379"/>
      <c r="W7" s="366"/>
      <c r="X7" s="366"/>
      <c r="Y7" s="366"/>
      <c r="Z7" s="366"/>
      <c r="AA7" s="379"/>
      <c r="AB7" s="366"/>
    </row>
    <row r="8" spans="1:28" ht="15.75" customHeight="1">
      <c r="A8" s="363"/>
      <c r="B8" s="371"/>
      <c r="C8" s="322"/>
      <c r="D8" s="725" t="s">
        <v>329</v>
      </c>
      <c r="E8" s="143"/>
      <c r="F8" s="143"/>
      <c r="G8" s="146">
        <v>125</v>
      </c>
      <c r="H8" s="147">
        <v>0.4</v>
      </c>
      <c r="I8" s="149">
        <f>G8*H8+G8</f>
        <v>175</v>
      </c>
      <c r="J8" s="376"/>
      <c r="K8" s="369"/>
      <c r="L8" s="380" t="s">
        <v>664</v>
      </c>
      <c r="M8" s="381"/>
      <c r="N8" s="382"/>
      <c r="O8" s="369"/>
      <c r="P8" s="369"/>
      <c r="Q8" s="369"/>
      <c r="R8" s="369"/>
      <c r="S8" s="375"/>
      <c r="T8" s="1222"/>
      <c r="U8" s="1222"/>
      <c r="V8" s="2066"/>
      <c r="W8" s="1242"/>
      <c r="X8" s="366"/>
      <c r="Y8" s="366"/>
      <c r="Z8" s="398"/>
      <c r="AA8" s="429"/>
      <c r="AB8" s="398"/>
    </row>
    <row r="9" spans="1:28" ht="15.75" customHeight="1" thickBot="1">
      <c r="A9" s="363"/>
      <c r="B9" s="2424"/>
      <c r="C9" s="2428"/>
      <c r="D9" s="725" t="s">
        <v>330</v>
      </c>
      <c r="E9" s="143"/>
      <c r="F9" s="143"/>
      <c r="G9" s="752">
        <v>8</v>
      </c>
      <c r="H9" s="53">
        <v>0.2</v>
      </c>
      <c r="I9" s="149">
        <f>G9*H9+G9</f>
        <v>9.6</v>
      </c>
      <c r="J9" s="376"/>
      <c r="K9" s="369"/>
      <c r="L9" s="1816" t="s">
        <v>665</v>
      </c>
      <c r="M9" s="1817"/>
      <c r="N9" s="1818"/>
      <c r="O9" s="378"/>
      <c r="P9" s="378"/>
      <c r="Q9" s="2063"/>
      <c r="R9" s="2063"/>
      <c r="S9" s="1814"/>
      <c r="T9" s="1222"/>
      <c r="U9" s="1222"/>
      <c r="V9" s="383"/>
      <c r="W9" s="1242"/>
      <c r="X9" s="366"/>
      <c r="Y9" s="366"/>
      <c r="Z9" s="398"/>
      <c r="AA9" s="429"/>
      <c r="AB9" s="398"/>
    </row>
    <row r="10" spans="1:28" ht="15.75" customHeight="1">
      <c r="A10" s="363"/>
      <c r="B10" s="384"/>
      <c r="C10" s="865"/>
      <c r="D10" s="725" t="s">
        <v>331</v>
      </c>
      <c r="E10" s="143"/>
      <c r="F10" s="143"/>
      <c r="G10" s="752">
        <v>15.5</v>
      </c>
      <c r="H10" s="53">
        <v>0.15</v>
      </c>
      <c r="I10" s="149">
        <f>G10*H10+G10</f>
        <v>17.824999999999999</v>
      </c>
      <c r="J10" s="376"/>
      <c r="K10" s="369"/>
      <c r="L10" s="2458" t="s">
        <v>666</v>
      </c>
      <c r="M10" s="2459"/>
      <c r="N10" s="1819">
        <f>(I14-G14)/E26</f>
        <v>10.465853658536583</v>
      </c>
      <c r="O10" s="369"/>
      <c r="P10" s="369"/>
      <c r="Q10" s="369"/>
      <c r="R10" s="369"/>
      <c r="S10" s="375"/>
      <c r="T10" s="1222"/>
      <c r="U10" s="1222"/>
      <c r="V10" s="385"/>
      <c r="W10" s="1242"/>
      <c r="X10" s="366"/>
      <c r="Y10" s="366"/>
      <c r="Z10" s="398"/>
      <c r="AA10" s="429"/>
      <c r="AB10" s="398"/>
    </row>
    <row r="11" spans="1:28" ht="15.75" customHeight="1">
      <c r="A11" s="363"/>
      <c r="B11" s="384"/>
      <c r="C11" s="865"/>
      <c r="D11" s="725" t="s">
        <v>332</v>
      </c>
      <c r="E11" s="143"/>
      <c r="F11" s="143"/>
      <c r="G11" s="752">
        <v>85</v>
      </c>
      <c r="H11" s="53">
        <v>0.55000000000000004</v>
      </c>
      <c r="I11" s="149">
        <f>G11*H11+G11</f>
        <v>131.75</v>
      </c>
      <c r="J11" s="376"/>
      <c r="K11" s="369"/>
      <c r="L11" s="2458" t="s">
        <v>667</v>
      </c>
      <c r="M11" s="2459"/>
      <c r="N11" s="1820">
        <f>F26</f>
        <v>37</v>
      </c>
      <c r="O11" s="369"/>
      <c r="P11" s="369"/>
      <c r="Q11" s="369"/>
      <c r="R11" s="369"/>
      <c r="S11" s="375"/>
      <c r="T11" s="1222"/>
      <c r="U11" s="1222"/>
      <c r="V11" s="385"/>
      <c r="W11" s="1242"/>
      <c r="X11" s="366"/>
      <c r="Y11" s="366"/>
      <c r="Z11" s="398"/>
      <c r="AA11" s="429"/>
      <c r="AB11" s="398"/>
    </row>
    <row r="12" spans="1:28" ht="15.75" customHeight="1" thickBot="1">
      <c r="A12" s="363"/>
      <c r="B12" s="384"/>
      <c r="C12" s="865"/>
      <c r="D12" s="725" t="s">
        <v>322</v>
      </c>
      <c r="E12" s="143"/>
      <c r="F12" s="143"/>
      <c r="G12" s="753">
        <v>12</v>
      </c>
      <c r="H12" s="148">
        <v>0.55000000000000004</v>
      </c>
      <c r="I12" s="149">
        <f>G12*H12+G12</f>
        <v>18.600000000000001</v>
      </c>
      <c r="J12" s="376"/>
      <c r="K12" s="369"/>
      <c r="L12" s="2474" t="s">
        <v>668</v>
      </c>
      <c r="M12" s="2475"/>
      <c r="N12" s="1821">
        <f>N10+N11</f>
        <v>47.465853658536581</v>
      </c>
      <c r="O12" s="369"/>
      <c r="P12" s="369"/>
      <c r="Q12" s="2063"/>
      <c r="R12" s="2063"/>
      <c r="S12" s="375"/>
      <c r="T12" s="1222"/>
      <c r="U12" s="1222"/>
      <c r="V12" s="385"/>
      <c r="W12" s="1242"/>
      <c r="X12" s="366"/>
      <c r="Y12" s="366"/>
      <c r="Z12" s="398"/>
      <c r="AA12" s="429"/>
      <c r="AB12" s="398"/>
    </row>
    <row r="13" spans="1:28" ht="18" customHeight="1" thickBot="1">
      <c r="A13" s="363"/>
      <c r="B13" s="384"/>
      <c r="C13" s="293"/>
      <c r="D13" s="291"/>
      <c r="E13" s="143"/>
      <c r="F13" s="143"/>
      <c r="G13" s="386"/>
      <c r="H13" s="311"/>
      <c r="I13" s="387"/>
      <c r="J13" s="376"/>
      <c r="K13" s="388"/>
      <c r="L13" s="388"/>
      <c r="M13" s="388"/>
      <c r="N13" s="388"/>
      <c r="O13" s="389"/>
      <c r="P13" s="389"/>
      <c r="Q13" s="389"/>
      <c r="R13" s="389"/>
      <c r="S13" s="1815"/>
      <c r="T13" s="1222"/>
      <c r="U13" s="1222"/>
      <c r="V13" s="385"/>
      <c r="W13" s="1242"/>
      <c r="X13" s="366"/>
      <c r="Y13" s="366"/>
      <c r="Z13" s="398"/>
      <c r="AA13" s="429"/>
      <c r="AB13" s="398"/>
    </row>
    <row r="14" spans="1:28" ht="15.75" customHeight="1" thickBot="1">
      <c r="A14" s="363"/>
      <c r="B14" s="390" t="s">
        <v>669</v>
      </c>
      <c r="C14" s="391"/>
      <c r="D14" s="392"/>
      <c r="E14" s="393"/>
      <c r="F14" s="393"/>
      <c r="G14" s="394">
        <f>SUM(G8:G13)</f>
        <v>245.5</v>
      </c>
      <c r="H14" s="395">
        <f>(I14-G14)/G14</f>
        <v>0.43696537678207731</v>
      </c>
      <c r="I14" s="396">
        <f>SUM(I8:I13)</f>
        <v>352.77499999999998</v>
      </c>
      <c r="J14" s="397"/>
      <c r="K14" s="398"/>
      <c r="L14" s="398"/>
      <c r="M14" s="379"/>
      <c r="N14" s="398"/>
      <c r="O14" s="2455"/>
      <c r="P14" s="2457"/>
      <c r="Q14" s="2457"/>
      <c r="R14" s="2457"/>
      <c r="S14" s="366"/>
      <c r="T14" s="366"/>
      <c r="U14" s="2455"/>
      <c r="V14" s="2456"/>
      <c r="W14" s="1242"/>
      <c r="X14" s="366"/>
      <c r="Y14" s="366"/>
      <c r="Z14" s="398"/>
      <c r="AA14" s="1242"/>
      <c r="AB14" s="398"/>
    </row>
    <row r="15" spans="1:28" ht="6.75" customHeight="1">
      <c r="A15" s="363"/>
      <c r="B15" s="399"/>
      <c r="C15" s="400"/>
      <c r="D15" s="291"/>
      <c r="E15" s="143"/>
      <c r="F15" s="143"/>
      <c r="G15" s="401"/>
      <c r="H15" s="402"/>
      <c r="I15" s="403"/>
      <c r="J15" s="397"/>
      <c r="K15" s="398"/>
      <c r="L15" s="398"/>
      <c r="M15" s="379"/>
      <c r="N15" s="398"/>
      <c r="O15" s="2065"/>
      <c r="P15" s="2067"/>
      <c r="Q15" s="2067"/>
      <c r="R15" s="2067"/>
      <c r="S15" s="366"/>
      <c r="T15" s="366"/>
      <c r="U15" s="2065"/>
      <c r="V15" s="2066"/>
      <c r="W15" s="1242"/>
      <c r="X15" s="366"/>
      <c r="Y15" s="366"/>
      <c r="Z15" s="398"/>
      <c r="AA15" s="1242"/>
      <c r="AB15" s="398"/>
    </row>
    <row r="16" spans="1:28" ht="30" customHeight="1">
      <c r="A16" s="363"/>
      <c r="B16" s="2468" t="s">
        <v>670</v>
      </c>
      <c r="C16" s="2469"/>
      <c r="D16" s="291"/>
      <c r="E16" s="143"/>
      <c r="F16" s="143"/>
      <c r="G16" s="401"/>
      <c r="H16" s="402"/>
      <c r="I16" s="403"/>
      <c r="J16" s="397"/>
      <c r="K16" s="398"/>
      <c r="L16" s="398"/>
      <c r="M16" s="379"/>
      <c r="N16" s="398"/>
      <c r="O16" s="2065"/>
      <c r="P16" s="2067"/>
      <c r="Q16" s="2067"/>
      <c r="R16" s="2067"/>
      <c r="S16" s="366"/>
      <c r="T16" s="366"/>
      <c r="U16" s="2065"/>
      <c r="V16" s="2066"/>
      <c r="W16" s="1242"/>
      <c r="X16" s="366"/>
      <c r="Y16" s="366"/>
      <c r="Z16" s="398"/>
      <c r="AA16" s="1242"/>
      <c r="AB16" s="398"/>
    </row>
    <row r="17" spans="1:28" ht="15.75" customHeight="1">
      <c r="A17" s="363"/>
      <c r="B17" s="2424"/>
      <c r="C17" s="2425"/>
      <c r="D17" s="730" t="s">
        <v>671</v>
      </c>
      <c r="E17" s="726"/>
      <c r="F17" s="304"/>
      <c r="G17" s="304"/>
      <c r="H17" s="304"/>
      <c r="I17" s="404"/>
      <c r="J17" s="376"/>
      <c r="K17" s="398"/>
      <c r="L17" s="398"/>
      <c r="M17" s="405"/>
      <c r="N17" s="398"/>
      <c r="O17" s="366"/>
      <c r="P17" s="366"/>
      <c r="Q17" s="366"/>
      <c r="R17" s="366"/>
      <c r="S17" s="366"/>
      <c r="T17" s="366"/>
      <c r="U17" s="366"/>
      <c r="V17" s="366"/>
      <c r="W17" s="366"/>
      <c r="X17" s="366"/>
      <c r="Y17" s="366"/>
      <c r="Z17" s="366"/>
      <c r="AA17" s="366"/>
      <c r="AB17" s="366"/>
    </row>
    <row r="18" spans="1:28" ht="15.75" customHeight="1">
      <c r="A18" s="363"/>
      <c r="B18" s="2424"/>
      <c r="C18" s="2425"/>
      <c r="D18" s="731" t="s">
        <v>672</v>
      </c>
      <c r="E18" s="732">
        <v>1</v>
      </c>
      <c r="F18" s="304"/>
      <c r="G18" s="304"/>
      <c r="H18" s="304"/>
      <c r="I18" s="404"/>
      <c r="J18" s="376"/>
      <c r="K18" s="398"/>
      <c r="L18" s="398"/>
      <c r="M18" s="379"/>
      <c r="N18" s="398"/>
      <c r="O18" s="406"/>
      <c r="P18" s="2067"/>
      <c r="Q18" s="2067"/>
      <c r="R18" s="2067"/>
      <c r="S18" s="366"/>
      <c r="T18" s="366"/>
      <c r="U18" s="366"/>
      <c r="V18" s="366"/>
      <c r="W18" s="366"/>
      <c r="X18" s="366"/>
      <c r="Y18" s="366"/>
      <c r="Z18" s="366"/>
      <c r="AA18" s="366"/>
      <c r="AB18" s="366"/>
    </row>
    <row r="19" spans="1:28" ht="15.75" customHeight="1">
      <c r="A19" s="363"/>
      <c r="B19" s="2424"/>
      <c r="C19" s="2425"/>
      <c r="D19" s="731" t="s">
        <v>673</v>
      </c>
      <c r="E19" s="732">
        <v>1</v>
      </c>
      <c r="F19" s="304"/>
      <c r="G19" s="304"/>
      <c r="H19" s="304"/>
      <c r="I19" s="404"/>
      <c r="J19" s="376"/>
      <c r="K19" s="398"/>
      <c r="L19" s="398"/>
      <c r="M19" s="379"/>
      <c r="N19" s="398"/>
      <c r="O19" s="406"/>
      <c r="P19" s="2067"/>
      <c r="Q19" s="2067"/>
      <c r="R19" s="2067"/>
      <c r="S19" s="2067"/>
      <c r="T19" s="366"/>
      <c r="U19" s="366"/>
      <c r="V19" s="366"/>
      <c r="W19" s="366"/>
      <c r="X19" s="366"/>
      <c r="Y19" s="366"/>
      <c r="Z19" s="366"/>
      <c r="AA19" s="366"/>
      <c r="AB19" s="366"/>
    </row>
    <row r="20" spans="1:28" ht="15.75" customHeight="1">
      <c r="A20" s="363"/>
      <c r="B20" s="2059"/>
      <c r="C20" s="2060"/>
      <c r="D20" s="731" t="s">
        <v>674</v>
      </c>
      <c r="E20" s="732">
        <v>1</v>
      </c>
      <c r="F20" s="304"/>
      <c r="G20" s="304"/>
      <c r="H20" s="304"/>
      <c r="I20" s="404"/>
      <c r="J20" s="376"/>
      <c r="K20" s="398"/>
      <c r="L20" s="398"/>
      <c r="M20" s="379"/>
      <c r="N20" s="398"/>
      <c r="O20" s="406"/>
      <c r="P20" s="2067"/>
      <c r="Q20" s="2067"/>
      <c r="R20" s="2067"/>
      <c r="S20" s="2067"/>
      <c r="T20" s="366"/>
      <c r="U20" s="366"/>
      <c r="V20" s="366"/>
      <c r="W20" s="366"/>
      <c r="X20" s="366"/>
      <c r="Y20" s="366"/>
      <c r="Z20" s="366"/>
      <c r="AA20" s="366"/>
      <c r="AB20" s="366"/>
    </row>
    <row r="21" spans="1:28" ht="15.75" customHeight="1">
      <c r="A21" s="363"/>
      <c r="B21" s="2059"/>
      <c r="C21" s="2060"/>
      <c r="D21" s="731" t="s">
        <v>675</v>
      </c>
      <c r="E21" s="732">
        <v>1</v>
      </c>
      <c r="F21" s="304"/>
      <c r="G21" s="304"/>
      <c r="H21" s="304"/>
      <c r="I21" s="404"/>
      <c r="J21" s="376"/>
      <c r="K21" s="398"/>
      <c r="L21" s="398"/>
      <c r="M21" s="379"/>
      <c r="N21" s="398"/>
      <c r="O21" s="406"/>
      <c r="P21" s="2067"/>
      <c r="Q21" s="2067"/>
      <c r="R21" s="2067"/>
      <c r="S21" s="2067"/>
      <c r="T21" s="366"/>
      <c r="U21" s="366"/>
      <c r="V21" s="366"/>
      <c r="W21" s="366"/>
      <c r="X21" s="366"/>
      <c r="Y21" s="366"/>
      <c r="Z21" s="366"/>
      <c r="AA21" s="366"/>
      <c r="AB21" s="366"/>
    </row>
    <row r="22" spans="1:28" ht="15.75" customHeight="1">
      <c r="A22" s="363"/>
      <c r="B22" s="2059"/>
      <c r="C22" s="2060"/>
      <c r="D22" s="731" t="s">
        <v>632</v>
      </c>
      <c r="E22" s="732">
        <v>3</v>
      </c>
      <c r="F22" s="304"/>
      <c r="G22" s="304"/>
      <c r="H22" s="304"/>
      <c r="I22" s="404"/>
      <c r="J22" s="376"/>
      <c r="K22" s="398"/>
      <c r="L22" s="398"/>
      <c r="M22" s="379"/>
      <c r="N22" s="398"/>
      <c r="O22" s="406"/>
      <c r="P22" s="2067"/>
      <c r="Q22" s="2067"/>
      <c r="R22" s="2067"/>
      <c r="S22" s="2067"/>
      <c r="T22" s="366"/>
      <c r="U22" s="366"/>
      <c r="V22" s="366"/>
      <c r="W22" s="366"/>
      <c r="X22" s="366"/>
      <c r="Y22" s="366"/>
      <c r="Z22" s="366"/>
      <c r="AA22" s="366"/>
      <c r="AB22" s="366"/>
    </row>
    <row r="23" spans="1:28" ht="15.75" customHeight="1">
      <c r="A23" s="363"/>
      <c r="B23" s="2059"/>
      <c r="C23" s="2060"/>
      <c r="D23" s="731" t="s">
        <v>632</v>
      </c>
      <c r="E23" s="732">
        <v>0.25</v>
      </c>
      <c r="F23" s="304"/>
      <c r="G23" s="304"/>
      <c r="H23" s="304"/>
      <c r="I23" s="404"/>
      <c r="J23" s="376"/>
      <c r="K23" s="398"/>
      <c r="L23" s="398"/>
      <c r="M23" s="379"/>
      <c r="N23" s="398"/>
      <c r="O23" s="406"/>
      <c r="P23" s="2067"/>
      <c r="Q23" s="2067"/>
      <c r="R23" s="2067"/>
      <c r="S23" s="2067"/>
      <c r="T23" s="366"/>
      <c r="U23" s="366"/>
      <c r="V23" s="366"/>
      <c r="W23" s="366"/>
      <c r="X23" s="366"/>
      <c r="Y23" s="366"/>
      <c r="Z23" s="366"/>
      <c r="AA23" s="366"/>
      <c r="AB23" s="366"/>
    </row>
    <row r="24" spans="1:28" ht="15.75" customHeight="1">
      <c r="A24" s="363"/>
      <c r="B24" s="2059"/>
      <c r="C24" s="2060"/>
      <c r="D24" s="733" t="s">
        <v>632</v>
      </c>
      <c r="E24" s="734">
        <v>3</v>
      </c>
      <c r="F24" s="304"/>
      <c r="G24" s="304"/>
      <c r="H24" s="304"/>
      <c r="I24" s="404"/>
      <c r="J24" s="376"/>
      <c r="K24" s="398"/>
      <c r="L24" s="398"/>
      <c r="M24" s="379"/>
      <c r="N24" s="398"/>
      <c r="O24" s="406"/>
      <c r="P24" s="2067"/>
      <c r="Q24" s="2067"/>
      <c r="R24" s="2067"/>
      <c r="S24" s="2067"/>
      <c r="T24" s="366"/>
      <c r="U24" s="366"/>
      <c r="V24" s="366"/>
      <c r="W24" s="366"/>
      <c r="X24" s="366"/>
      <c r="Y24" s="366"/>
      <c r="Z24" s="366"/>
      <c r="AA24" s="366"/>
      <c r="AB24" s="366"/>
    </row>
    <row r="25" spans="1:28" ht="6.75" customHeight="1">
      <c r="A25" s="363"/>
      <c r="B25" s="2059"/>
      <c r="C25" s="2060"/>
      <c r="D25" s="305"/>
      <c r="E25" s="143"/>
      <c r="F25" s="306"/>
      <c r="G25" s="304"/>
      <c r="H25" s="304"/>
      <c r="I25" s="404"/>
      <c r="J25" s="376"/>
      <c r="K25" s="398"/>
      <c r="L25" s="398"/>
      <c r="M25" s="379"/>
      <c r="N25" s="398"/>
      <c r="O25" s="406"/>
      <c r="P25" s="2067"/>
      <c r="Q25" s="2067"/>
      <c r="R25" s="2067"/>
      <c r="S25" s="2067"/>
      <c r="T25" s="366"/>
      <c r="U25" s="366"/>
      <c r="V25" s="366"/>
      <c r="W25" s="366"/>
      <c r="X25" s="366"/>
      <c r="Y25" s="366"/>
      <c r="Z25" s="366"/>
      <c r="AA25" s="366"/>
      <c r="AB25" s="366"/>
    </row>
    <row r="26" spans="1:28" ht="15.75" customHeight="1">
      <c r="A26" s="363"/>
      <c r="B26" s="2059"/>
      <c r="C26" s="2060"/>
      <c r="D26" s="307" t="s">
        <v>339</v>
      </c>
      <c r="E26" s="145">
        <f>SUM(E17:E25)</f>
        <v>10.25</v>
      </c>
      <c r="F26" s="407">
        <v>37</v>
      </c>
      <c r="G26" s="304"/>
      <c r="H26" s="304"/>
      <c r="I26" s="404"/>
      <c r="J26" s="376"/>
      <c r="K26" s="398"/>
      <c r="S26" s="2067"/>
      <c r="T26" s="366"/>
      <c r="U26" s="366"/>
      <c r="V26" s="366"/>
      <c r="W26" s="366"/>
      <c r="X26" s="366"/>
      <c r="Y26" s="366"/>
      <c r="Z26" s="366"/>
      <c r="AA26" s="366"/>
      <c r="AB26" s="366"/>
    </row>
    <row r="27" spans="1:28" ht="24.75" customHeight="1">
      <c r="A27" s="363"/>
      <c r="B27" s="2059"/>
      <c r="C27" s="2060"/>
      <c r="D27" s="309"/>
      <c r="E27" s="143"/>
      <c r="F27" s="310"/>
      <c r="G27" s="304"/>
      <c r="H27" s="304"/>
      <c r="I27" s="404"/>
      <c r="J27" s="376"/>
      <c r="K27" s="398"/>
      <c r="S27" s="2067"/>
      <c r="T27" s="366"/>
      <c r="U27" s="366"/>
      <c r="V27" s="366"/>
      <c r="W27" s="366"/>
      <c r="X27" s="366"/>
      <c r="Y27" s="366"/>
      <c r="Z27" s="366"/>
      <c r="AA27" s="366"/>
      <c r="AB27" s="366"/>
    </row>
    <row r="28" spans="1:28" ht="9.6" customHeight="1" thickBot="1">
      <c r="A28" s="363"/>
      <c r="B28" s="2059"/>
      <c r="C28" s="2060"/>
      <c r="D28" s="291"/>
      <c r="E28" s="143"/>
      <c r="F28" s="144"/>
      <c r="G28" s="144"/>
      <c r="H28" s="311"/>
      <c r="I28" s="409"/>
      <c r="J28" s="376"/>
      <c r="K28" s="398"/>
      <c r="L28" s="398"/>
      <c r="T28" s="366"/>
      <c r="U28" s="366"/>
      <c r="V28" s="366"/>
      <c r="W28" s="366"/>
      <c r="X28" s="366"/>
      <c r="Y28" s="366"/>
      <c r="Z28" s="366"/>
      <c r="AA28" s="366"/>
      <c r="AB28" s="366"/>
    </row>
    <row r="29" spans="1:28" ht="15.75" customHeight="1" thickBot="1">
      <c r="A29" s="363"/>
      <c r="B29" s="410" t="s">
        <v>676</v>
      </c>
      <c r="C29" s="411"/>
      <c r="D29" s="392"/>
      <c r="E29" s="393"/>
      <c r="F29" s="412"/>
      <c r="G29" s="412"/>
      <c r="H29" s="413"/>
      <c r="I29" s="414">
        <f>E26*F26</f>
        <v>379.25</v>
      </c>
      <c r="J29" s="376"/>
      <c r="K29" s="398"/>
      <c r="L29" s="398"/>
    </row>
    <row r="30" spans="1:28" ht="7.5" customHeight="1">
      <c r="A30" s="363"/>
      <c r="B30" s="370"/>
      <c r="C30" s="216"/>
      <c r="D30" s="269"/>
      <c r="E30" s="143"/>
      <c r="F30" s="143"/>
      <c r="G30" s="144"/>
      <c r="H30" s="311"/>
      <c r="I30" s="374"/>
      <c r="J30" s="376"/>
      <c r="K30" s="398"/>
      <c r="L30" s="398"/>
    </row>
    <row r="31" spans="1:28" ht="28.5" customHeight="1">
      <c r="A31" s="363"/>
      <c r="B31" s="2486" t="s">
        <v>635</v>
      </c>
      <c r="C31" s="2487"/>
      <c r="D31" s="2488"/>
      <c r="E31" s="2425"/>
      <c r="F31" s="2428"/>
      <c r="G31" s="415"/>
      <c r="H31" s="416"/>
      <c r="I31" s="403"/>
      <c r="J31" s="417"/>
      <c r="K31" s="21"/>
      <c r="L31" s="8"/>
      <c r="M31" s="8"/>
      <c r="N31" s="8"/>
    </row>
    <row r="32" spans="1:28" ht="16.149999999999999" customHeight="1">
      <c r="A32" s="363"/>
      <c r="B32" s="371"/>
      <c r="C32" s="322"/>
      <c r="D32" s="323" t="s">
        <v>636</v>
      </c>
      <c r="E32" s="293"/>
      <c r="F32" s="324"/>
      <c r="G32" s="144"/>
      <c r="H32" s="325"/>
      <c r="I32" s="418">
        <f>I14+I29</f>
        <v>732.02499999999998</v>
      </c>
      <c r="J32" s="417"/>
      <c r="K32" s="21"/>
      <c r="L32" s="8"/>
      <c r="M32" s="8"/>
      <c r="N32" s="8"/>
    </row>
    <row r="33" spans="1:14" ht="16.149999999999999" customHeight="1">
      <c r="A33" s="363"/>
      <c r="B33" s="371"/>
      <c r="C33" s="322"/>
      <c r="D33" s="2060" t="s">
        <v>637</v>
      </c>
      <c r="E33" s="293"/>
      <c r="F33" s="143"/>
      <c r="G33" s="293" t="s">
        <v>638</v>
      </c>
      <c r="H33" s="438">
        <v>0</v>
      </c>
      <c r="I33" s="418">
        <f>H33*I34</f>
        <v>0</v>
      </c>
      <c r="J33" s="417"/>
      <c r="K33" s="21"/>
      <c r="L33" s="8"/>
      <c r="M33" s="8"/>
      <c r="N33" s="8"/>
    </row>
    <row r="34" spans="1:14" ht="16.149999999999999" customHeight="1">
      <c r="A34" s="363"/>
      <c r="B34" s="371"/>
      <c r="C34" s="322"/>
      <c r="D34" s="2060" t="s">
        <v>639</v>
      </c>
      <c r="E34" s="2060"/>
      <c r="F34" s="143"/>
      <c r="G34" s="324"/>
      <c r="H34" s="325"/>
      <c r="I34" s="418">
        <f>I32/(1-H33)</f>
        <v>732.02499999999998</v>
      </c>
      <c r="J34" s="417"/>
      <c r="K34" s="21"/>
      <c r="L34" s="8"/>
      <c r="M34" s="8"/>
      <c r="N34" s="8"/>
    </row>
    <row r="35" spans="1:14" ht="16.149999999999999" customHeight="1">
      <c r="A35" s="363"/>
      <c r="B35" s="371"/>
      <c r="C35" s="322"/>
      <c r="D35" s="2060" t="s">
        <v>640</v>
      </c>
      <c r="E35" s="2060"/>
      <c r="F35" s="143"/>
      <c r="G35" s="324" t="s">
        <v>641</v>
      </c>
      <c r="H35" s="438">
        <v>0</v>
      </c>
      <c r="I35" s="418">
        <f>H35*I36</f>
        <v>0</v>
      </c>
      <c r="J35" s="417"/>
      <c r="K35" s="21"/>
      <c r="L35" s="8"/>
      <c r="M35" s="8"/>
      <c r="N35" s="8"/>
    </row>
    <row r="36" spans="1:14" ht="16.149999999999999" customHeight="1">
      <c r="A36" s="363"/>
      <c r="B36" s="371"/>
      <c r="C36" s="322"/>
      <c r="D36" s="2060" t="s">
        <v>642</v>
      </c>
      <c r="E36" s="2060"/>
      <c r="F36" s="143"/>
      <c r="G36" s="324"/>
      <c r="H36" s="325"/>
      <c r="I36" s="418">
        <f>I34/(1-H35)</f>
        <v>732.02499999999998</v>
      </c>
      <c r="J36" s="417"/>
      <c r="K36" s="21"/>
      <c r="L36" s="8"/>
      <c r="M36" s="8"/>
      <c r="N36" s="8"/>
    </row>
    <row r="37" spans="1:14" ht="16.149999999999999" customHeight="1" thickBot="1">
      <c r="A37" s="363"/>
      <c r="B37" s="371"/>
      <c r="C37" s="322"/>
      <c r="D37" s="2060"/>
      <c r="E37" s="2060"/>
      <c r="F37" s="324"/>
      <c r="G37" s="144"/>
      <c r="H37" s="305"/>
      <c r="I37" s="754"/>
      <c r="J37" s="417"/>
      <c r="K37" s="21"/>
      <c r="L37" s="8"/>
      <c r="M37" s="8"/>
      <c r="N37" s="8"/>
    </row>
    <row r="38" spans="1:14" ht="16.149999999999999" customHeight="1" thickBot="1">
      <c r="A38" s="363"/>
      <c r="B38" s="419" t="s">
        <v>643</v>
      </c>
      <c r="C38" s="332"/>
      <c r="D38" s="332"/>
      <c r="E38" s="331"/>
      <c r="F38" s="332"/>
      <c r="G38" s="333"/>
      <c r="H38" s="334"/>
      <c r="I38" s="335">
        <f>SUM(I36:I37)</f>
        <v>732.02499999999998</v>
      </c>
      <c r="J38" s="417"/>
      <c r="K38" s="21"/>
      <c r="L38" s="8"/>
      <c r="M38" s="8"/>
      <c r="N38" s="8"/>
    </row>
    <row r="39" spans="1:14" ht="32.25" customHeight="1">
      <c r="A39" s="363"/>
      <c r="B39" s="2484" t="s">
        <v>644</v>
      </c>
      <c r="C39" s="2485"/>
      <c r="D39" s="144"/>
      <c r="E39" s="322"/>
      <c r="F39" s="322"/>
      <c r="G39" s="305"/>
      <c r="H39" s="420"/>
      <c r="I39" s="421"/>
      <c r="J39" s="417"/>
      <c r="K39" s="21"/>
      <c r="L39" s="8"/>
      <c r="M39" s="8"/>
      <c r="N39" s="8"/>
    </row>
    <row r="40" spans="1:14" ht="16.149999999999999" customHeight="1">
      <c r="A40" s="363"/>
      <c r="B40" s="422"/>
      <c r="C40" s="326"/>
      <c r="D40" s="327"/>
      <c r="E40" s="326"/>
      <c r="F40" s="326"/>
      <c r="G40" s="328"/>
      <c r="H40" s="423"/>
      <c r="I40" s="421"/>
      <c r="J40" s="417"/>
      <c r="K40" s="21"/>
      <c r="L40" s="8"/>
      <c r="M40" s="8"/>
      <c r="N40" s="8"/>
    </row>
    <row r="41" spans="1:14" ht="16.149999999999999" customHeight="1">
      <c r="A41" s="363"/>
      <c r="B41" s="422"/>
      <c r="C41" s="326"/>
      <c r="D41" s="360" t="s">
        <v>677</v>
      </c>
      <c r="E41" s="143"/>
      <c r="F41" s="327"/>
      <c r="G41" s="327"/>
      <c r="H41" s="327"/>
      <c r="I41" s="439">
        <v>15</v>
      </c>
      <c r="J41" s="417"/>
      <c r="K41" s="21"/>
      <c r="L41" s="8"/>
      <c r="M41" s="8"/>
      <c r="N41" s="8"/>
    </row>
    <row r="42" spans="1:14" ht="15.75" customHeight="1">
      <c r="A42" s="363"/>
      <c r="B42" s="2443"/>
      <c r="C42" s="2444"/>
      <c r="D42" s="360" t="s">
        <v>678</v>
      </c>
      <c r="E42" s="143"/>
      <c r="F42" s="327"/>
      <c r="G42" s="327"/>
      <c r="H42" s="327"/>
      <c r="I42" s="439">
        <v>38</v>
      </c>
      <c r="J42" s="417"/>
      <c r="K42" s="21"/>
      <c r="L42" s="8"/>
      <c r="M42" s="8"/>
      <c r="N42" s="8"/>
    </row>
    <row r="43" spans="1:14" ht="15.75" customHeight="1">
      <c r="A43" s="363"/>
      <c r="B43" s="2422"/>
      <c r="C43" s="2423"/>
      <c r="D43" s="360" t="s">
        <v>543</v>
      </c>
      <c r="E43" s="143"/>
      <c r="F43" s="327"/>
      <c r="G43" s="327"/>
      <c r="H43" s="338"/>
      <c r="I43" s="440"/>
      <c r="J43" s="417"/>
      <c r="K43" s="424"/>
      <c r="L43" s="366"/>
      <c r="M43" s="8"/>
      <c r="N43" s="8"/>
    </row>
    <row r="44" spans="1:14" ht="15.75" customHeight="1">
      <c r="A44" s="363"/>
      <c r="B44" s="2057"/>
      <c r="C44" s="2058"/>
      <c r="D44" s="360" t="s">
        <v>649</v>
      </c>
      <c r="E44" s="143"/>
      <c r="F44" s="327"/>
      <c r="G44" s="327"/>
      <c r="H44" s="338"/>
      <c r="I44" s="440"/>
      <c r="J44" s="417"/>
      <c r="K44" s="424"/>
      <c r="L44" s="366"/>
      <c r="M44" s="8"/>
      <c r="N44" s="8"/>
    </row>
    <row r="45" spans="1:14" ht="15.75" customHeight="1">
      <c r="A45" s="363"/>
      <c r="B45" s="2057"/>
      <c r="C45" s="2058"/>
      <c r="D45" s="360" t="s">
        <v>649</v>
      </c>
      <c r="E45" s="143"/>
      <c r="F45" s="327"/>
      <c r="G45" s="327"/>
      <c r="H45" s="338"/>
      <c r="I45" s="440"/>
      <c r="J45" s="417"/>
      <c r="K45" s="424"/>
      <c r="L45" s="366"/>
      <c r="M45" s="8"/>
      <c r="N45" s="8"/>
    </row>
    <row r="46" spans="1:14" ht="15.75" customHeight="1">
      <c r="A46" s="363"/>
      <c r="B46" s="2057"/>
      <c r="C46" s="2058"/>
      <c r="D46" s="360"/>
      <c r="E46" s="143"/>
      <c r="F46" s="327"/>
      <c r="G46" s="327"/>
      <c r="H46" s="338"/>
      <c r="I46" s="440"/>
      <c r="J46" s="417"/>
      <c r="K46" s="424"/>
      <c r="L46" s="366"/>
      <c r="M46" s="8"/>
      <c r="N46" s="8"/>
    </row>
    <row r="47" spans="1:14" ht="15.75" customHeight="1">
      <c r="A47" s="363"/>
      <c r="B47" s="2057"/>
      <c r="C47" s="2058"/>
      <c r="D47" s="360"/>
      <c r="E47" s="143"/>
      <c r="F47" s="327"/>
      <c r="G47" s="327"/>
      <c r="H47" s="338"/>
      <c r="I47" s="440"/>
      <c r="J47" s="417"/>
      <c r="K47" s="424"/>
      <c r="L47" s="366"/>
      <c r="M47" s="8"/>
      <c r="N47" s="8"/>
    </row>
    <row r="48" spans="1:14" ht="19.899999999999999" customHeight="1">
      <c r="A48" s="363"/>
      <c r="B48" s="422"/>
      <c r="C48" s="2058"/>
      <c r="D48" s="360"/>
      <c r="E48" s="143"/>
      <c r="F48" s="327"/>
      <c r="G48" s="327"/>
      <c r="H48" s="338"/>
      <c r="I48" s="440"/>
      <c r="J48" s="417"/>
      <c r="K48" s="424"/>
      <c r="L48" s="366"/>
      <c r="M48" s="366"/>
      <c r="N48" s="8"/>
    </row>
    <row r="49" spans="1:20" ht="15" customHeight="1" thickBot="1">
      <c r="A49" s="363"/>
      <c r="B49" s="422"/>
      <c r="C49" s="2058"/>
      <c r="D49" s="360"/>
      <c r="E49" s="143"/>
      <c r="F49" s="327"/>
      <c r="G49" s="327"/>
      <c r="H49" s="338"/>
      <c r="I49" s="440"/>
      <c r="J49" s="417"/>
      <c r="K49" s="424"/>
      <c r="L49" s="366"/>
      <c r="M49" s="366"/>
      <c r="N49" s="8"/>
    </row>
    <row r="50" spans="1:20" ht="15.75" customHeight="1" thickBot="1">
      <c r="A50" s="363"/>
      <c r="B50" s="390" t="s">
        <v>650</v>
      </c>
      <c r="C50" s="425"/>
      <c r="D50" s="426"/>
      <c r="E50" s="393"/>
      <c r="F50" s="393"/>
      <c r="G50" s="412"/>
      <c r="H50" s="413"/>
      <c r="I50" s="414">
        <f>SUM(I41:I49)</f>
        <v>53</v>
      </c>
      <c r="J50" s="376"/>
      <c r="K50" s="398"/>
      <c r="L50" s="398"/>
      <c r="M50" s="398"/>
      <c r="N50" s="405"/>
      <c r="O50" s="366"/>
      <c r="P50" s="366"/>
      <c r="Q50" s="366"/>
      <c r="R50" s="366"/>
      <c r="S50" s="366"/>
    </row>
    <row r="51" spans="1:20" ht="15.6" customHeight="1" thickBot="1">
      <c r="A51" s="363"/>
      <c r="B51" s="371"/>
      <c r="C51" s="427"/>
      <c r="D51" s="428"/>
      <c r="E51" s="143"/>
      <c r="F51" s="143"/>
      <c r="G51" s="144"/>
      <c r="H51" s="311"/>
      <c r="I51" s="374"/>
      <c r="J51" s="376"/>
      <c r="K51" s="398"/>
      <c r="L51" s="398"/>
      <c r="M51" s="398"/>
      <c r="N51" s="405"/>
      <c r="O51" s="366"/>
      <c r="P51" s="366"/>
      <c r="Q51" s="366"/>
      <c r="R51" s="366"/>
      <c r="S51" s="366"/>
    </row>
    <row r="52" spans="1:20" ht="15.75" customHeight="1" thickBot="1">
      <c r="A52" s="363"/>
      <c r="B52" s="390" t="s">
        <v>679</v>
      </c>
      <c r="C52" s="425"/>
      <c r="D52" s="392"/>
      <c r="E52" s="393"/>
      <c r="F52" s="393"/>
      <c r="G52" s="412"/>
      <c r="H52" s="413"/>
      <c r="I52" s="414">
        <f>I38+I50</f>
        <v>785.02499999999998</v>
      </c>
      <c r="J52" s="376"/>
      <c r="K52" s="398"/>
      <c r="L52" s="398"/>
      <c r="M52" s="429"/>
      <c r="N52" s="398"/>
      <c r="O52" s="383"/>
      <c r="P52" s="366"/>
      <c r="Q52" s="366"/>
      <c r="R52" s="366"/>
      <c r="S52" s="366"/>
      <c r="T52" s="366"/>
    </row>
    <row r="53" spans="1:20" ht="16.899999999999999" customHeight="1" thickBot="1">
      <c r="A53" s="363"/>
      <c r="B53" s="430"/>
      <c r="C53" s="291"/>
      <c r="D53" s="431"/>
      <c r="E53" s="143"/>
      <c r="F53" s="143"/>
      <c r="G53" s="144"/>
      <c r="H53" s="311"/>
      <c r="I53" s="432"/>
      <c r="J53" s="376"/>
      <c r="K53" s="398"/>
      <c r="L53" s="398"/>
      <c r="M53" s="398"/>
      <c r="N53" s="398"/>
      <c r="O53" s="366"/>
      <c r="P53" s="366"/>
      <c r="Q53" s="366"/>
      <c r="R53" s="366"/>
      <c r="S53" s="366"/>
      <c r="T53" s="366"/>
    </row>
    <row r="54" spans="1:20" ht="15.75" customHeight="1" thickBot="1">
      <c r="A54" s="363"/>
      <c r="B54" s="390" t="s">
        <v>652</v>
      </c>
      <c r="C54" s="425"/>
      <c r="D54" s="392"/>
      <c r="E54" s="393"/>
      <c r="F54" s="393"/>
      <c r="G54" s="412"/>
      <c r="H54" s="433">
        <f>Deckblatt!C9</f>
        <v>0.19</v>
      </c>
      <c r="I54" s="414">
        <f>I52*H54</f>
        <v>149.15475000000001</v>
      </c>
      <c r="J54" s="376"/>
      <c r="K54" s="398"/>
      <c r="L54" s="398"/>
      <c r="M54" s="405"/>
      <c r="N54" s="405"/>
      <c r="O54" s="366"/>
      <c r="P54" s="366"/>
      <c r="Q54" s="366"/>
      <c r="R54" s="366"/>
      <c r="S54" s="366"/>
      <c r="T54" s="366"/>
    </row>
    <row r="55" spans="1:20" ht="12.6" customHeight="1" thickBot="1">
      <c r="A55" s="363"/>
      <c r="B55" s="430"/>
      <c r="C55" s="291"/>
      <c r="D55" s="291"/>
      <c r="E55" s="143"/>
      <c r="F55" s="143"/>
      <c r="G55" s="144"/>
      <c r="H55" s="311"/>
      <c r="I55" s="374"/>
      <c r="J55" s="376"/>
      <c r="K55" s="398"/>
      <c r="L55" s="398"/>
      <c r="M55" s="398"/>
      <c r="N55" s="398"/>
      <c r="O55" s="366"/>
      <c r="P55" s="366"/>
      <c r="Q55" s="366"/>
      <c r="R55" s="366"/>
      <c r="S55" s="366"/>
      <c r="T55" s="366"/>
    </row>
    <row r="56" spans="1:20" ht="15.75" customHeight="1" thickBot="1">
      <c r="A56" s="363"/>
      <c r="B56" s="390" t="s">
        <v>680</v>
      </c>
      <c r="C56" s="425"/>
      <c r="D56" s="392"/>
      <c r="E56" s="393"/>
      <c r="F56" s="393"/>
      <c r="G56" s="412"/>
      <c r="H56" s="413"/>
      <c r="I56" s="414">
        <f>I52+I54</f>
        <v>934.17975000000001</v>
      </c>
      <c r="J56" s="434"/>
      <c r="K56" s="398"/>
      <c r="L56" s="398"/>
      <c r="M56" s="398"/>
      <c r="N56" s="398"/>
      <c r="O56" s="366"/>
      <c r="P56" s="366"/>
      <c r="Q56" s="366"/>
      <c r="R56" s="366"/>
      <c r="S56" s="366"/>
      <c r="T56" s="366"/>
    </row>
    <row r="57" spans="1:20" ht="15.6" customHeight="1" thickBot="1">
      <c r="A57" s="435"/>
      <c r="B57" s="388"/>
      <c r="C57" s="388"/>
      <c r="D57" s="388"/>
      <c r="E57" s="388"/>
      <c r="F57" s="388"/>
      <c r="G57" s="436"/>
      <c r="H57" s="436"/>
      <c r="I57" s="436"/>
      <c r="J57" s="437"/>
      <c r="K57" s="366"/>
      <c r="L57" s="366"/>
      <c r="M57" s="8"/>
      <c r="N57" s="8"/>
    </row>
    <row r="58" spans="1:20" ht="15.75" customHeight="1">
      <c r="A58" s="424"/>
      <c r="B58" s="1222"/>
      <c r="C58" s="1222"/>
      <c r="D58" s="1222"/>
      <c r="E58" s="1222"/>
      <c r="F58" s="1222"/>
      <c r="G58" s="424"/>
      <c r="H58" s="424"/>
      <c r="I58" s="424"/>
      <c r="J58" s="424"/>
      <c r="K58" s="366"/>
      <c r="L58" s="366"/>
      <c r="M58" s="8"/>
      <c r="N58" s="8"/>
    </row>
    <row r="59" spans="1:20" ht="15.75" hidden="1" customHeight="1">
      <c r="A59" s="424"/>
      <c r="B59" s="1222"/>
      <c r="C59" s="1222"/>
      <c r="D59" s="1222"/>
      <c r="E59" s="1222"/>
      <c r="F59" s="1222"/>
      <c r="G59" s="424"/>
      <c r="H59" s="424"/>
      <c r="I59" s="424"/>
      <c r="J59" s="424"/>
      <c r="K59" s="366"/>
      <c r="L59" s="366"/>
      <c r="M59" s="8"/>
      <c r="N59" s="8"/>
    </row>
    <row r="60" spans="1:20" ht="15.75" hidden="1" customHeight="1">
      <c r="A60" s="424"/>
      <c r="B60" s="1222"/>
      <c r="C60" s="1222"/>
      <c r="D60" s="1222"/>
      <c r="E60" s="1222"/>
      <c r="F60" s="1222"/>
      <c r="G60" s="424"/>
      <c r="H60" s="424"/>
      <c r="I60" s="424"/>
      <c r="J60" s="424"/>
      <c r="K60" s="366"/>
      <c r="L60" s="366"/>
      <c r="M60" s="8"/>
      <c r="N60" s="8"/>
    </row>
    <row r="61" spans="1:20" ht="15.75" hidden="1" customHeight="1">
      <c r="A61" s="424"/>
      <c r="B61" s="1222"/>
      <c r="C61" s="1222"/>
      <c r="D61" s="1222"/>
      <c r="E61" s="1222"/>
      <c r="F61" s="1222"/>
      <c r="G61" s="424"/>
      <c r="H61" s="424"/>
      <c r="I61" s="424"/>
      <c r="J61" s="424"/>
      <c r="K61" s="366"/>
      <c r="L61" s="366"/>
      <c r="M61" s="8"/>
      <c r="N61" s="8"/>
    </row>
    <row r="62" spans="1:20" ht="15.6" hidden="1" customHeight="1">
      <c r="A62" s="424"/>
      <c r="B62" s="1222"/>
      <c r="C62" s="1222"/>
      <c r="D62" s="1222"/>
      <c r="E62" s="1222"/>
      <c r="F62" s="1222"/>
      <c r="G62" s="424"/>
      <c r="H62" s="424"/>
      <c r="I62" s="424"/>
      <c r="J62" s="424"/>
      <c r="K62" s="366"/>
      <c r="L62" s="366"/>
      <c r="M62" s="8"/>
      <c r="N62" s="8"/>
    </row>
    <row r="63" spans="1:20" ht="15.75" hidden="1" customHeight="1">
      <c r="A63" s="424"/>
      <c r="B63" s="1222"/>
      <c r="C63" s="1222"/>
      <c r="D63" s="1222"/>
      <c r="E63" s="1222"/>
      <c r="F63" s="1222"/>
      <c r="G63" s="424"/>
      <c r="H63" s="424"/>
      <c r="I63" s="424"/>
      <c r="J63" s="424"/>
      <c r="K63" s="366"/>
      <c r="L63" s="366"/>
      <c r="M63" s="8"/>
      <c r="N63" s="8"/>
    </row>
    <row r="64" spans="1:20" ht="14.45" hidden="1" customHeight="1">
      <c r="A64" s="424"/>
      <c r="B64" s="1222"/>
      <c r="C64" s="1222"/>
      <c r="D64" s="1222"/>
      <c r="E64" s="1222"/>
      <c r="F64" s="1222"/>
      <c r="G64" s="424"/>
      <c r="H64" s="424"/>
      <c r="I64" s="424"/>
      <c r="J64" s="424"/>
      <c r="K64" s="366"/>
      <c r="L64" s="366"/>
      <c r="M64" s="8"/>
      <c r="N64" s="8"/>
    </row>
    <row r="65" spans="1:20" ht="15.75" hidden="1" customHeight="1">
      <c r="A65" s="424"/>
      <c r="B65" s="1227"/>
      <c r="C65" s="1222"/>
      <c r="D65" s="1222"/>
      <c r="E65" s="1222"/>
      <c r="F65" s="1222"/>
      <c r="G65" s="424"/>
      <c r="H65" s="424"/>
      <c r="I65" s="424"/>
      <c r="J65" s="424"/>
      <c r="K65" s="366"/>
      <c r="L65" s="366"/>
      <c r="M65" s="8"/>
      <c r="N65" s="8"/>
    </row>
    <row r="66" spans="1:20" ht="15.75" hidden="1" customHeight="1">
      <c r="A66" s="424"/>
      <c r="B66" s="1228"/>
      <c r="C66" s="1229"/>
      <c r="D66" s="1230"/>
      <c r="E66" s="1231"/>
      <c r="F66" s="1231"/>
      <c r="G66" s="1232"/>
      <c r="H66" s="1233"/>
      <c r="I66" s="1234"/>
      <c r="J66" s="1227"/>
      <c r="K66" s="398"/>
      <c r="L66" s="398"/>
      <c r="M66" s="398"/>
      <c r="N66" s="398"/>
      <c r="O66" s="366"/>
      <c r="P66" s="366"/>
      <c r="Q66" s="366"/>
      <c r="R66" s="366"/>
      <c r="S66" s="366"/>
      <c r="T66" s="366"/>
    </row>
    <row r="67" spans="1:20" ht="15.75" hidden="1" customHeight="1">
      <c r="A67" s="1235"/>
      <c r="B67" s="1235"/>
      <c r="C67" s="1235"/>
      <c r="J67" s="398"/>
      <c r="K67" s="398"/>
      <c r="L67" s="2421"/>
      <c r="M67" s="2421"/>
      <c r="N67" s="398"/>
      <c r="O67" s="366"/>
      <c r="P67" s="366"/>
      <c r="Q67" s="366"/>
      <c r="R67" s="366"/>
      <c r="S67" s="366"/>
      <c r="T67" s="366"/>
    </row>
    <row r="68" spans="1:20" hidden="1">
      <c r="A68" s="1236"/>
      <c r="B68" s="1236"/>
      <c r="C68" s="1236"/>
      <c r="D68" s="1236"/>
      <c r="E68" s="1236"/>
      <c r="F68" s="1236"/>
      <c r="G68" s="1236"/>
      <c r="I68" s="1236"/>
      <c r="J68" s="1236"/>
      <c r="K68" s="398"/>
      <c r="L68" s="1236"/>
      <c r="M68" s="1236"/>
      <c r="N68" s="1236"/>
      <c r="O68" s="366"/>
      <c r="P68" s="366"/>
      <c r="Q68" s="366"/>
      <c r="R68" s="366"/>
      <c r="S68" s="366"/>
      <c r="T68" s="366"/>
    </row>
    <row r="69" spans="1:20" hidden="1">
      <c r="A69" s="1236"/>
      <c r="B69" s="1236"/>
      <c r="C69" s="1243"/>
      <c r="D69" s="1243"/>
      <c r="E69" s="1243"/>
      <c r="F69" s="1243"/>
      <c r="G69" s="1243"/>
      <c r="I69" s="1236"/>
      <c r="J69" s="1236"/>
      <c r="K69" s="398"/>
      <c r="L69" s="1236"/>
      <c r="M69" s="1236"/>
      <c r="N69" s="1236"/>
      <c r="O69" s="366"/>
      <c r="P69" s="366"/>
      <c r="Q69" s="366"/>
      <c r="R69" s="366"/>
      <c r="S69" s="366"/>
      <c r="T69" s="366"/>
    </row>
    <row r="70" spans="1:20" hidden="1">
      <c r="A70" s="1236"/>
      <c r="B70" s="1236"/>
      <c r="C70" s="1243"/>
      <c r="D70" s="1243"/>
      <c r="E70" s="1243"/>
      <c r="F70" s="1243"/>
      <c r="G70" s="1243"/>
      <c r="I70" s="1236"/>
      <c r="J70" s="1236"/>
      <c r="K70" s="398"/>
      <c r="L70" s="1236"/>
      <c r="M70" s="1236"/>
      <c r="N70" s="1236"/>
      <c r="O70" s="2067"/>
      <c r="P70" s="2067"/>
      <c r="Q70" s="2067"/>
      <c r="R70" s="2067"/>
      <c r="S70" s="366"/>
      <c r="T70" s="366"/>
    </row>
    <row r="71" spans="1:20" hidden="1">
      <c r="A71" s="1236"/>
      <c r="B71" s="1236"/>
      <c r="C71" s="1236"/>
      <c r="D71" s="1236"/>
      <c r="E71" s="1236"/>
      <c r="F71" s="1236"/>
      <c r="G71" s="1236"/>
      <c r="I71" s="1236"/>
      <c r="J71" s="1236"/>
      <c r="K71" s="398"/>
      <c r="L71" s="1236"/>
      <c r="M71" s="1236"/>
      <c r="N71" s="1236"/>
      <c r="O71" s="366"/>
      <c r="P71" s="366"/>
      <c r="Q71" s="398"/>
      <c r="R71" s="366"/>
      <c r="S71" s="2067"/>
      <c r="T71" s="366"/>
    </row>
    <row r="72" spans="1:20" ht="24" hidden="1" customHeight="1">
      <c r="A72" s="1236"/>
      <c r="B72" s="1236"/>
      <c r="C72" s="1236"/>
      <c r="D72" s="1236"/>
      <c r="E72" s="1236"/>
      <c r="F72" s="1236"/>
      <c r="G72" s="1236"/>
      <c r="I72" s="1236"/>
      <c r="J72" s="1236"/>
      <c r="K72" s="398"/>
      <c r="L72" s="1236"/>
      <c r="M72" s="1236"/>
      <c r="N72" s="1236"/>
      <c r="O72" s="398"/>
      <c r="P72" s="398"/>
      <c r="Q72" s="398"/>
      <c r="R72" s="398"/>
      <c r="S72" s="398"/>
      <c r="T72" s="366"/>
    </row>
    <row r="73" spans="1:20" hidden="1">
      <c r="A73" s="1236"/>
      <c r="B73" s="1236"/>
      <c r="C73" s="1236"/>
      <c r="D73" s="1236"/>
      <c r="E73" s="1236"/>
      <c r="F73" s="1236"/>
      <c r="G73" s="1236"/>
      <c r="I73" s="1236"/>
      <c r="J73" s="1236"/>
      <c r="K73" s="398"/>
      <c r="L73" s="1236"/>
      <c r="M73" s="1236"/>
      <c r="N73" s="1236"/>
      <c r="O73" s="366"/>
      <c r="P73" s="398"/>
      <c r="Q73" s="366"/>
      <c r="R73" s="398"/>
      <c r="S73" s="398"/>
      <c r="T73" s="366"/>
    </row>
    <row r="74" spans="1:20" ht="39.75" hidden="1" customHeight="1">
      <c r="A74" s="1236"/>
      <c r="B74" s="1236"/>
      <c r="C74" s="1236"/>
      <c r="D74" s="1236"/>
      <c r="E74" s="1236"/>
      <c r="F74" s="1236"/>
      <c r="G74" s="1236"/>
      <c r="I74" s="1236"/>
      <c r="J74" s="1236"/>
      <c r="K74" s="398"/>
      <c r="L74" s="1236"/>
      <c r="M74" s="1236"/>
      <c r="N74" s="1236"/>
      <c r="O74" s="366"/>
      <c r="P74" s="398"/>
      <c r="Q74" s="366"/>
      <c r="R74" s="398"/>
      <c r="S74" s="366"/>
      <c r="T74" s="398"/>
    </row>
    <row r="75" spans="1:20" ht="35.25" hidden="1" customHeight="1">
      <c r="K75" s="398"/>
      <c r="L75" s="2462"/>
      <c r="M75" s="2462"/>
      <c r="N75" s="398"/>
      <c r="O75" s="366"/>
      <c r="P75" s="398"/>
      <c r="Q75" s="366"/>
      <c r="R75" s="398"/>
      <c r="S75" s="366"/>
      <c r="T75" s="398"/>
    </row>
    <row r="76" spans="1:20" ht="33.75" hidden="1" customHeight="1">
      <c r="L76" s="2462"/>
      <c r="M76" s="2462"/>
      <c r="N76" s="398"/>
      <c r="O76" s="366"/>
      <c r="P76" s="398"/>
      <c r="Q76" s="366"/>
      <c r="R76" s="398"/>
      <c r="S76" s="366"/>
      <c r="T76" s="398"/>
    </row>
    <row r="77" spans="1:20" ht="31.5" hidden="1" customHeight="1">
      <c r="L77" s="2462"/>
      <c r="M77" s="2462"/>
      <c r="N77" s="398"/>
      <c r="O77" s="366"/>
      <c r="P77" s="398"/>
      <c r="Q77" s="366"/>
      <c r="R77" s="398"/>
      <c r="S77" s="366"/>
      <c r="T77" s="398"/>
    </row>
    <row r="78" spans="1:20" ht="38.25" hidden="1" customHeight="1">
      <c r="L78" s="2462"/>
      <c r="M78" s="2462"/>
      <c r="N78" s="398"/>
      <c r="O78" s="366"/>
      <c r="P78" s="398"/>
      <c r="Q78" s="366"/>
      <c r="R78" s="398"/>
      <c r="S78" s="366"/>
      <c r="T78" s="398"/>
    </row>
    <row r="79" spans="1:20" hidden="1">
      <c r="L79" s="398"/>
      <c r="M79" s="398"/>
      <c r="N79" s="398"/>
      <c r="O79" s="366"/>
      <c r="P79" s="398"/>
      <c r="Q79" s="366"/>
      <c r="R79" s="366"/>
      <c r="S79" s="366"/>
      <c r="T79" s="398"/>
    </row>
    <row r="80" spans="1:20" hidden="1">
      <c r="L80" s="398"/>
      <c r="M80" s="398"/>
      <c r="N80" s="398"/>
      <c r="O80" s="366"/>
      <c r="P80" s="366"/>
      <c r="Q80" s="366"/>
      <c r="R80" s="366"/>
      <c r="S80" s="366"/>
      <c r="T80" s="398"/>
    </row>
    <row r="81" spans="12:20" hidden="1">
      <c r="L81" s="2462"/>
      <c r="M81" s="2462"/>
      <c r="N81" s="398"/>
      <c r="O81" s="366"/>
      <c r="P81" s="398"/>
      <c r="Q81" s="366"/>
      <c r="R81" s="398"/>
      <c r="S81" s="366"/>
      <c r="T81" s="398"/>
    </row>
    <row r="82" spans="12:20" hidden="1">
      <c r="L82" s="398"/>
      <c r="M82" s="398"/>
      <c r="N82" s="398"/>
      <c r="O82" s="366"/>
      <c r="P82" s="366"/>
      <c r="Q82" s="366"/>
      <c r="R82" s="366"/>
      <c r="S82" s="366"/>
      <c r="T82" s="398"/>
    </row>
    <row r="83" spans="12:20" hidden="1">
      <c r="L83" s="366"/>
      <c r="M83" s="1244"/>
      <c r="N83" s="1245"/>
      <c r="O83" s="366"/>
      <c r="P83" s="398"/>
      <c r="Q83" s="366"/>
      <c r="R83" s="398"/>
      <c r="S83" s="366"/>
      <c r="T83" s="398"/>
    </row>
    <row r="84" spans="12:20" hidden="1">
      <c r="L84" s="2467"/>
      <c r="M84" s="2467"/>
      <c r="N84" s="398"/>
      <c r="O84" s="366"/>
      <c r="P84" s="405"/>
      <c r="Q84" s="366"/>
      <c r="R84" s="405"/>
      <c r="S84" s="366"/>
      <c r="T84" s="398"/>
    </row>
    <row r="85" spans="12:20" ht="23.25" hidden="1" customHeight="1">
      <c r="S85" s="366"/>
      <c r="T85" s="398"/>
    </row>
    <row r="86" spans="12:20" ht="24.75" hidden="1" customHeight="1">
      <c r="T86" s="405"/>
    </row>
    <row r="102" ht="24" hidden="1" customHeight="1"/>
  </sheetData>
  <customSheetViews>
    <customSheetView guid="{A57FB75A-A9C6-4363-92C4-C633F764E6EC}" showRuler="0">
      <pane ySplit="4" topLeftCell="A5" activePane="bottomLeft" state="frozen"/>
      <selection pane="bottomLeft" activeCell="K3" sqref="K3"/>
      <pageMargins left="0" right="0" top="0" bottom="0" header="0" footer="0"/>
      <pageSetup paperSize="9" orientation="portrait" horizontalDpi="4294967293" verticalDpi="96" r:id="rId1"/>
      <headerFooter alignWithMargins="0"/>
    </customSheetView>
    <customSheetView guid="{FC62AB03-1E1B-40DD-97B7-FC10FADA3A15}">
      <pane ySplit="4" topLeftCell="A5" activePane="bottomLeft" state="frozen"/>
      <selection pane="bottomLeft" sqref="A1:A34"/>
      <pageMargins left="0" right="0" top="0" bottom="0" header="0" footer="0"/>
      <pageSetup paperSize="9" orientation="portrait" horizontalDpi="4294967293" verticalDpi="96" r:id="rId2"/>
      <headerFooter alignWithMargins="0"/>
    </customSheetView>
  </customSheetViews>
  <mergeCells count="38">
    <mergeCell ref="B43:C43"/>
    <mergeCell ref="B42:C42"/>
    <mergeCell ref="B17:C17"/>
    <mergeCell ref="B19:C19"/>
    <mergeCell ref="E31:F31"/>
    <mergeCell ref="B39:C39"/>
    <mergeCell ref="B31:D31"/>
    <mergeCell ref="B18:C18"/>
    <mergeCell ref="B16:C16"/>
    <mergeCell ref="B7:C7"/>
    <mergeCell ref="L5:M5"/>
    <mergeCell ref="O7:R7"/>
    <mergeCell ref="I3:I4"/>
    <mergeCell ref="L12:M12"/>
    <mergeCell ref="E3:E4"/>
    <mergeCell ref="G3:G4"/>
    <mergeCell ref="B3:C3"/>
    <mergeCell ref="D3:D4"/>
    <mergeCell ref="P3:Q3"/>
    <mergeCell ref="P4:Q4"/>
    <mergeCell ref="P5:Q5"/>
    <mergeCell ref="L84:M84"/>
    <mergeCell ref="L75:M75"/>
    <mergeCell ref="L76:M76"/>
    <mergeCell ref="L77:M77"/>
    <mergeCell ref="L78:M78"/>
    <mergeCell ref="L67:M67"/>
    <mergeCell ref="L81:M81"/>
    <mergeCell ref="H3:H4"/>
    <mergeCell ref="L3:M3"/>
    <mergeCell ref="L4:M4"/>
    <mergeCell ref="B1:J2"/>
    <mergeCell ref="U14:V14"/>
    <mergeCell ref="O14:R14"/>
    <mergeCell ref="B9:C9"/>
    <mergeCell ref="L10:M10"/>
    <mergeCell ref="L11:M11"/>
    <mergeCell ref="F3:F4"/>
  </mergeCells>
  <phoneticPr fontId="0" type="noConversion"/>
  <pageMargins left="0.78740157480314965" right="0.78740157480314965" top="0.98425196850393704" bottom="0.98425196850393704" header="0.51181102362204722" footer="0.51181102362204722"/>
  <pageSetup paperSize="9" scale="73" orientation="portrait" horizontalDpi="4294967293" verticalDpi="96" r:id="rId3"/>
  <headerFooter alignWithMargins="0">
    <oddHeader>&amp;CSeite &amp;P</oddHeader>
    <oddFooter>&amp;LDie Vorlage dieser Datei wurde  zur Verfügung gestellt durch Rüdiger ADAMY, Hannover&amp;R&amp;D</oddFooter>
  </headerFooter>
  <rowBreaks count="1" manualBreakCount="1">
    <brk id="57" max="9" man="1"/>
  </rowBreaks>
  <legacyDrawing r:id="rId4"/>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DD9C1-530C-4ACB-ADD3-FC0AB368E096}">
  <sheetPr>
    <tabColor indexed="44"/>
    <pageSetUpPr fitToPage="1"/>
  </sheetPr>
  <dimension ref="A1:L74"/>
  <sheetViews>
    <sheetView showGridLines="0" topLeftCell="A28" zoomScale="85" zoomScaleNormal="85" zoomScalePageLayoutView="50" workbookViewId="0">
      <selection activeCell="B25" sqref="B25"/>
    </sheetView>
  </sheetViews>
  <sheetFormatPr defaultColWidth="11.42578125" defaultRowHeight="12.75"/>
  <cols>
    <col min="1" max="1" width="1.42578125" style="366" customWidth="1"/>
    <col min="2" max="2" width="36.140625" style="366" customWidth="1"/>
    <col min="3" max="11" width="18.7109375" style="8" customWidth="1"/>
    <col min="12" max="12" width="2.140625" style="8" customWidth="1"/>
    <col min="13" max="16384" width="11.42578125" style="8"/>
  </cols>
  <sheetData>
    <row r="1" spans="1:12" ht="15.75" customHeight="1" thickTop="1">
      <c r="A1" s="532"/>
      <c r="B1" s="2491" t="s">
        <v>681</v>
      </c>
      <c r="C1" s="2495"/>
      <c r="D1" s="2495"/>
      <c r="E1" s="2495"/>
      <c r="F1" s="2495"/>
      <c r="G1" s="2495"/>
      <c r="H1" s="2495"/>
      <c r="I1" s="533"/>
      <c r="J1" s="533"/>
      <c r="K1" s="2496"/>
      <c r="L1" s="534"/>
    </row>
    <row r="2" spans="1:12" ht="15.6" customHeight="1" thickBot="1">
      <c r="A2" s="535"/>
      <c r="B2" s="2434"/>
      <c r="C2" s="2434"/>
      <c r="D2" s="2434"/>
      <c r="E2" s="2434"/>
      <c r="F2" s="2434"/>
      <c r="G2" s="2434"/>
      <c r="H2" s="2434"/>
      <c r="I2" s="536"/>
      <c r="J2" s="536"/>
      <c r="K2" s="2497"/>
      <c r="L2" s="537"/>
    </row>
    <row r="3" spans="1:12" ht="22.15" customHeight="1">
      <c r="A3" s="535"/>
      <c r="B3" s="755"/>
      <c r="C3" s="2498">
        <f>ZusammenführErgebn!C3</f>
        <v>2025</v>
      </c>
      <c r="D3" s="2499"/>
      <c r="E3" s="2500"/>
      <c r="F3" s="2498">
        <f>ZusammenführErgebn!D3</f>
        <v>2026</v>
      </c>
      <c r="G3" s="2499"/>
      <c r="H3" s="2500"/>
      <c r="I3" s="2498">
        <f>ZusammenführErgebn!E3</f>
        <v>2027</v>
      </c>
      <c r="J3" s="2499"/>
      <c r="K3" s="2501"/>
      <c r="L3" s="537"/>
    </row>
    <row r="4" spans="1:12" ht="38.25">
      <c r="A4" s="535"/>
      <c r="B4" s="770" t="s">
        <v>585</v>
      </c>
      <c r="C4" s="538" t="s">
        <v>586</v>
      </c>
      <c r="D4" s="539" t="s">
        <v>587</v>
      </c>
      <c r="E4" s="540" t="s">
        <v>590</v>
      </c>
      <c r="F4" s="538" t="s">
        <v>589</v>
      </c>
      <c r="G4" s="539" t="s">
        <v>587</v>
      </c>
      <c r="H4" s="540" t="s">
        <v>590</v>
      </c>
      <c r="I4" s="538" t="s">
        <v>591</v>
      </c>
      <c r="J4" s="539" t="s">
        <v>587</v>
      </c>
      <c r="K4" s="756" t="s">
        <v>590</v>
      </c>
      <c r="L4" s="537"/>
    </row>
    <row r="5" spans="1:12" ht="19.5" customHeight="1">
      <c r="A5" s="535"/>
      <c r="B5" s="757" t="s">
        <v>594</v>
      </c>
      <c r="C5" s="526">
        <v>3.5</v>
      </c>
      <c r="D5" s="541" t="e">
        <f>IF('Ertragsv. 2025'!P4&gt;0,('Ertragsv. 2025'!P20-'Ertragsv. 2025'!P4+'Ertragsv. 2025'!P22+'Ertragsv. 2025'!P23)*100/'Ertragsv. 2025'!P4,"0")</f>
        <v>#DIV/0!</v>
      </c>
      <c r="E5" s="542" t="e">
        <f>C5*D5%+C5</f>
        <v>#DIV/0!</v>
      </c>
      <c r="F5" s="527">
        <v>3.5</v>
      </c>
      <c r="G5" s="541" t="e">
        <f>IF('Ertragsv. 2026'!P4&gt;0,('Ertragsv. 2026'!P20-'Ertragsv. 2026'!P4+'Ertragsv. 2026'!P22+'Ertragsv. 2026'!P23)*100/'Ertragsv. 2026'!P4,"0")</f>
        <v>#DIV/0!</v>
      </c>
      <c r="H5" s="542" t="e">
        <f>F5*G5%+F5</f>
        <v>#DIV/0!</v>
      </c>
      <c r="I5" s="526">
        <v>3.5</v>
      </c>
      <c r="J5" s="541" t="e">
        <f>IF('Ertragsv. 2027'!P4&gt;0,('Ertragsv. 2027'!P20-'Ertragsv. 2027'!P4+'Ertragsv. 2027'!P22+'Ertragsv. 2027'!P23)*100/'Ertragsv. 2027'!P4,"0")</f>
        <v>#DIV/0!</v>
      </c>
      <c r="K5" s="758" t="e">
        <f>I5*J5%+I5</f>
        <v>#DIV/0!</v>
      </c>
      <c r="L5" s="537"/>
    </row>
    <row r="6" spans="1:12" ht="21.75" customHeight="1" thickBot="1">
      <c r="A6" s="535"/>
      <c r="B6" s="757" t="s">
        <v>602</v>
      </c>
      <c r="C6" s="526">
        <v>3.5</v>
      </c>
      <c r="D6" s="543" t="e">
        <f>IF('Ertragsv. 2025'!P4&gt;0,('Ertragsv. 2025'!C43+'Ertragsv. 2025'!D43+'Ertragsv. 2025'!E43+'Ertragsv. 2025'!F43+'Ertragsv. 2025'!G43+'Ertragsv. 2025'!H43+'Ertragsv. 2025'!I43+'Ertragsv. 2025'!J43+'Ertragsv. 2025'!K43)*12/'Ertragsv. 2025'!O4%,"0")</f>
        <v>#DIV/0!</v>
      </c>
      <c r="E6" s="544" t="e">
        <f>C6*D6%+C6</f>
        <v>#DIV/0!</v>
      </c>
      <c r="F6" s="527">
        <v>3.5</v>
      </c>
      <c r="G6" s="545" t="e">
        <f>IF('Ertragsv. 2026'!P4&gt;0,('Ertragsv. 2026'!C42+'Ertragsv. 2026'!D42+'Ertragsv. 2026'!E42+'Ertragsv. 2026'!F42+'Ertragsv. 2026'!G42+'Ertragsv. 2026'!H42+'Ertragsv. 2026'!I42+'Ertragsv. 2026'!J42+'Ertragsv. 2026'!K42)*12/'Ertragsv. 2026'!O4%,"0")</f>
        <v>#DIV/0!</v>
      </c>
      <c r="H6" s="544" t="e">
        <f>F6*G6%+F6</f>
        <v>#DIV/0!</v>
      </c>
      <c r="I6" s="526">
        <v>3.5</v>
      </c>
      <c r="J6" s="543" t="e">
        <f>IF('Ertragsv. 2027'!P4&gt;0,('Ertragsv. 2027'!C42+'Ertragsv. 2027'!D42+'Ertragsv. 2027'!E42+'Ertragsv. 2027'!F42+'Ertragsv. 2027'!G42+'Ertragsv. 2027'!H42+'Ertragsv. 2027'!K42+'Ertragsv. 2027'!I42+'Ertragsv. 2027'!J42)*12/'Ertragsv. 2027'!O4%,"0")</f>
        <v>#DIV/0!</v>
      </c>
      <c r="K6" s="759" t="e">
        <f>I6*J6%+I6</f>
        <v>#DIV/0!</v>
      </c>
      <c r="L6" s="537"/>
    </row>
    <row r="7" spans="1:12" ht="15.75" customHeight="1">
      <c r="A7" s="535"/>
      <c r="B7" s="2059"/>
      <c r="C7" s="546"/>
      <c r="D7" s="415"/>
      <c r="E7" s="547"/>
      <c r="F7" s="546"/>
      <c r="G7" s="548"/>
      <c r="H7" s="547"/>
      <c r="I7" s="546"/>
      <c r="J7" s="415"/>
      <c r="K7" s="738"/>
      <c r="L7" s="537"/>
    </row>
    <row r="8" spans="1:12" ht="26.25" customHeight="1">
      <c r="A8" s="535"/>
      <c r="B8" s="760" t="s">
        <v>682</v>
      </c>
      <c r="C8" s="549"/>
      <c r="D8" s="550"/>
      <c r="E8" s="547"/>
      <c r="F8" s="546"/>
      <c r="G8" s="548"/>
      <c r="H8" s="547"/>
      <c r="I8" s="546"/>
      <c r="J8" s="415"/>
      <c r="K8" s="738"/>
      <c r="L8" s="537"/>
    </row>
    <row r="9" spans="1:12" ht="16.149999999999999" customHeight="1">
      <c r="A9" s="535"/>
      <c r="B9" s="757" t="s">
        <v>683</v>
      </c>
      <c r="C9" s="551" t="s">
        <v>608</v>
      </c>
      <c r="D9" s="552"/>
      <c r="E9" s="553">
        <f>C6</f>
        <v>3.5</v>
      </c>
      <c r="F9" s="551" t="s">
        <v>608</v>
      </c>
      <c r="G9" s="552"/>
      <c r="H9" s="553">
        <f>F6</f>
        <v>3.5</v>
      </c>
      <c r="I9" s="551" t="s">
        <v>608</v>
      </c>
      <c r="J9" s="552"/>
      <c r="K9" s="761">
        <f>I6</f>
        <v>3.5</v>
      </c>
      <c r="L9" s="537"/>
    </row>
    <row r="10" spans="1:12" ht="16.149999999999999" customHeight="1">
      <c r="A10" s="535"/>
      <c r="B10" s="757" t="s">
        <v>684</v>
      </c>
      <c r="C10" s="554" t="s">
        <v>685</v>
      </c>
      <c r="D10" s="555" t="e">
        <f>D6</f>
        <v>#DIV/0!</v>
      </c>
      <c r="E10" s="553" t="e">
        <f>D10%*E9</f>
        <v>#DIV/0!</v>
      </c>
      <c r="F10" s="554" t="s">
        <v>685</v>
      </c>
      <c r="G10" s="555" t="e">
        <f>G6</f>
        <v>#DIV/0!</v>
      </c>
      <c r="H10" s="553" t="e">
        <f>G10%*H9</f>
        <v>#DIV/0!</v>
      </c>
      <c r="I10" s="554" t="s">
        <v>686</v>
      </c>
      <c r="J10" s="555" t="e">
        <f>J6</f>
        <v>#DIV/0!</v>
      </c>
      <c r="K10" s="761" t="e">
        <f>J10%*K9</f>
        <v>#DIV/0!</v>
      </c>
      <c r="L10" s="537"/>
    </row>
    <row r="11" spans="1:12" ht="16.149999999999999" customHeight="1">
      <c r="A11" s="535"/>
      <c r="B11" s="762" t="s">
        <v>636</v>
      </c>
      <c r="C11" s="551"/>
      <c r="D11" s="552"/>
      <c r="E11" s="553" t="e">
        <f>SUM(E9:E10)</f>
        <v>#DIV/0!</v>
      </c>
      <c r="F11" s="551"/>
      <c r="G11" s="552"/>
      <c r="H11" s="553" t="e">
        <f>SUM(H9:H10)</f>
        <v>#DIV/0!</v>
      </c>
      <c r="I11" s="551"/>
      <c r="J11" s="552"/>
      <c r="K11" s="761" t="e">
        <f>SUM(K9:K10)</f>
        <v>#DIV/0!</v>
      </c>
      <c r="L11" s="537"/>
    </row>
    <row r="12" spans="1:12" ht="16.149999999999999" customHeight="1">
      <c r="A12" s="535"/>
      <c r="B12" s="757" t="s">
        <v>687</v>
      </c>
      <c r="C12" s="556" t="s">
        <v>638</v>
      </c>
      <c r="D12" s="602">
        <v>0.02</v>
      </c>
      <c r="E12" s="553" t="e">
        <f>D12*E13</f>
        <v>#DIV/0!</v>
      </c>
      <c r="F12" s="556" t="s">
        <v>638</v>
      </c>
      <c r="G12" s="602">
        <v>0.02</v>
      </c>
      <c r="H12" s="553" t="e">
        <f>G12*H13</f>
        <v>#DIV/0!</v>
      </c>
      <c r="I12" s="556" t="s">
        <v>638</v>
      </c>
      <c r="J12" s="602">
        <v>0.02</v>
      </c>
      <c r="K12" s="761" t="e">
        <f>J12*K13</f>
        <v>#DIV/0!</v>
      </c>
      <c r="L12" s="537"/>
    </row>
    <row r="13" spans="1:12" ht="16.149999999999999" customHeight="1">
      <c r="A13" s="535"/>
      <c r="B13" s="757" t="s">
        <v>639</v>
      </c>
      <c r="C13" s="551"/>
      <c r="D13" s="552"/>
      <c r="E13" s="553" t="e">
        <f>E11/(1-D12)</f>
        <v>#DIV/0!</v>
      </c>
      <c r="F13" s="551"/>
      <c r="G13" s="552"/>
      <c r="H13" s="553" t="e">
        <f>H11/(1-G12)</f>
        <v>#DIV/0!</v>
      </c>
      <c r="I13" s="551"/>
      <c r="J13" s="552"/>
      <c r="K13" s="761" t="e">
        <f>K11/(1-J12)</f>
        <v>#DIV/0!</v>
      </c>
      <c r="L13" s="537"/>
    </row>
    <row r="14" spans="1:12" ht="16.149999999999999" customHeight="1">
      <c r="A14" s="535"/>
      <c r="B14" s="757" t="s">
        <v>688</v>
      </c>
      <c r="C14" s="551" t="s">
        <v>641</v>
      </c>
      <c r="D14" s="602">
        <v>0.08</v>
      </c>
      <c r="E14" s="553" t="e">
        <f>D14*E15</f>
        <v>#DIV/0!</v>
      </c>
      <c r="F14" s="551" t="s">
        <v>689</v>
      </c>
      <c r="G14" s="602">
        <v>0.08</v>
      </c>
      <c r="H14" s="553" t="e">
        <f>G14*H15</f>
        <v>#DIV/0!</v>
      </c>
      <c r="I14" s="551" t="s">
        <v>641</v>
      </c>
      <c r="J14" s="602">
        <v>0.08</v>
      </c>
      <c r="K14" s="761" t="e">
        <f>J14*K15</f>
        <v>#DIV/0!</v>
      </c>
      <c r="L14" s="537"/>
    </row>
    <row r="15" spans="1:12" ht="16.149999999999999" customHeight="1">
      <c r="A15" s="535"/>
      <c r="B15" s="757" t="s">
        <v>642</v>
      </c>
      <c r="C15" s="551"/>
      <c r="D15" s="552"/>
      <c r="E15" s="553" t="e">
        <f>E13/(1-D14)</f>
        <v>#DIV/0!</v>
      </c>
      <c r="F15" s="551"/>
      <c r="G15" s="552"/>
      <c r="H15" s="553" t="e">
        <f>H13/(1-G14)</f>
        <v>#DIV/0!</v>
      </c>
      <c r="I15" s="551"/>
      <c r="J15" s="552"/>
      <c r="K15" s="761" t="e">
        <f>K13/(1-J14)</f>
        <v>#DIV/0!</v>
      </c>
      <c r="L15" s="537"/>
    </row>
    <row r="16" spans="1:12" ht="16.149999999999999" customHeight="1" thickBot="1">
      <c r="A16" s="535"/>
      <c r="B16" s="757" t="s">
        <v>690</v>
      </c>
      <c r="C16" s="551" t="s">
        <v>691</v>
      </c>
      <c r="D16" s="853">
        <f>Deckblatt!C9</f>
        <v>0.19</v>
      </c>
      <c r="E16" s="553" t="e">
        <f>D16*E15</f>
        <v>#DIV/0!</v>
      </c>
      <c r="F16" s="551" t="s">
        <v>691</v>
      </c>
      <c r="G16" s="1246">
        <f>Deckblatt!C9</f>
        <v>0.19</v>
      </c>
      <c r="H16" s="553" t="e">
        <f>G16*H15</f>
        <v>#DIV/0!</v>
      </c>
      <c r="I16" s="551" t="s">
        <v>178</v>
      </c>
      <c r="J16" s="853">
        <f>Deckblatt!C9</f>
        <v>0.19</v>
      </c>
      <c r="K16" s="761" t="e">
        <f>J16*K15</f>
        <v>#DIV/0!</v>
      </c>
      <c r="L16" s="537"/>
    </row>
    <row r="17" spans="1:12" ht="16.149999999999999" customHeight="1">
      <c r="A17" s="535"/>
      <c r="B17" s="763" t="s">
        <v>692</v>
      </c>
      <c r="C17" s="557"/>
      <c r="D17" s="558"/>
      <c r="E17" s="559" t="e">
        <f>SUM(E15:E16)</f>
        <v>#DIV/0!</v>
      </c>
      <c r="F17" s="557"/>
      <c r="G17" s="558"/>
      <c r="H17" s="559" t="e">
        <f>SUM(H15:H16)</f>
        <v>#DIV/0!</v>
      </c>
      <c r="I17" s="557"/>
      <c r="J17" s="558"/>
      <c r="K17" s="764" t="e">
        <f>SUM(K15:K16)</f>
        <v>#DIV/0!</v>
      </c>
      <c r="L17" s="537"/>
    </row>
    <row r="18" spans="1:12" ht="16.149999999999999" customHeight="1" thickBot="1">
      <c r="A18" s="535"/>
      <c r="B18" s="765"/>
      <c r="C18" s="766"/>
      <c r="D18" s="767"/>
      <c r="E18" s="768"/>
      <c r="F18" s="766"/>
      <c r="G18" s="767"/>
      <c r="H18" s="768"/>
      <c r="I18" s="766"/>
      <c r="J18" s="767"/>
      <c r="K18" s="769"/>
      <c r="L18" s="537"/>
    </row>
    <row r="19" spans="1:12" ht="16.149999999999999" customHeight="1">
      <c r="A19" s="535"/>
      <c r="B19" s="365"/>
      <c r="C19" s="560"/>
      <c r="D19" s="561"/>
      <c r="E19" s="562"/>
      <c r="F19" s="563"/>
      <c r="G19" s="365"/>
      <c r="H19" s="564"/>
      <c r="I19" s="365"/>
      <c r="J19" s="365"/>
      <c r="K19" s="564"/>
      <c r="L19" s="537"/>
    </row>
    <row r="20" spans="1:12" ht="28.5" customHeight="1">
      <c r="A20" s="535"/>
      <c r="B20" s="2493" t="s">
        <v>693</v>
      </c>
      <c r="C20" s="2493"/>
      <c r="D20" s="2493"/>
      <c r="E20" s="2493"/>
      <c r="F20" s="2493"/>
      <c r="G20" s="2493"/>
      <c r="H20" s="2493"/>
      <c r="I20" s="2493"/>
      <c r="J20" s="2493"/>
      <c r="K20" s="2493"/>
      <c r="L20" s="537"/>
    </row>
    <row r="21" spans="1:12" ht="13.5" thickBot="1">
      <c r="A21" s="535"/>
      <c r="B21" s="2493"/>
      <c r="C21" s="2493" t="s">
        <v>694</v>
      </c>
      <c r="D21" s="2493"/>
      <c r="E21" s="2493"/>
      <c r="F21" s="2493" t="s">
        <v>695</v>
      </c>
      <c r="G21" s="2493"/>
      <c r="H21" s="2493"/>
      <c r="I21" s="2493" t="s">
        <v>696</v>
      </c>
      <c r="J21" s="2493"/>
      <c r="K21" s="2493"/>
      <c r="L21" s="537"/>
    </row>
    <row r="22" spans="1:12" ht="12.6" customHeight="1">
      <c r="A22" s="535"/>
      <c r="B22" s="565" t="s">
        <v>697</v>
      </c>
      <c r="C22" s="802"/>
      <c r="D22" s="566" t="e">
        <f>D6</f>
        <v>#DIV/0!</v>
      </c>
      <c r="E22" s="803"/>
      <c r="F22" s="802"/>
      <c r="G22" s="566" t="e">
        <f>G6</f>
        <v>#DIV/0!</v>
      </c>
      <c r="H22" s="803"/>
      <c r="I22" s="771"/>
      <c r="J22" s="566" t="e">
        <f>J6</f>
        <v>#DIV/0!</v>
      </c>
      <c r="K22" s="567"/>
      <c r="L22" s="537"/>
    </row>
    <row r="23" spans="1:12">
      <c r="A23" s="568"/>
      <c r="B23" s="569" t="s">
        <v>698</v>
      </c>
      <c r="C23" s="780" t="s">
        <v>699</v>
      </c>
      <c r="D23" s="570" t="s">
        <v>700</v>
      </c>
      <c r="E23" s="781" t="s">
        <v>590</v>
      </c>
      <c r="F23" s="798" t="s">
        <v>683</v>
      </c>
      <c r="G23" s="570" t="s">
        <v>700</v>
      </c>
      <c r="H23" s="781" t="s">
        <v>588</v>
      </c>
      <c r="I23" s="570" t="s">
        <v>683</v>
      </c>
      <c r="J23" s="570" t="s">
        <v>700</v>
      </c>
      <c r="K23" s="571" t="s">
        <v>588</v>
      </c>
      <c r="L23" s="537"/>
    </row>
    <row r="24" spans="1:12" ht="6.75" customHeight="1">
      <c r="A24" s="568"/>
      <c r="B24" s="569"/>
      <c r="C24" s="782"/>
      <c r="D24" s="293"/>
      <c r="E24" s="598"/>
      <c r="F24" s="799"/>
      <c r="G24" s="293"/>
      <c r="H24" s="598"/>
      <c r="I24" s="293"/>
      <c r="J24" s="293"/>
      <c r="K24" s="572"/>
      <c r="L24" s="537"/>
    </row>
    <row r="25" spans="1:12" ht="16.350000000000001" customHeight="1">
      <c r="A25" s="573"/>
      <c r="B25" s="528" t="s">
        <v>701</v>
      </c>
      <c r="C25" s="783">
        <v>12</v>
      </c>
      <c r="D25" s="529">
        <v>1.25</v>
      </c>
      <c r="E25" s="784">
        <f>C25*D25+C25</f>
        <v>27</v>
      </c>
      <c r="F25" s="783">
        <v>12</v>
      </c>
      <c r="G25" s="529">
        <v>2.2000000000000002</v>
      </c>
      <c r="H25" s="784">
        <f>F25*G25+F25</f>
        <v>38.400000000000006</v>
      </c>
      <c r="I25" s="772">
        <v>12</v>
      </c>
      <c r="J25" s="529">
        <v>2.2000000000000002</v>
      </c>
      <c r="K25" s="418">
        <f>I25*J25+I25</f>
        <v>38.400000000000006</v>
      </c>
      <c r="L25" s="537"/>
    </row>
    <row r="26" spans="1:12" ht="16.350000000000001" customHeight="1">
      <c r="A26" s="573"/>
      <c r="B26" s="528" t="s">
        <v>702</v>
      </c>
      <c r="C26" s="783">
        <v>25</v>
      </c>
      <c r="D26" s="529">
        <v>1.5</v>
      </c>
      <c r="E26" s="784">
        <f>C26*D26+C26</f>
        <v>62.5</v>
      </c>
      <c r="F26" s="783">
        <v>25</v>
      </c>
      <c r="G26" s="529">
        <v>0.2</v>
      </c>
      <c r="H26" s="784">
        <f>F26*G26+F26</f>
        <v>30</v>
      </c>
      <c r="I26" s="772">
        <v>25</v>
      </c>
      <c r="J26" s="529">
        <v>0.2</v>
      </c>
      <c r="K26" s="418">
        <f>I26*J26+I26</f>
        <v>30</v>
      </c>
      <c r="L26" s="537"/>
    </row>
    <row r="27" spans="1:12" ht="16.350000000000001" customHeight="1">
      <c r="A27" s="573"/>
      <c r="B27" s="528" t="s">
        <v>703</v>
      </c>
      <c r="C27" s="783">
        <v>30</v>
      </c>
      <c r="D27" s="529">
        <v>1.5</v>
      </c>
      <c r="E27" s="784">
        <f>C27*D27+C27</f>
        <v>75</v>
      </c>
      <c r="F27" s="783">
        <v>30</v>
      </c>
      <c r="G27" s="529">
        <v>0.15</v>
      </c>
      <c r="H27" s="784">
        <f>F27*G27+F27</f>
        <v>34.5</v>
      </c>
      <c r="I27" s="772">
        <v>30</v>
      </c>
      <c r="J27" s="529">
        <v>0.15</v>
      </c>
      <c r="K27" s="418">
        <f>I27*J27+I27</f>
        <v>34.5</v>
      </c>
      <c r="L27" s="537"/>
    </row>
    <row r="28" spans="1:12" ht="16.350000000000001" customHeight="1">
      <c r="A28" s="573"/>
      <c r="B28" s="528" t="s">
        <v>704</v>
      </c>
      <c r="C28" s="783">
        <v>15</v>
      </c>
      <c r="D28" s="529">
        <v>1.6</v>
      </c>
      <c r="E28" s="784">
        <f>C28*D28+C28</f>
        <v>39</v>
      </c>
      <c r="F28" s="783">
        <v>15</v>
      </c>
      <c r="G28" s="529">
        <v>1.6</v>
      </c>
      <c r="H28" s="784">
        <f>F28*G28+F28</f>
        <v>39</v>
      </c>
      <c r="I28" s="772">
        <v>15</v>
      </c>
      <c r="J28" s="529">
        <v>1.6</v>
      </c>
      <c r="K28" s="418">
        <f>I28*J28+I28</f>
        <v>39</v>
      </c>
      <c r="L28" s="537"/>
    </row>
    <row r="29" spans="1:12" ht="16.350000000000001" customHeight="1">
      <c r="A29" s="573"/>
      <c r="B29" s="530" t="s">
        <v>705</v>
      </c>
      <c r="C29" s="785">
        <v>125</v>
      </c>
      <c r="D29" s="531">
        <v>2.5</v>
      </c>
      <c r="E29" s="784">
        <f>C29*D29+C29</f>
        <v>437.5</v>
      </c>
      <c r="F29" s="785">
        <v>125</v>
      </c>
      <c r="G29" s="531">
        <v>3.09</v>
      </c>
      <c r="H29" s="784">
        <f>F29*G29+F29</f>
        <v>511.25</v>
      </c>
      <c r="I29" s="773">
        <v>125</v>
      </c>
      <c r="J29" s="531">
        <v>3.09</v>
      </c>
      <c r="K29" s="418">
        <f>I29*J29+I29</f>
        <v>511.25</v>
      </c>
      <c r="L29" s="537"/>
    </row>
    <row r="30" spans="1:12">
      <c r="A30" s="574"/>
      <c r="B30" s="575" t="s">
        <v>633</v>
      </c>
      <c r="C30" s="786">
        <f>SUM(C25:C29)</f>
        <v>207</v>
      </c>
      <c r="D30" s="576">
        <f>(E30-C30)/C30</f>
        <v>2.0966183574879227</v>
      </c>
      <c r="E30" s="787">
        <f>SUM(E25:E29)</f>
        <v>641</v>
      </c>
      <c r="F30" s="786">
        <f>SUM(F25:F29)</f>
        <v>207</v>
      </c>
      <c r="G30" s="576">
        <f>(H30-F30)/F30</f>
        <v>2.1553140096618355</v>
      </c>
      <c r="H30" s="787">
        <f>SUM(H25:H29)</f>
        <v>653.15</v>
      </c>
      <c r="I30" s="774">
        <f>SUM(I25:I29)</f>
        <v>207</v>
      </c>
      <c r="J30" s="576">
        <f>(K30-I30)/I30</f>
        <v>2.1553140096618355</v>
      </c>
      <c r="K30" s="577">
        <f>SUM(K25:K29)</f>
        <v>653.15</v>
      </c>
      <c r="L30" s="537"/>
    </row>
    <row r="31" spans="1:12">
      <c r="A31" s="574"/>
      <c r="B31" s="578"/>
      <c r="C31" s="788"/>
      <c r="D31" s="143"/>
      <c r="E31" s="789"/>
      <c r="F31" s="800"/>
      <c r="G31" s="291"/>
      <c r="H31" s="801"/>
      <c r="I31" s="143"/>
      <c r="J31" s="143"/>
      <c r="K31" s="117"/>
      <c r="L31" s="537"/>
    </row>
    <row r="32" spans="1:12" ht="29.25" customHeight="1">
      <c r="A32" s="574"/>
      <c r="B32" s="579" t="s">
        <v>682</v>
      </c>
      <c r="C32" s="790"/>
      <c r="D32" s="550"/>
      <c r="E32" s="789"/>
      <c r="F32" s="800"/>
      <c r="G32" s="291"/>
      <c r="H32" s="801"/>
      <c r="I32" s="143"/>
      <c r="J32" s="143"/>
      <c r="K32" s="117"/>
      <c r="L32" s="537"/>
    </row>
    <row r="33" spans="1:12" ht="16.350000000000001" customHeight="1">
      <c r="A33" s="535"/>
      <c r="B33" s="580" t="s">
        <v>683</v>
      </c>
      <c r="C33" s="791" t="s">
        <v>608</v>
      </c>
      <c r="D33" s="552"/>
      <c r="E33" s="792">
        <f>C30</f>
        <v>207</v>
      </c>
      <c r="F33" s="791" t="s">
        <v>608</v>
      </c>
      <c r="G33" s="552"/>
      <c r="H33" s="792">
        <f>F30</f>
        <v>207</v>
      </c>
      <c r="I33" s="775" t="s">
        <v>608</v>
      </c>
      <c r="J33" s="552"/>
      <c r="K33" s="581">
        <f>I30</f>
        <v>207</v>
      </c>
      <c r="L33" s="537"/>
    </row>
    <row r="34" spans="1:12" ht="16.350000000000001" customHeight="1">
      <c r="A34" s="535"/>
      <c r="B34" s="580" t="s">
        <v>684</v>
      </c>
      <c r="C34" s="793" t="s">
        <v>686</v>
      </c>
      <c r="D34" s="582" t="e">
        <f>D22</f>
        <v>#DIV/0!</v>
      </c>
      <c r="E34" s="794" t="e">
        <f>D34%*E33</f>
        <v>#DIV/0!</v>
      </c>
      <c r="F34" s="793" t="s">
        <v>685</v>
      </c>
      <c r="G34" s="582" t="e">
        <f>G22</f>
        <v>#DIV/0!</v>
      </c>
      <c r="H34" s="794" t="e">
        <f>G34%*H33</f>
        <v>#DIV/0!</v>
      </c>
      <c r="I34" s="776" t="s">
        <v>686</v>
      </c>
      <c r="J34" s="582" t="e">
        <f>J22</f>
        <v>#DIV/0!</v>
      </c>
      <c r="K34" s="583" t="e">
        <f>J34%*K33</f>
        <v>#DIV/0!</v>
      </c>
      <c r="L34" s="537"/>
    </row>
    <row r="35" spans="1:12" ht="16.350000000000001" customHeight="1">
      <c r="A35" s="535"/>
      <c r="B35" s="584" t="s">
        <v>636</v>
      </c>
      <c r="C35" s="791"/>
      <c r="D35" s="552"/>
      <c r="E35" s="794" t="e">
        <f>SUM(E33:E34)</f>
        <v>#DIV/0!</v>
      </c>
      <c r="F35" s="791"/>
      <c r="G35" s="552"/>
      <c r="H35" s="794" t="e">
        <f>SUM(H33:H34)</f>
        <v>#DIV/0!</v>
      </c>
      <c r="I35" s="775"/>
      <c r="J35" s="552"/>
      <c r="K35" s="583" t="e">
        <f>SUM(K33:K34)</f>
        <v>#DIV/0!</v>
      </c>
      <c r="L35" s="537"/>
    </row>
    <row r="36" spans="1:12" ht="16.350000000000001" customHeight="1">
      <c r="A36" s="535"/>
      <c r="B36" s="580" t="s">
        <v>687</v>
      </c>
      <c r="C36" s="795" t="s">
        <v>638</v>
      </c>
      <c r="D36" s="602">
        <v>0.02</v>
      </c>
      <c r="E36" s="794" t="e">
        <f>D36*E37</f>
        <v>#DIV/0!</v>
      </c>
      <c r="F36" s="795" t="s">
        <v>638</v>
      </c>
      <c r="G36" s="602">
        <v>0.02</v>
      </c>
      <c r="H36" s="794" t="e">
        <f>G36*H37</f>
        <v>#DIV/0!</v>
      </c>
      <c r="I36" s="777" t="s">
        <v>638</v>
      </c>
      <c r="J36" s="602">
        <v>0.02</v>
      </c>
      <c r="K36" s="583" t="e">
        <f>J36*K37</f>
        <v>#DIV/0!</v>
      </c>
      <c r="L36" s="537"/>
    </row>
    <row r="37" spans="1:12" ht="16.350000000000001" customHeight="1">
      <c r="A37" s="535"/>
      <c r="B37" s="580" t="s">
        <v>639</v>
      </c>
      <c r="C37" s="791"/>
      <c r="D37" s="552"/>
      <c r="E37" s="794" t="e">
        <f>E35/(1-D36)</f>
        <v>#DIV/0!</v>
      </c>
      <c r="F37" s="791"/>
      <c r="G37" s="552"/>
      <c r="H37" s="794" t="e">
        <f>H35/(1-G36)</f>
        <v>#DIV/0!</v>
      </c>
      <c r="I37" s="775"/>
      <c r="J37" s="552"/>
      <c r="K37" s="583" t="e">
        <f>K35/(1-J36)</f>
        <v>#DIV/0!</v>
      </c>
      <c r="L37" s="537"/>
    </row>
    <row r="38" spans="1:12" ht="16.350000000000001" customHeight="1">
      <c r="A38" s="535"/>
      <c r="B38" s="580" t="s">
        <v>688</v>
      </c>
      <c r="C38" s="791" t="s">
        <v>641</v>
      </c>
      <c r="D38" s="602">
        <v>0.08</v>
      </c>
      <c r="E38" s="794" t="e">
        <f>D38*E39</f>
        <v>#DIV/0!</v>
      </c>
      <c r="F38" s="791" t="s">
        <v>641</v>
      </c>
      <c r="G38" s="602">
        <v>0.08</v>
      </c>
      <c r="H38" s="794" t="e">
        <f>G38*H39</f>
        <v>#DIV/0!</v>
      </c>
      <c r="I38" s="775" t="s">
        <v>641</v>
      </c>
      <c r="J38" s="602">
        <v>0.08</v>
      </c>
      <c r="K38" s="583" t="e">
        <f>J38*K39</f>
        <v>#DIV/0!</v>
      </c>
      <c r="L38" s="537"/>
    </row>
    <row r="39" spans="1:12" ht="16.350000000000001" customHeight="1">
      <c r="A39" s="535"/>
      <c r="B39" s="580" t="s">
        <v>642</v>
      </c>
      <c r="C39" s="791"/>
      <c r="D39" s="552"/>
      <c r="E39" s="794" t="e">
        <f>E37/(1-D38)</f>
        <v>#DIV/0!</v>
      </c>
      <c r="F39" s="791"/>
      <c r="G39" s="552"/>
      <c r="H39" s="794" t="e">
        <f>H37/(1-G38)</f>
        <v>#DIV/0!</v>
      </c>
      <c r="I39" s="775"/>
      <c r="J39" s="552"/>
      <c r="K39" s="583" t="e">
        <f>K37/(1-J38)</f>
        <v>#DIV/0!</v>
      </c>
      <c r="L39" s="537"/>
    </row>
    <row r="40" spans="1:12" ht="16.350000000000001" customHeight="1" thickBot="1">
      <c r="A40" s="535"/>
      <c r="B40" s="580" t="s">
        <v>690</v>
      </c>
      <c r="C40" s="791" t="s">
        <v>178</v>
      </c>
      <c r="D40" s="854">
        <f>Deckblatt!C9</f>
        <v>0.19</v>
      </c>
      <c r="E40" s="794" t="e">
        <f>D40*E39</f>
        <v>#DIV/0!</v>
      </c>
      <c r="F40" s="791" t="s">
        <v>178</v>
      </c>
      <c r="G40" s="854">
        <f>Deckblatt!C9</f>
        <v>0.19</v>
      </c>
      <c r="H40" s="794" t="e">
        <f>G40*H39</f>
        <v>#DIV/0!</v>
      </c>
      <c r="I40" s="775" t="s">
        <v>178</v>
      </c>
      <c r="J40" s="1247">
        <f>Deckblatt!C9</f>
        <v>0.19</v>
      </c>
      <c r="K40" s="583" t="e">
        <f>J40*K39</f>
        <v>#DIV/0!</v>
      </c>
      <c r="L40" s="537"/>
    </row>
    <row r="41" spans="1:12" ht="16.350000000000001" customHeight="1">
      <c r="A41" s="535"/>
      <c r="B41" s="585" t="s">
        <v>692</v>
      </c>
      <c r="C41" s="796"/>
      <c r="D41" s="558"/>
      <c r="E41" s="797" t="e">
        <f>SUM(E39:E40)</f>
        <v>#DIV/0!</v>
      </c>
      <c r="F41" s="796"/>
      <c r="G41" s="558"/>
      <c r="H41" s="797" t="e">
        <f>SUM(H39:H40)</f>
        <v>#DIV/0!</v>
      </c>
      <c r="I41" s="778"/>
      <c r="J41" s="558"/>
      <c r="K41" s="586" t="e">
        <f>SUM(K39:K40)</f>
        <v>#DIV/0!</v>
      </c>
      <c r="L41" s="537"/>
    </row>
    <row r="42" spans="1:12" ht="16.350000000000001" customHeight="1" thickBot="1">
      <c r="A42" s="535"/>
      <c r="B42" s="587"/>
      <c r="C42" s="804"/>
      <c r="D42" s="588"/>
      <c r="E42" s="805"/>
      <c r="F42" s="804"/>
      <c r="G42" s="588"/>
      <c r="H42" s="805"/>
      <c r="I42" s="779"/>
      <c r="J42" s="588"/>
      <c r="K42" s="589"/>
      <c r="L42" s="537"/>
    </row>
    <row r="43" spans="1:12" ht="13.5" thickBot="1">
      <c r="A43" s="590"/>
      <c r="B43" s="591"/>
      <c r="C43" s="592"/>
      <c r="D43" s="593"/>
      <c r="E43" s="594"/>
      <c r="F43" s="595"/>
      <c r="G43" s="591"/>
      <c r="H43" s="591"/>
      <c r="I43" s="591"/>
      <c r="J43" s="591"/>
      <c r="K43" s="591"/>
      <c r="L43" s="596"/>
    </row>
    <row r="44" spans="1:12" ht="13.5" thickTop="1">
      <c r="A44" s="532"/>
      <c r="B44" s="2491" t="s">
        <v>706</v>
      </c>
      <c r="C44" s="2491"/>
      <c r="D44" s="2491"/>
      <c r="E44" s="2492"/>
      <c r="F44" s="366"/>
      <c r="G44" s="366"/>
      <c r="H44" s="366"/>
      <c r="I44" s="424"/>
      <c r="J44" s="424"/>
      <c r="K44" s="424"/>
      <c r="L44" s="21"/>
    </row>
    <row r="45" spans="1:12" ht="13.5" thickBot="1">
      <c r="A45" s="535"/>
      <c r="B45" s="2493"/>
      <c r="C45" s="2493"/>
      <c r="D45" s="2493"/>
      <c r="E45" s="2494"/>
      <c r="F45" s="366"/>
      <c r="G45" s="366"/>
      <c r="H45" s="366"/>
      <c r="I45" s="424"/>
      <c r="J45" s="424"/>
      <c r="K45" s="424"/>
      <c r="L45" s="21"/>
    </row>
    <row r="46" spans="1:12">
      <c r="A46" s="535"/>
      <c r="B46" s="843"/>
      <c r="C46" s="844"/>
      <c r="D46" s="844"/>
      <c r="E46" s="845"/>
    </row>
    <row r="47" spans="1:12">
      <c r="A47" s="535"/>
      <c r="B47" s="597" t="s">
        <v>698</v>
      </c>
      <c r="C47" s="293" t="s">
        <v>646</v>
      </c>
      <c r="D47" s="293" t="s">
        <v>707</v>
      </c>
      <c r="E47" s="572" t="s">
        <v>708</v>
      </c>
    </row>
    <row r="48" spans="1:12">
      <c r="A48" s="535"/>
      <c r="B48" s="599"/>
      <c r="C48" s="2061"/>
      <c r="D48" s="2061"/>
      <c r="E48" s="116"/>
    </row>
    <row r="49" spans="1:12">
      <c r="A49" s="535"/>
      <c r="B49" s="846" t="s">
        <v>701</v>
      </c>
      <c r="C49" s="847">
        <v>125</v>
      </c>
      <c r="D49" s="600">
        <f t="shared" ref="D49:D54" si="0">C49*19%</f>
        <v>23.75</v>
      </c>
      <c r="E49" s="848">
        <f t="shared" ref="E49:E54" si="1">C49+D49</f>
        <v>148.75</v>
      </c>
    </row>
    <row r="50" spans="1:12">
      <c r="A50" s="535"/>
      <c r="B50" s="846" t="s">
        <v>702</v>
      </c>
      <c r="C50" s="847">
        <v>16.5</v>
      </c>
      <c r="D50" s="600">
        <f t="shared" si="0"/>
        <v>3.1350000000000002</v>
      </c>
      <c r="E50" s="848">
        <f t="shared" si="1"/>
        <v>19.635000000000002</v>
      </c>
    </row>
    <row r="51" spans="1:12">
      <c r="A51" s="535"/>
      <c r="B51" s="846" t="s">
        <v>703</v>
      </c>
      <c r="C51" s="847">
        <v>12</v>
      </c>
      <c r="D51" s="600">
        <f t="shared" si="0"/>
        <v>2.2800000000000002</v>
      </c>
      <c r="E51" s="848">
        <f t="shared" si="1"/>
        <v>14.280000000000001</v>
      </c>
    </row>
    <row r="52" spans="1:12">
      <c r="A52" s="535"/>
      <c r="B52" s="846" t="s">
        <v>704</v>
      </c>
      <c r="C52" s="849">
        <v>33</v>
      </c>
      <c r="D52" s="600">
        <f t="shared" si="0"/>
        <v>6.2700000000000005</v>
      </c>
      <c r="E52" s="848">
        <f t="shared" si="1"/>
        <v>39.270000000000003</v>
      </c>
    </row>
    <row r="53" spans="1:12">
      <c r="A53" s="535"/>
      <c r="B53" s="846" t="s">
        <v>705</v>
      </c>
      <c r="C53" s="849">
        <v>12.8</v>
      </c>
      <c r="D53" s="600">
        <f t="shared" si="0"/>
        <v>2.4320000000000004</v>
      </c>
      <c r="E53" s="848">
        <f t="shared" si="1"/>
        <v>15.232000000000001</v>
      </c>
    </row>
    <row r="54" spans="1:12" ht="13.5" thickBot="1">
      <c r="A54" s="535"/>
      <c r="B54" s="850" t="s">
        <v>709</v>
      </c>
      <c r="C54" s="851">
        <v>98</v>
      </c>
      <c r="D54" s="601">
        <f t="shared" si="0"/>
        <v>18.62</v>
      </c>
      <c r="E54" s="852">
        <f t="shared" si="1"/>
        <v>116.62</v>
      </c>
    </row>
    <row r="55" spans="1:12" ht="13.5" thickBot="1">
      <c r="A55" s="590"/>
      <c r="B55" s="591"/>
      <c r="C55" s="591"/>
      <c r="D55" s="591"/>
      <c r="E55" s="596"/>
    </row>
    <row r="56" spans="1:12" ht="13.5" thickTop="1"/>
    <row r="59" spans="1:12">
      <c r="E59" s="408"/>
      <c r="F59" s="2489"/>
      <c r="G59" s="2490"/>
      <c r="H59" s="2490"/>
      <c r="I59" s="2490"/>
      <c r="J59" s="2490"/>
      <c r="K59" s="2490"/>
      <c r="L59" s="424"/>
    </row>
    <row r="60" spans="1:12">
      <c r="D60" s="1236"/>
      <c r="E60" s="408"/>
      <c r="F60" s="2490"/>
      <c r="G60" s="2490"/>
      <c r="H60" s="2490"/>
      <c r="I60" s="2490"/>
      <c r="J60" s="2490"/>
      <c r="K60" s="2490"/>
      <c r="L60" s="424"/>
    </row>
    <row r="61" spans="1:12">
      <c r="E61" s="408"/>
      <c r="F61" s="424"/>
      <c r="G61" s="424"/>
      <c r="H61" s="424"/>
      <c r="I61" s="424"/>
      <c r="J61" s="424"/>
      <c r="K61" s="424"/>
      <c r="L61" s="424"/>
    </row>
    <row r="62" spans="1:12">
      <c r="D62" s="1236"/>
      <c r="F62" s="424"/>
      <c r="G62" s="424"/>
      <c r="H62" s="424"/>
      <c r="I62" s="424"/>
      <c r="J62" s="424"/>
      <c r="K62" s="424"/>
      <c r="L62" s="424"/>
    </row>
    <row r="63" spans="1:12">
      <c r="E63" s="408"/>
      <c r="F63" s="424"/>
      <c r="G63" s="424"/>
      <c r="H63" s="424"/>
      <c r="I63" s="424"/>
      <c r="J63" s="424"/>
      <c r="K63" s="424"/>
      <c r="L63" s="424"/>
    </row>
    <row r="64" spans="1:12">
      <c r="D64" s="1236"/>
      <c r="E64" s="408"/>
      <c r="F64" s="424"/>
      <c r="G64" s="424"/>
      <c r="H64" s="424"/>
      <c r="I64" s="424"/>
      <c r="J64" s="424"/>
      <c r="K64" s="424"/>
      <c r="L64" s="424"/>
    </row>
    <row r="65" spans="4:12">
      <c r="E65" s="408"/>
      <c r="F65" s="424"/>
      <c r="G65" s="424"/>
      <c r="H65" s="424"/>
      <c r="I65" s="424"/>
      <c r="J65" s="424"/>
      <c r="K65" s="424"/>
      <c r="L65" s="424"/>
    </row>
    <row r="66" spans="4:12">
      <c r="D66" s="1236"/>
      <c r="E66" s="408"/>
      <c r="F66" s="424"/>
      <c r="G66" s="424"/>
      <c r="H66" s="424"/>
      <c r="I66" s="424"/>
      <c r="J66" s="424"/>
      <c r="K66" s="424"/>
      <c r="L66" s="424"/>
    </row>
    <row r="67" spans="4:12">
      <c r="E67" s="408"/>
      <c r="F67" s="424"/>
      <c r="G67" s="424"/>
      <c r="H67" s="424"/>
      <c r="I67" s="424"/>
      <c r="J67" s="424"/>
      <c r="K67" s="424"/>
      <c r="L67" s="424"/>
    </row>
    <row r="68" spans="4:12">
      <c r="D68" s="1236"/>
      <c r="E68" s="408"/>
      <c r="F68" s="424"/>
      <c r="G68" s="424"/>
      <c r="H68" s="424"/>
      <c r="I68" s="424"/>
      <c r="J68" s="424"/>
      <c r="K68" s="424"/>
      <c r="L68" s="424"/>
    </row>
    <row r="69" spans="4:12">
      <c r="E69" s="408"/>
      <c r="F69" s="424"/>
      <c r="G69" s="424"/>
      <c r="H69" s="424"/>
      <c r="I69" s="424"/>
      <c r="J69" s="424"/>
      <c r="K69" s="424"/>
      <c r="L69" s="424"/>
    </row>
    <row r="70" spans="4:12">
      <c r="F70" s="424"/>
      <c r="G70" s="424"/>
      <c r="H70" s="424"/>
      <c r="I70" s="424"/>
      <c r="J70" s="424"/>
      <c r="K70" s="424"/>
      <c r="L70" s="424"/>
    </row>
    <row r="71" spans="4:12">
      <c r="F71" s="424"/>
      <c r="G71" s="424"/>
      <c r="H71" s="424"/>
      <c r="I71" s="424"/>
      <c r="J71" s="424"/>
      <c r="K71" s="424"/>
      <c r="L71" s="424"/>
    </row>
    <row r="72" spans="4:12">
      <c r="F72" s="424"/>
      <c r="G72" s="424"/>
      <c r="H72" s="424"/>
      <c r="I72" s="424"/>
      <c r="J72" s="424"/>
      <c r="K72" s="424"/>
      <c r="L72" s="424"/>
    </row>
    <row r="73" spans="4:12">
      <c r="F73" s="424"/>
      <c r="G73" s="424"/>
      <c r="H73" s="424"/>
      <c r="I73" s="424"/>
      <c r="J73" s="424"/>
      <c r="K73" s="424"/>
      <c r="L73" s="424"/>
    </row>
    <row r="74" spans="4:12">
      <c r="F74" s="424"/>
      <c r="G74" s="424"/>
      <c r="H74" s="424"/>
      <c r="I74" s="424"/>
      <c r="J74" s="424"/>
      <c r="K74" s="424"/>
      <c r="L74" s="424"/>
    </row>
  </sheetData>
  <customSheetViews>
    <customSheetView guid="{FC62AB03-1E1B-40DD-97B7-FC10FADA3A15}" topLeftCell="A4">
      <selection activeCell="C17" sqref="C17"/>
      <pageMargins left="0" right="0" top="0" bottom="0" header="0" footer="0"/>
    </customSheetView>
  </customSheetViews>
  <mergeCells count="8">
    <mergeCell ref="F59:K60"/>
    <mergeCell ref="B44:E45"/>
    <mergeCell ref="B1:H2"/>
    <mergeCell ref="K1:K2"/>
    <mergeCell ref="B20:K21"/>
    <mergeCell ref="C3:E3"/>
    <mergeCell ref="F3:H3"/>
    <mergeCell ref="I3:K3"/>
  </mergeCells>
  <phoneticPr fontId="31" type="noConversion"/>
  <pageMargins left="0.70866141732283472" right="0.70866141732283472" top="0.78740157480314965" bottom="0.78740157480314965" header="0.31496062992125984" footer="0.31496062992125984"/>
  <pageSetup paperSize="9" scale="58" orientation="landscape" r:id="rId1"/>
  <headerFooter>
    <oddHeader>&amp;CSeite&amp;P</oddHeader>
    <oddFooter>&amp;L&amp;"Verdana,Standard"Die Vorlage dieser Datei wurde  zur Verfügung gestellt durch Rüdiger ADAMY, Hannover&amp;R&amp;D</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1314B-0D46-48FA-A334-9BC27F1725C5}">
  <sheetPr>
    <tabColor rgb="FF00B0F0"/>
    <pageSetUpPr fitToPage="1"/>
  </sheetPr>
  <dimension ref="A1:R62"/>
  <sheetViews>
    <sheetView showGridLines="0" topLeftCell="A16" zoomScale="91" zoomScaleNormal="91" workbookViewId="0">
      <selection activeCell="H34" sqref="H34"/>
    </sheetView>
  </sheetViews>
  <sheetFormatPr defaultColWidth="11.42578125" defaultRowHeight="12.75"/>
  <cols>
    <col min="1" max="1" width="1.42578125" style="1603" customWidth="1"/>
    <col min="2" max="2" width="31" style="1603" customWidth="1"/>
    <col min="3" max="3" width="12.85546875" style="1602" customWidth="1"/>
    <col min="4" max="4" width="12.140625" style="1602" customWidth="1"/>
    <col min="5" max="5" width="11.85546875" style="1602" customWidth="1"/>
    <col min="6" max="6" width="11.7109375" style="1602" customWidth="1"/>
    <col min="7" max="7" width="12.7109375" style="1602" customWidth="1"/>
    <col min="8" max="8" width="9.5703125" style="1602" customWidth="1"/>
    <col min="9" max="9" width="13" style="1602" customWidth="1"/>
    <col min="10" max="10" width="13.28515625" style="1602" customWidth="1"/>
    <col min="11" max="11" width="9.42578125" style="1602" customWidth="1"/>
    <col min="12" max="12" width="2.140625" style="1602" customWidth="1"/>
    <col min="13" max="13" width="11.42578125" style="1602"/>
    <col min="14" max="14" width="19.42578125" style="1602" customWidth="1"/>
    <col min="15" max="15" width="14.42578125" style="1602" customWidth="1"/>
    <col min="16" max="16" width="14.7109375" style="1602" customWidth="1"/>
    <col min="17" max="17" width="15" style="1602" customWidth="1"/>
    <col min="18" max="16384" width="11.42578125" style="1602"/>
  </cols>
  <sheetData>
    <row r="1" spans="1:18" ht="15.75" customHeight="1">
      <c r="A1" s="1765"/>
      <c r="B1" s="2526" t="s">
        <v>710</v>
      </c>
      <c r="C1" s="2527"/>
      <c r="D1" s="2527"/>
      <c r="E1" s="2527"/>
      <c r="F1" s="2527"/>
      <c r="G1" s="2527"/>
      <c r="H1" s="2527"/>
      <c r="I1" s="2070"/>
      <c r="J1" s="2070"/>
      <c r="K1" s="2529">
        <v>1</v>
      </c>
      <c r="L1" s="1764"/>
      <c r="M1" s="2526" t="s">
        <v>711</v>
      </c>
      <c r="N1" s="2527"/>
      <c r="O1" s="2527"/>
      <c r="P1" s="2527"/>
      <c r="Q1" s="2527"/>
      <c r="R1" s="2527"/>
    </row>
    <row r="2" spans="1:18" ht="15.6" customHeight="1" thickBot="1">
      <c r="A2" s="1677"/>
      <c r="B2" s="2528"/>
      <c r="C2" s="2528"/>
      <c r="D2" s="2528"/>
      <c r="E2" s="2528"/>
      <c r="F2" s="2528"/>
      <c r="G2" s="2528"/>
      <c r="H2" s="2528"/>
      <c r="I2" s="1763"/>
      <c r="J2" s="1763"/>
      <c r="K2" s="2530"/>
      <c r="L2" s="1762"/>
      <c r="M2" s="2531"/>
      <c r="N2" s="2531"/>
      <c r="O2" s="2528"/>
      <c r="P2" s="2528"/>
      <c r="Q2" s="2528"/>
      <c r="R2" s="2528"/>
    </row>
    <row r="3" spans="1:18" ht="67.900000000000006" customHeight="1" thickBot="1">
      <c r="A3" s="1677"/>
      <c r="B3" s="1761"/>
      <c r="C3" s="1823" t="s">
        <v>589</v>
      </c>
      <c r="D3" s="1824" t="s">
        <v>587</v>
      </c>
      <c r="E3" s="1823" t="s">
        <v>712</v>
      </c>
      <c r="F3" s="1823" t="s">
        <v>589</v>
      </c>
      <c r="G3" s="1823" t="s">
        <v>587</v>
      </c>
      <c r="H3" s="1824" t="s">
        <v>713</v>
      </c>
      <c r="I3" s="1823" t="s">
        <v>591</v>
      </c>
      <c r="J3" s="1823" t="s">
        <v>587</v>
      </c>
      <c r="K3" s="1823" t="s">
        <v>713</v>
      </c>
      <c r="L3" s="1824"/>
      <c r="M3" s="2532" t="s">
        <v>714</v>
      </c>
      <c r="N3" s="2533"/>
      <c r="O3" s="2532" t="s">
        <v>715</v>
      </c>
      <c r="P3" s="2533"/>
      <c r="Q3" s="1760" t="s">
        <v>716</v>
      </c>
    </row>
    <row r="4" spans="1:18" ht="11.45" customHeight="1" thickTop="1" thickBot="1">
      <c r="A4" s="1677"/>
      <c r="B4" s="1655"/>
      <c r="C4" s="1759"/>
      <c r="D4" s="1825"/>
      <c r="E4" s="1758"/>
      <c r="F4" s="1759"/>
      <c r="G4" s="1825"/>
      <c r="H4" s="1758"/>
      <c r="I4" s="1757"/>
      <c r="J4" s="1826"/>
      <c r="K4" s="1756"/>
      <c r="L4" s="1643"/>
      <c r="M4" s="1700"/>
      <c r="N4" s="1700"/>
      <c r="O4" s="1755"/>
      <c r="P4" s="1753"/>
      <c r="Q4" s="2517" t="s">
        <v>717</v>
      </c>
    </row>
    <row r="5" spans="1:18" ht="22.9" customHeight="1" thickBot="1">
      <c r="A5" s="1677"/>
      <c r="B5" s="1655"/>
      <c r="C5" s="2519">
        <f>ZusammenführErgebn!C3</f>
        <v>2025</v>
      </c>
      <c r="D5" s="2519"/>
      <c r="E5" s="2519"/>
      <c r="F5" s="2520">
        <f>ZusammenführErgebn!D3</f>
        <v>2026</v>
      </c>
      <c r="G5" s="2521"/>
      <c r="H5" s="2522"/>
      <c r="I5" s="2520">
        <f>ZusammenführErgebn!E3</f>
        <v>2027</v>
      </c>
      <c r="J5" s="2521"/>
      <c r="K5" s="2522"/>
      <c r="L5" s="1643"/>
      <c r="M5" s="1701" t="s">
        <v>718</v>
      </c>
      <c r="N5" s="1700"/>
      <c r="O5" s="1754">
        <v>7192</v>
      </c>
      <c r="P5" s="1753"/>
      <c r="Q5" s="2518"/>
    </row>
    <row r="6" spans="1:18" ht="15.75" customHeight="1" thickBot="1">
      <c r="A6" s="1677"/>
      <c r="B6" s="1748" t="s">
        <v>594</v>
      </c>
      <c r="C6" s="1747">
        <v>3.5</v>
      </c>
      <c r="D6" s="1746" t="e">
        <f>Einzelkalk_Handel!D5</f>
        <v>#DIV/0!</v>
      </c>
      <c r="E6" s="1743" t="e">
        <f>C6*D6%+C6</f>
        <v>#DIV/0!</v>
      </c>
      <c r="F6" s="1747">
        <v>3.5</v>
      </c>
      <c r="G6" s="1746" t="e">
        <f>Einzelkalk_Handel!G5</f>
        <v>#DIV/0!</v>
      </c>
      <c r="H6" s="1743" t="e">
        <f>F6*G6%+F6</f>
        <v>#DIV/0!</v>
      </c>
      <c r="I6" s="1745">
        <v>3.5</v>
      </c>
      <c r="J6" s="1744" t="e">
        <f>Einzelkalk_Handel!J5</f>
        <v>#DIV/0!</v>
      </c>
      <c r="K6" s="1743" t="e">
        <f>I6*J6%+I6</f>
        <v>#DIV/0!</v>
      </c>
      <c r="L6" s="1643"/>
      <c r="M6" s="1701" t="s">
        <v>719</v>
      </c>
      <c r="N6" s="1700"/>
      <c r="O6" s="1690">
        <f>O5*P6/(1+P6)</f>
        <v>1148.3025210084033</v>
      </c>
      <c r="P6" s="1726">
        <f>E19</f>
        <v>0.19</v>
      </c>
      <c r="Q6" s="2518"/>
    </row>
    <row r="7" spans="1:18" ht="13.9" customHeight="1" thickBot="1">
      <c r="A7" s="1677"/>
      <c r="B7" s="1667"/>
      <c r="C7" s="1747"/>
      <c r="D7" s="1752"/>
      <c r="E7" s="1743"/>
      <c r="F7" s="1751"/>
      <c r="G7" s="1750"/>
      <c r="H7" s="1743"/>
      <c r="I7" s="1745"/>
      <c r="J7" s="1749"/>
      <c r="K7" s="1743"/>
      <c r="L7" s="1643"/>
      <c r="M7" s="1701" t="s">
        <v>720</v>
      </c>
      <c r="N7" s="1700"/>
      <c r="O7" s="1690">
        <f>O5/(1+P6)</f>
        <v>6043.6974789915967</v>
      </c>
      <c r="P7" s="1722"/>
      <c r="Q7" s="2518"/>
    </row>
    <row r="8" spans="1:18" ht="15.75" customHeight="1" thickBot="1">
      <c r="A8" s="1677"/>
      <c r="B8" s="1748" t="s">
        <v>602</v>
      </c>
      <c r="C8" s="1747">
        <v>3.5</v>
      </c>
      <c r="D8" s="1746" t="e">
        <f>Einzelkalk_Handel!D6</f>
        <v>#DIV/0!</v>
      </c>
      <c r="E8" s="1743" t="e">
        <f>C8*D8%+C8</f>
        <v>#DIV/0!</v>
      </c>
      <c r="F8" s="1747">
        <v>3.5</v>
      </c>
      <c r="G8" s="1746" t="e">
        <f>Einzelkalk_Handel!G6</f>
        <v>#DIV/0!</v>
      </c>
      <c r="H8" s="1743" t="e">
        <f>F8*G8%+F8</f>
        <v>#DIV/0!</v>
      </c>
      <c r="I8" s="1745">
        <v>3.5</v>
      </c>
      <c r="J8" s="1744" t="e">
        <f>Einzelkalk_Handel!J6</f>
        <v>#DIV/0!</v>
      </c>
      <c r="K8" s="1743" t="e">
        <f>I8*J8%+I8</f>
        <v>#DIV/0!</v>
      </c>
      <c r="L8" s="1643"/>
      <c r="M8" s="1701" t="s">
        <v>721</v>
      </c>
      <c r="N8" s="1700"/>
      <c r="O8" s="1690">
        <f>O7*P8</f>
        <v>0</v>
      </c>
      <c r="P8" s="1726">
        <v>0</v>
      </c>
      <c r="Q8" s="2518"/>
    </row>
    <row r="9" spans="1:18" ht="15.75" customHeight="1" thickBot="1">
      <c r="A9" s="1677"/>
      <c r="B9" s="1742"/>
      <c r="C9" s="1741"/>
      <c r="D9" s="1740"/>
      <c r="E9" s="1739"/>
      <c r="F9" s="1738"/>
      <c r="G9" s="1737"/>
      <c r="H9" s="1736"/>
      <c r="I9" s="1735"/>
      <c r="J9" s="1734"/>
      <c r="K9" s="1733"/>
      <c r="L9" s="1643"/>
      <c r="M9" s="1701" t="s">
        <v>722</v>
      </c>
      <c r="N9" s="1700"/>
      <c r="O9" s="1690">
        <f>O7-O8</f>
        <v>6043.6974789915967</v>
      </c>
      <c r="P9" s="1722"/>
      <c r="Q9" s="2518"/>
    </row>
    <row r="10" spans="1:18" ht="19.899999999999999" customHeight="1" thickBot="1">
      <c r="A10" s="1677"/>
      <c r="B10" s="2523" t="s">
        <v>723</v>
      </c>
      <c r="C10" s="2524"/>
      <c r="D10" s="2524"/>
      <c r="E10" s="2524"/>
      <c r="F10" s="2525"/>
      <c r="G10" s="1737"/>
      <c r="H10" s="1736"/>
      <c r="I10" s="1735"/>
      <c r="J10" s="1734"/>
      <c r="K10" s="1733"/>
      <c r="L10" s="1643"/>
      <c r="M10" s="1701" t="s">
        <v>724</v>
      </c>
      <c r="N10" s="1700"/>
      <c r="O10" s="1690">
        <f>O9*P10</f>
        <v>0</v>
      </c>
      <c r="P10" s="1726">
        <v>0</v>
      </c>
      <c r="Q10" s="2518"/>
    </row>
    <row r="11" spans="1:18" ht="16.149999999999999" customHeight="1" thickBot="1">
      <c r="A11" s="1677"/>
      <c r="B11" s="1732"/>
      <c r="C11" s="1731"/>
      <c r="D11" s="1730"/>
      <c r="E11" s="1729"/>
      <c r="F11" s="1728"/>
      <c r="G11" s="1681"/>
      <c r="H11" s="1683"/>
      <c r="I11" s="1682"/>
      <c r="J11" s="1681"/>
      <c r="K11" s="1680"/>
      <c r="L11" s="1643"/>
      <c r="M11" s="1701" t="s">
        <v>725</v>
      </c>
      <c r="N11" s="1700"/>
      <c r="O11" s="1690">
        <f>O9-O10</f>
        <v>6043.6974789915967</v>
      </c>
      <c r="P11" s="1722"/>
      <c r="Q11" s="2518"/>
    </row>
    <row r="12" spans="1:18" ht="16.149999999999999" customHeight="1" thickBot="1">
      <c r="A12" s="1677"/>
      <c r="B12" s="2073" t="s">
        <v>683</v>
      </c>
      <c r="C12" s="2074"/>
      <c r="D12" s="1704" t="s">
        <v>608</v>
      </c>
      <c r="E12" s="1707"/>
      <c r="F12" s="1727">
        <v>3.5</v>
      </c>
      <c r="G12" s="1681"/>
      <c r="H12" s="1683"/>
      <c r="I12" s="1682"/>
      <c r="J12" s="1681"/>
      <c r="K12" s="1680"/>
      <c r="L12" s="1643"/>
      <c r="M12" s="1701" t="s">
        <v>726</v>
      </c>
      <c r="N12" s="1708"/>
      <c r="O12" s="1690">
        <f>O7*P12</f>
        <v>725.24369747899152</v>
      </c>
      <c r="P12" s="1726">
        <v>0.12</v>
      </c>
      <c r="Q12" s="2518"/>
    </row>
    <row r="13" spans="1:18" ht="16.149999999999999" customHeight="1" thickBot="1">
      <c r="A13" s="1677"/>
      <c r="B13" s="2073" t="s">
        <v>684</v>
      </c>
      <c r="C13" s="2074"/>
      <c r="D13" s="1725" t="s">
        <v>691</v>
      </c>
      <c r="E13" s="1724" t="e">
        <f>IF($K$1=1,D8,IF($K$1=2,G8,IF($K$1=3,J8,)))</f>
        <v>#DIV/0!</v>
      </c>
      <c r="F13" s="1723" t="e">
        <f>E13%*F12</f>
        <v>#DIV/0!</v>
      </c>
      <c r="G13" s="1681"/>
      <c r="H13" s="1683"/>
      <c r="I13" s="1682"/>
      <c r="J13" s="1681"/>
      <c r="K13" s="1680"/>
      <c r="L13" s="1643"/>
      <c r="M13" s="1701" t="s">
        <v>727</v>
      </c>
      <c r="N13" s="1708"/>
      <c r="O13" s="1690">
        <f>O11-O12</f>
        <v>5318.453781512605</v>
      </c>
      <c r="P13" s="1722"/>
      <c r="Q13" s="2518"/>
    </row>
    <row r="14" spans="1:18" ht="16.149999999999999" customHeight="1" thickBot="1">
      <c r="A14" s="1677"/>
      <c r="B14" s="1721" t="s">
        <v>636</v>
      </c>
      <c r="C14" s="2072"/>
      <c r="D14" s="1704"/>
      <c r="E14" s="1707"/>
      <c r="F14" s="1706" t="e">
        <f>SUM(F12:F13)</f>
        <v>#DIV/0!</v>
      </c>
      <c r="G14" s="1681"/>
      <c r="H14" s="1683"/>
      <c r="I14" s="1682"/>
      <c r="J14" s="1681"/>
      <c r="K14" s="1680"/>
      <c r="L14" s="1643"/>
      <c r="M14" s="1701" t="s">
        <v>728</v>
      </c>
      <c r="N14" s="1708"/>
      <c r="O14" s="1720">
        <f>O7*P14/100</f>
        <v>2650.620257623475</v>
      </c>
      <c r="P14" s="1719">
        <f>'[5]2014'!R19</f>
        <v>43.85759325044404</v>
      </c>
      <c r="Q14" s="2518"/>
    </row>
    <row r="15" spans="1:18" ht="22.15" customHeight="1" thickTop="1" thickBot="1">
      <c r="A15" s="1677"/>
      <c r="B15" s="2073" t="s">
        <v>687</v>
      </c>
      <c r="C15" s="2072"/>
      <c r="D15" s="1718" t="s">
        <v>178</v>
      </c>
      <c r="E15" s="1709">
        <v>0.02</v>
      </c>
      <c r="F15" s="1717" t="e">
        <f>E15*F16</f>
        <v>#DIV/0!</v>
      </c>
      <c r="G15" s="1681"/>
      <c r="H15" s="1683"/>
      <c r="I15" s="1682"/>
      <c r="J15" s="1681"/>
      <c r="K15" s="1680"/>
      <c r="L15" s="1681"/>
      <c r="M15" s="1716" t="s">
        <v>729</v>
      </c>
      <c r="N15" s="1715"/>
      <c r="O15" s="1714">
        <f>O13-O14</f>
        <v>2667.83352388913</v>
      </c>
      <c r="P15" s="1713"/>
      <c r="Q15" s="1712">
        <f>O15/O7</f>
        <v>0.44142406749555962</v>
      </c>
    </row>
    <row r="16" spans="1:18" ht="16.149999999999999" customHeight="1" thickTop="1" thickBot="1">
      <c r="A16" s="1677"/>
      <c r="B16" s="2511" t="s">
        <v>722</v>
      </c>
      <c r="C16" s="2512"/>
      <c r="D16" s="1704"/>
      <c r="E16" s="1707"/>
      <c r="F16" s="1706" t="e">
        <f>F14/(1-E15)</f>
        <v>#DIV/0!</v>
      </c>
      <c r="G16" s="1681"/>
      <c r="H16" s="1683"/>
      <c r="I16" s="1682"/>
      <c r="J16" s="1681"/>
      <c r="K16" s="1680"/>
      <c r="L16" s="1643"/>
      <c r="M16" s="1708"/>
      <c r="N16" s="1708"/>
      <c r="O16" s="1711"/>
      <c r="P16" s="1711"/>
      <c r="Q16" s="1710"/>
    </row>
    <row r="17" spans="1:17" ht="16.149999999999999" customHeight="1" thickBot="1">
      <c r="A17" s="1677"/>
      <c r="B17" s="2511" t="s">
        <v>640</v>
      </c>
      <c r="C17" s="2512"/>
      <c r="D17" s="1704" t="s">
        <v>178</v>
      </c>
      <c r="E17" s="1709">
        <v>0.03</v>
      </c>
      <c r="F17" s="1702" t="e">
        <f>E17*F18</f>
        <v>#DIV/0!</v>
      </c>
      <c r="G17" s="1681"/>
      <c r="H17" s="1683"/>
      <c r="I17" s="1682"/>
      <c r="J17" s="1681"/>
      <c r="K17" s="1680"/>
      <c r="L17" s="1643"/>
      <c r="M17" s="1701"/>
      <c r="N17" s="1708"/>
      <c r="O17" s="1690"/>
      <c r="P17" s="1679"/>
      <c r="Q17" s="1678"/>
    </row>
    <row r="18" spans="1:17" ht="16.149999999999999" customHeight="1" thickBot="1">
      <c r="A18" s="1677"/>
      <c r="B18" s="2511" t="s">
        <v>642</v>
      </c>
      <c r="C18" s="2512"/>
      <c r="D18" s="1704"/>
      <c r="E18" s="1707"/>
      <c r="F18" s="1706" t="e">
        <f>F16/(1-E17)</f>
        <v>#DIV/0!</v>
      </c>
      <c r="G18" s="1681"/>
      <c r="H18" s="1683"/>
      <c r="I18" s="1682"/>
      <c r="J18" s="1681"/>
      <c r="K18" s="1680"/>
      <c r="L18" s="1643"/>
      <c r="M18" s="1701" t="s">
        <v>730</v>
      </c>
      <c r="N18" s="1700"/>
      <c r="O18" s="1690">
        <f>O7*Q18</f>
        <v>2900.9747899159661</v>
      </c>
      <c r="P18" s="1689"/>
      <c r="Q18" s="1705">
        <v>0.48</v>
      </c>
    </row>
    <row r="19" spans="1:17" ht="16.149999999999999" customHeight="1" thickBot="1">
      <c r="A19" s="1677"/>
      <c r="B19" s="2073" t="s">
        <v>690</v>
      </c>
      <c r="C19" s="2074"/>
      <c r="D19" s="1704" t="s">
        <v>691</v>
      </c>
      <c r="E19" s="1703">
        <f>[5]Deckblatt!B13</f>
        <v>0.19</v>
      </c>
      <c r="F19" s="1702" t="e">
        <f>E19*F18</f>
        <v>#DIV/0!</v>
      </c>
      <c r="G19" s="1681"/>
      <c r="H19" s="1683"/>
      <c r="I19" s="1682"/>
      <c r="J19" s="1681"/>
      <c r="K19" s="1680"/>
      <c r="L19" s="1643"/>
      <c r="M19" s="1701"/>
      <c r="N19" s="1700"/>
      <c r="O19" s="1690"/>
      <c r="P19" s="1679"/>
      <c r="Q19" s="1678"/>
    </row>
    <row r="20" spans="1:17" ht="16.149999999999999" customHeight="1" thickBot="1">
      <c r="A20" s="1677"/>
      <c r="B20" s="1699" t="s">
        <v>731</v>
      </c>
      <c r="C20" s="1698"/>
      <c r="D20" s="1697"/>
      <c r="E20" s="1696"/>
      <c r="F20" s="1695" t="e">
        <f>SUM(F18:F19)</f>
        <v>#DIV/0!</v>
      </c>
      <c r="G20" s="1681"/>
      <c r="H20" s="1683"/>
      <c r="I20" s="1682"/>
      <c r="J20" s="1681"/>
      <c r="K20" s="1680"/>
      <c r="L20" s="1643"/>
      <c r="M20" s="2513" t="s">
        <v>732</v>
      </c>
      <c r="N20" s="2161"/>
      <c r="O20" s="1694">
        <f>O15-O18</f>
        <v>-233.14126602683609</v>
      </c>
      <c r="P20" s="1679"/>
      <c r="Q20" s="1678"/>
    </row>
    <row r="21" spans="1:17" ht="16.149999999999999" customHeight="1" thickBot="1">
      <c r="A21" s="1677"/>
      <c r="B21" s="2515" t="s">
        <v>733</v>
      </c>
      <c r="C21" s="2516"/>
      <c r="D21" s="1693"/>
      <c r="E21" s="1692" t="e">
        <f>(F18-F12)/F18</f>
        <v>#DIV/0!</v>
      </c>
      <c r="F21" s="1691"/>
      <c r="G21" s="1681"/>
      <c r="H21" s="1683"/>
      <c r="I21" s="1682"/>
      <c r="J21" s="1681"/>
      <c r="K21" s="1680"/>
      <c r="L21" s="1643"/>
      <c r="M21" s="2514"/>
      <c r="N21" s="2161"/>
      <c r="O21" s="1690"/>
      <c r="P21" s="1689"/>
      <c r="Q21" s="1678"/>
    </row>
    <row r="22" spans="1:17" ht="16.149999999999999" customHeight="1" thickBot="1">
      <c r="A22" s="1677"/>
      <c r="B22" s="1688"/>
      <c r="C22" s="1687"/>
      <c r="D22" s="1686"/>
      <c r="E22" s="1685"/>
      <c r="F22" s="1684"/>
      <c r="G22" s="1681"/>
      <c r="H22" s="1683"/>
      <c r="I22" s="1682"/>
      <c r="J22" s="1681"/>
      <c r="K22" s="1680"/>
      <c r="L22" s="1643"/>
      <c r="M22" s="2514"/>
      <c r="N22" s="2161"/>
      <c r="O22" s="1679"/>
      <c r="P22" s="1679"/>
      <c r="Q22" s="1678"/>
    </row>
    <row r="23" spans="1:17" ht="28.5" customHeight="1">
      <c r="A23" s="1677"/>
      <c r="B23" s="2503" t="s">
        <v>734</v>
      </c>
      <c r="C23" s="2503"/>
      <c r="D23" s="2503"/>
      <c r="E23" s="2503"/>
      <c r="F23" s="2503"/>
      <c r="G23" s="2503"/>
      <c r="H23" s="2503"/>
      <c r="I23" s="2503"/>
      <c r="J23" s="2503"/>
      <c r="K23" s="2504"/>
      <c r="L23" s="1643"/>
    </row>
    <row r="24" spans="1:17" ht="15" thickBot="1">
      <c r="A24" s="1677"/>
      <c r="B24" s="2503"/>
      <c r="C24" s="2503" t="s">
        <v>694</v>
      </c>
      <c r="D24" s="2503"/>
      <c r="E24" s="2503"/>
      <c r="F24" s="2503" t="s">
        <v>695</v>
      </c>
      <c r="G24" s="2503"/>
      <c r="H24" s="2503"/>
      <c r="I24" s="2503" t="s">
        <v>696</v>
      </c>
      <c r="J24" s="2503"/>
      <c r="K24" s="2504"/>
      <c r="L24" s="1643"/>
    </row>
    <row r="25" spans="1:17" ht="15" thickBot="1">
      <c r="A25" s="1677"/>
      <c r="B25" s="1676" t="s">
        <v>697</v>
      </c>
      <c r="C25" s="1674"/>
      <c r="D25" s="1674"/>
      <c r="E25" s="1673"/>
      <c r="F25" s="1674"/>
      <c r="G25" s="1675" t="e">
        <f>E13</f>
        <v>#DIV/0!</v>
      </c>
      <c r="H25" s="1673"/>
      <c r="I25" s="1674" t="s">
        <v>735</v>
      </c>
      <c r="J25" s="1674" t="s">
        <v>736</v>
      </c>
      <c r="K25" s="1673" t="s">
        <v>737</v>
      </c>
      <c r="L25" s="1643"/>
    </row>
    <row r="26" spans="1:17" ht="44.25" thickTop="1" thickBot="1">
      <c r="A26" s="1656"/>
      <c r="B26" s="1667" t="s">
        <v>698</v>
      </c>
      <c r="C26" s="1672"/>
      <c r="D26" s="1669"/>
      <c r="E26" s="1671"/>
      <c r="F26" s="1670" t="s">
        <v>699</v>
      </c>
      <c r="G26" s="1669" t="s">
        <v>700</v>
      </c>
      <c r="H26" s="1669" t="s">
        <v>588</v>
      </c>
      <c r="I26" s="1668">
        <v>0.11</v>
      </c>
      <c r="J26" s="1668">
        <v>0.08</v>
      </c>
      <c r="K26" s="1668">
        <v>0.03</v>
      </c>
      <c r="L26" s="1643"/>
    </row>
    <row r="27" spans="1:17" ht="6.75" customHeight="1" thickTop="1">
      <c r="A27" s="1656"/>
      <c r="B27" s="1667"/>
      <c r="C27" s="1666"/>
      <c r="D27" s="2072"/>
      <c r="E27" s="1665"/>
      <c r="F27" s="2071"/>
      <c r="G27" s="2072"/>
      <c r="H27" s="1665"/>
      <c r="I27" s="2071"/>
      <c r="J27" s="2072"/>
      <c r="K27" s="1665"/>
      <c r="L27" s="1643"/>
    </row>
    <row r="28" spans="1:17" ht="14.25">
      <c r="A28" s="1664"/>
      <c r="B28" s="1663" t="s">
        <v>738</v>
      </c>
      <c r="C28" s="1662"/>
      <c r="D28" s="1659"/>
      <c r="E28" s="1661"/>
      <c r="F28" s="1660">
        <v>50</v>
      </c>
      <c r="G28" s="1659">
        <v>0.85</v>
      </c>
      <c r="H28" s="1658">
        <f>F28*G28+F28</f>
        <v>92.5</v>
      </c>
      <c r="I28" s="1657">
        <f>H28-(H28*$I$26)</f>
        <v>82.325000000000003</v>
      </c>
      <c r="J28" s="1657">
        <f>H28-(H28*$J$26)</f>
        <v>85.1</v>
      </c>
      <c r="K28" s="1657">
        <f>H28-(H28*$K$26)</f>
        <v>89.724999999999994</v>
      </c>
      <c r="L28" s="1643"/>
    </row>
    <row r="29" spans="1:17" ht="14.25">
      <c r="A29" s="1664"/>
      <c r="B29" s="1663" t="s">
        <v>739</v>
      </c>
      <c r="C29" s="1662"/>
      <c r="D29" s="1659"/>
      <c r="E29" s="1661"/>
      <c r="F29" s="1660"/>
      <c r="G29" s="1659"/>
      <c r="H29" s="1658">
        <f>F29*G29+F29</f>
        <v>0</v>
      </c>
      <c r="I29" s="1657">
        <f>H29-(H29*$I$26)</f>
        <v>0</v>
      </c>
      <c r="J29" s="1657">
        <f>H29-(H29*$J$26)</f>
        <v>0</v>
      </c>
      <c r="K29" s="1657">
        <f>H29-(H29*$K$26)</f>
        <v>0</v>
      </c>
      <c r="L29" s="1643"/>
    </row>
    <row r="30" spans="1:17" ht="14.25">
      <c r="A30" s="1664"/>
      <c r="B30" s="1663" t="s">
        <v>740</v>
      </c>
      <c r="C30" s="1662"/>
      <c r="D30" s="1659"/>
      <c r="E30" s="1661"/>
      <c r="F30" s="1660"/>
      <c r="G30" s="1659"/>
      <c r="H30" s="1658">
        <f>F30*G30+F30</f>
        <v>0</v>
      </c>
      <c r="I30" s="1657">
        <f>H30-(H30*$I$26)</f>
        <v>0</v>
      </c>
      <c r="J30" s="1657">
        <f>H30-(H30*$J$26)</f>
        <v>0</v>
      </c>
      <c r="K30" s="1657">
        <f>H30-(H30*$K$26)</f>
        <v>0</v>
      </c>
      <c r="L30" s="1643"/>
    </row>
    <row r="31" spans="1:17" ht="14.25">
      <c r="A31" s="1664"/>
      <c r="B31" s="1663" t="s">
        <v>649</v>
      </c>
      <c r="C31" s="1662"/>
      <c r="D31" s="1659"/>
      <c r="E31" s="1661"/>
      <c r="F31" s="1660"/>
      <c r="G31" s="1659"/>
      <c r="H31" s="1658">
        <f>F31*G31+F31</f>
        <v>0</v>
      </c>
      <c r="I31" s="1657">
        <f>H31-(H31*$I$26)</f>
        <v>0</v>
      </c>
      <c r="J31" s="1657">
        <f>H31-(H31*$J$26)</f>
        <v>0</v>
      </c>
      <c r="K31" s="1657">
        <f>H31-(H31*$K$26)</f>
        <v>0</v>
      </c>
      <c r="L31" s="1643"/>
    </row>
    <row r="32" spans="1:17" ht="14.25">
      <c r="A32" s="1664"/>
      <c r="B32" s="1663" t="s">
        <v>649</v>
      </c>
      <c r="C32" s="1662"/>
      <c r="D32" s="1659"/>
      <c r="E32" s="1661"/>
      <c r="F32" s="1660"/>
      <c r="G32" s="1659"/>
      <c r="H32" s="1658">
        <f>F32*G32+F32</f>
        <v>0</v>
      </c>
      <c r="I32" s="1657">
        <f>H32-(H32*$I$26)</f>
        <v>0</v>
      </c>
      <c r="J32" s="1657">
        <f>H32-(H32*$J$26)</f>
        <v>0</v>
      </c>
      <c r="K32" s="1657">
        <f>H32-(H32*$K$26)</f>
        <v>0</v>
      </c>
      <c r="L32" s="1643"/>
    </row>
    <row r="33" spans="1:12" ht="15" customHeight="1" thickBot="1">
      <c r="A33" s="1656"/>
      <c r="B33" s="1655"/>
      <c r="C33" s="1651"/>
      <c r="D33" s="1654"/>
      <c r="E33" s="1653"/>
      <c r="F33" s="1651"/>
      <c r="G33" s="1650"/>
      <c r="H33" s="1652"/>
      <c r="I33" s="1651"/>
      <c r="J33" s="1650"/>
      <c r="K33" s="1649"/>
      <c r="L33" s="1643"/>
    </row>
    <row r="34" spans="1:12" ht="28.9" customHeight="1" thickBot="1">
      <c r="A34" s="1648"/>
      <c r="B34" s="1647" t="s">
        <v>633</v>
      </c>
      <c r="C34" s="2505"/>
      <c r="D34" s="2506"/>
      <c r="E34" s="2507"/>
      <c r="F34" s="1646">
        <f>SUM(F28:F33)</f>
        <v>50</v>
      </c>
      <c r="G34" s="1639"/>
      <c r="H34" s="1645">
        <f>SUM(H28:H33)</f>
        <v>92.5</v>
      </c>
      <c r="I34" s="1644">
        <f>SUM(I28:I32)</f>
        <v>82.325000000000003</v>
      </c>
      <c r="J34" s="1644">
        <f>SUM(J28:J32)</f>
        <v>85.1</v>
      </c>
      <c r="K34" s="1644">
        <f>SUM(K28:K32)</f>
        <v>89.724999999999994</v>
      </c>
      <c r="L34" s="1643"/>
    </row>
    <row r="35" spans="1:12" ht="33" customHeight="1" thickTop="1" thickBot="1">
      <c r="A35" s="1642"/>
      <c r="B35" s="1641"/>
      <c r="C35" s="2505" t="s">
        <v>741</v>
      </c>
      <c r="D35" s="2506"/>
      <c r="E35" s="2507"/>
      <c r="F35" s="1640"/>
      <c r="G35" s="1639">
        <f>(H34-F34)/F34</f>
        <v>0.85</v>
      </c>
      <c r="H35" s="1640"/>
      <c r="I35" s="1639">
        <f>(I34-$F$34)/F34</f>
        <v>0.64650000000000007</v>
      </c>
      <c r="J35" s="1639">
        <f>(J34-$F$34)/F34</f>
        <v>0.70199999999999985</v>
      </c>
      <c r="K35" s="1639">
        <f>(K34-$F$34)/F34</f>
        <v>0.79449999999999987</v>
      </c>
      <c r="L35" s="1638"/>
    </row>
    <row r="36" spans="1:12" ht="16.899999999999999" customHeight="1">
      <c r="B36" s="2076"/>
      <c r="C36" s="1635"/>
      <c r="D36" s="1637"/>
      <c r="E36" s="1636"/>
      <c r="F36" s="1635"/>
      <c r="G36" s="1634"/>
      <c r="H36" s="1634"/>
      <c r="I36" s="1634"/>
      <c r="J36" s="1634"/>
      <c r="K36" s="1634"/>
      <c r="L36" s="1608"/>
    </row>
    <row r="37" spans="1:12" ht="13.5" customHeight="1" thickBot="1">
      <c r="B37" s="1620"/>
      <c r="C37" s="1620"/>
      <c r="D37" s="1618"/>
      <c r="E37" s="1621"/>
      <c r="F37" s="1621"/>
      <c r="G37" s="1634"/>
      <c r="H37" s="1634"/>
      <c r="I37" s="1634"/>
      <c r="J37" s="1634"/>
      <c r="K37" s="1634"/>
      <c r="L37" s="1608"/>
    </row>
    <row r="38" spans="1:12" ht="38.25" customHeight="1" thickBot="1">
      <c r="B38" s="1628" t="s">
        <v>742</v>
      </c>
      <c r="C38" s="2508" t="s">
        <v>743</v>
      </c>
      <c r="D38" s="2509"/>
      <c r="E38" s="2509"/>
      <c r="F38" s="2510"/>
      <c r="G38" s="1633"/>
      <c r="H38" s="1632"/>
      <c r="I38" s="1631"/>
      <c r="J38" s="1630"/>
      <c r="K38" s="1629"/>
      <c r="L38" s="1629"/>
    </row>
    <row r="39" spans="1:12" ht="21.6" customHeight="1" thickTop="1" thickBot="1">
      <c r="B39" s="1628" t="s">
        <v>742</v>
      </c>
      <c r="C39" s="2075" t="s">
        <v>744</v>
      </c>
      <c r="D39" s="1627"/>
      <c r="E39" s="1626"/>
      <c r="F39" s="1625" t="s">
        <v>745</v>
      </c>
      <c r="G39" s="1624"/>
      <c r="H39" s="1623"/>
      <c r="I39" s="1622" t="s">
        <v>746</v>
      </c>
      <c r="J39" s="1608"/>
      <c r="K39" s="1607"/>
      <c r="L39" s="1607"/>
    </row>
    <row r="40" spans="1:12" ht="15.6" customHeight="1" thickTop="1">
      <c r="B40" s="1621"/>
      <c r="C40" s="1620"/>
      <c r="D40" s="1618"/>
      <c r="E40" s="1617"/>
      <c r="F40" s="1616"/>
      <c r="G40" s="1608"/>
      <c r="H40" s="1608"/>
      <c r="I40" s="1608"/>
      <c r="J40" s="1608"/>
      <c r="K40" s="1607"/>
      <c r="L40" s="1607"/>
    </row>
    <row r="41" spans="1:12" ht="14.25">
      <c r="B41" s="2076"/>
      <c r="C41" s="1620"/>
      <c r="D41" s="1620"/>
      <c r="E41" s="1617"/>
      <c r="F41" s="1616"/>
      <c r="G41" s="1608"/>
      <c r="H41" s="1608"/>
      <c r="I41" s="1619"/>
      <c r="J41" s="1608"/>
      <c r="K41" s="1607"/>
      <c r="L41" s="1607"/>
    </row>
    <row r="42" spans="1:12" ht="14.25">
      <c r="B42" s="2502"/>
      <c r="C42" s="2502"/>
      <c r="D42" s="1618"/>
      <c r="E42" s="1617"/>
      <c r="F42" s="1616"/>
      <c r="G42" s="1608"/>
      <c r="H42" s="1608"/>
      <c r="I42" s="1608"/>
      <c r="J42" s="1608"/>
      <c r="K42" s="1607"/>
      <c r="L42" s="1607"/>
    </row>
    <row r="43" spans="1:12" ht="14.25">
      <c r="B43" s="2502"/>
      <c r="C43" s="2502"/>
      <c r="D43" s="1618"/>
      <c r="E43" s="1617"/>
      <c r="F43" s="1616"/>
      <c r="G43" s="1608"/>
      <c r="H43" s="1608"/>
      <c r="I43" s="1608"/>
      <c r="J43" s="1608"/>
      <c r="K43" s="1607"/>
      <c r="L43" s="1607"/>
    </row>
    <row r="44" spans="1:12" ht="14.25">
      <c r="B44" s="2502"/>
      <c r="C44" s="2502"/>
      <c r="D44" s="1618"/>
      <c r="E44" s="1617"/>
      <c r="F44" s="1616"/>
      <c r="G44" s="1608"/>
      <c r="H44" s="1608"/>
      <c r="I44" s="1608"/>
      <c r="J44" s="1608"/>
      <c r="K44" s="1607"/>
      <c r="L44" s="1607"/>
    </row>
    <row r="45" spans="1:12" ht="14.25">
      <c r="B45" s="2076"/>
      <c r="C45" s="2076"/>
      <c r="D45" s="1618"/>
      <c r="E45" s="1617"/>
      <c r="F45" s="1616"/>
      <c r="G45" s="1608"/>
      <c r="H45" s="1608"/>
      <c r="I45" s="1608"/>
      <c r="J45" s="1608"/>
      <c r="K45" s="1607"/>
      <c r="L45" s="1607"/>
    </row>
    <row r="46" spans="1:12" ht="14.25">
      <c r="B46" s="2076"/>
      <c r="C46" s="2076"/>
      <c r="D46" s="1618"/>
      <c r="E46" s="1617"/>
      <c r="F46" s="1616"/>
      <c r="G46" s="1608"/>
      <c r="H46" s="1608"/>
      <c r="I46" s="1608"/>
      <c r="J46" s="1608"/>
      <c r="K46" s="1607"/>
      <c r="L46" s="1607"/>
    </row>
    <row r="47" spans="1:12" ht="13.9" customHeight="1">
      <c r="B47" s="1613"/>
      <c r="C47" s="1612"/>
      <c r="D47" s="1611"/>
      <c r="E47" s="1615"/>
      <c r="F47" s="1614"/>
      <c r="G47" s="1608"/>
      <c r="H47" s="1608"/>
      <c r="I47" s="1608"/>
      <c r="J47" s="1608"/>
      <c r="K47" s="1607"/>
      <c r="L47" s="1607"/>
    </row>
    <row r="48" spans="1:12" ht="14.25">
      <c r="B48" s="1613"/>
      <c r="C48" s="1612"/>
      <c r="D48" s="1611"/>
      <c r="E48" s="1610"/>
      <c r="F48" s="1609"/>
      <c r="G48" s="1608"/>
      <c r="H48" s="1608"/>
      <c r="I48" s="1608"/>
      <c r="J48" s="1608"/>
      <c r="K48" s="1607"/>
      <c r="L48" s="1606"/>
    </row>
    <row r="51" spans="1:2" ht="12.6" customHeight="1">
      <c r="A51" s="1605"/>
      <c r="B51" s="1602"/>
    </row>
    <row r="52" spans="1:2" ht="13.15" customHeight="1">
      <c r="A52" s="1605"/>
      <c r="B52" s="1602"/>
    </row>
    <row r="53" spans="1:2">
      <c r="B53" s="1602"/>
    </row>
    <row r="54" spans="1:2">
      <c r="B54" s="1602"/>
    </row>
    <row r="55" spans="1:2">
      <c r="B55" s="1602"/>
    </row>
    <row r="56" spans="1:2">
      <c r="B56" s="1602"/>
    </row>
    <row r="57" spans="1:2">
      <c r="B57" s="1602"/>
    </row>
    <row r="58" spans="1:2">
      <c r="B58" s="1602"/>
    </row>
    <row r="59" spans="1:2">
      <c r="B59" s="1602"/>
    </row>
    <row r="60" spans="1:2">
      <c r="B60" s="1602"/>
    </row>
    <row r="61" spans="1:2">
      <c r="B61" s="1602"/>
    </row>
    <row r="62" spans="1:2" ht="13.5" thickBot="1">
      <c r="A62" s="1604"/>
      <c r="B62" s="1602"/>
    </row>
  </sheetData>
  <mergeCells count="22">
    <mergeCell ref="B1:H2"/>
    <mergeCell ref="K1:K2"/>
    <mergeCell ref="M1:R2"/>
    <mergeCell ref="M3:N3"/>
    <mergeCell ref="O3:P3"/>
    <mergeCell ref="Q4:Q14"/>
    <mergeCell ref="C5:E5"/>
    <mergeCell ref="F5:H5"/>
    <mergeCell ref="I5:K5"/>
    <mergeCell ref="B10:F10"/>
    <mergeCell ref="B16:C16"/>
    <mergeCell ref="B17:C17"/>
    <mergeCell ref="B18:C18"/>
    <mergeCell ref="M20:N22"/>
    <mergeCell ref="B21:C21"/>
    <mergeCell ref="B43:C43"/>
    <mergeCell ref="B44:C44"/>
    <mergeCell ref="B23:K24"/>
    <mergeCell ref="C34:E34"/>
    <mergeCell ref="C35:E35"/>
    <mergeCell ref="C38:F38"/>
    <mergeCell ref="B42:C42"/>
  </mergeCells>
  <pageMargins left="0.70866141732283472" right="0.70866141732283472" top="0.78740157480314965" bottom="0.78740157480314965" header="0.31496062992125984" footer="0.31496062992125984"/>
  <pageSetup paperSize="9" scale="65" orientation="landscape" r:id="rId1"/>
  <headerFooter>
    <oddHeader>&amp;L&amp;F&amp;C&amp;A</oddHeader>
    <oddFooter>&amp;L&amp;"Verdana,Standard"Zur Verfügung gestellt durch Rüdiger ADAMY, Hannover&amp;R&amp;D</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B9A6C-D818-4D3F-A5CF-9FBD4B5CA1D6}">
  <sheetPr>
    <tabColor indexed="44"/>
    <pageSetUpPr fitToPage="1"/>
  </sheetPr>
  <dimension ref="A1:J25"/>
  <sheetViews>
    <sheetView showGridLines="0" zoomScaleNormal="100" zoomScalePageLayoutView="50" workbookViewId="0">
      <selection activeCell="C15" sqref="C15"/>
    </sheetView>
  </sheetViews>
  <sheetFormatPr defaultColWidth="11.42578125" defaultRowHeight="12.75"/>
  <cols>
    <col min="1" max="1" width="1.5703125" style="1214" customWidth="1"/>
    <col min="2" max="2" width="31.7109375" style="1214" customWidth="1"/>
    <col min="3" max="3" width="11.42578125" style="1214"/>
    <col min="4" max="4" width="12.140625" style="1214" customWidth="1"/>
    <col min="5" max="5" width="12.140625" style="1125" customWidth="1"/>
    <col min="6" max="9" width="12.140625" style="1214" customWidth="1"/>
    <col min="10" max="10" width="1.42578125" style="1214" customWidth="1"/>
    <col min="11" max="16384" width="11.42578125" style="1214"/>
  </cols>
  <sheetData>
    <row r="1" spans="1:10" ht="15.75" customHeight="1" thickTop="1">
      <c r="A1" s="1248"/>
      <c r="B1" s="2534" t="s">
        <v>747</v>
      </c>
      <c r="C1" s="2534"/>
      <c r="D1" s="2534"/>
      <c r="E1" s="2534"/>
      <c r="F1" s="2534"/>
      <c r="G1" s="2534"/>
      <c r="H1" s="2534"/>
      <c r="I1" s="2534"/>
      <c r="J1" s="1249"/>
    </row>
    <row r="2" spans="1:10">
      <c r="A2" s="1250"/>
      <c r="B2" s="2535"/>
      <c r="C2" s="2535"/>
      <c r="D2" s="2535"/>
      <c r="E2" s="2535"/>
      <c r="F2" s="2535"/>
      <c r="G2" s="2535"/>
      <c r="H2" s="2535"/>
      <c r="I2" s="2535"/>
      <c r="J2" s="1251"/>
    </row>
    <row r="3" spans="1:10" ht="8.25" customHeight="1" thickBot="1">
      <c r="A3" s="1250"/>
      <c r="B3" s="1252"/>
      <c r="C3" s="1252"/>
      <c r="D3" s="1252"/>
      <c r="E3" s="1252"/>
      <c r="F3" s="1252"/>
      <c r="G3" s="1252"/>
      <c r="H3" s="1252"/>
      <c r="I3" s="1252"/>
      <c r="J3" s="1251"/>
    </row>
    <row r="4" spans="1:10" ht="15.75">
      <c r="A4" s="1253"/>
      <c r="B4" s="1254" t="s">
        <v>748</v>
      </c>
      <c r="C4" s="1255"/>
      <c r="D4" s="1255"/>
      <c r="E4" s="1256"/>
      <c r="F4" s="1255"/>
      <c r="G4" s="1255"/>
      <c r="H4" s="1255"/>
      <c r="I4" s="1257"/>
      <c r="J4" s="1251"/>
    </row>
    <row r="5" spans="1:10" ht="19.5" customHeight="1">
      <c r="A5" s="1253"/>
      <c r="B5" s="1258"/>
      <c r="C5" s="1259"/>
      <c r="D5" s="1259"/>
      <c r="E5" s="1260"/>
      <c r="F5" s="1259"/>
      <c r="G5" s="1259"/>
      <c r="H5" s="1259"/>
      <c r="I5" s="1261"/>
      <c r="J5" s="1251"/>
    </row>
    <row r="6" spans="1:10" ht="25.9" customHeight="1">
      <c r="A6" s="1253"/>
      <c r="B6" s="1262"/>
      <c r="C6" s="1263"/>
      <c r="D6" s="2538">
        <f>ZusammenführErgebn!C3</f>
        <v>2025</v>
      </c>
      <c r="E6" s="2539"/>
      <c r="F6" s="2538">
        <f>ZusammenführErgebn!D3</f>
        <v>2026</v>
      </c>
      <c r="G6" s="2539"/>
      <c r="H6" s="2538">
        <f>ZusammenführErgebn!E3</f>
        <v>2027</v>
      </c>
      <c r="I6" s="2539"/>
      <c r="J6" s="1251"/>
    </row>
    <row r="7" spans="1:10">
      <c r="A7" s="1264"/>
      <c r="B7" s="1265" t="s">
        <v>749</v>
      </c>
      <c r="C7" s="1266" t="s">
        <v>750</v>
      </c>
      <c r="D7" s="1267" t="s">
        <v>287</v>
      </c>
      <c r="E7" s="1266" t="s">
        <v>646</v>
      </c>
      <c r="F7" s="1267" t="s">
        <v>287</v>
      </c>
      <c r="G7" s="1266" t="s">
        <v>646</v>
      </c>
      <c r="H7" s="1267" t="s">
        <v>287</v>
      </c>
      <c r="I7" s="1268" t="s">
        <v>646</v>
      </c>
      <c r="J7" s="1251"/>
    </row>
    <row r="8" spans="1:10" ht="7.5" customHeight="1">
      <c r="A8" s="1264"/>
      <c r="B8" s="1269"/>
      <c r="C8" s="1270"/>
      <c r="D8" s="1271"/>
      <c r="E8" s="1272"/>
      <c r="F8" s="1273"/>
      <c r="G8" s="1274"/>
      <c r="H8" s="1273"/>
      <c r="I8" s="1275"/>
      <c r="J8" s="1251"/>
    </row>
    <row r="9" spans="1:10" ht="25.5" customHeight="1">
      <c r="A9" s="1264"/>
      <c r="B9" s="37" t="s">
        <v>751</v>
      </c>
      <c r="C9" s="38">
        <v>0.25</v>
      </c>
      <c r="D9" s="2536">
        <f>'Ertragsv. 2025'!M41</f>
        <v>0</v>
      </c>
      <c r="E9" s="1276">
        <f>C9*D9</f>
        <v>0</v>
      </c>
      <c r="F9" s="2536">
        <f>'Ertragsv. 2026'!M40</f>
        <v>0</v>
      </c>
      <c r="G9" s="1276">
        <f>C9*F9</f>
        <v>0</v>
      </c>
      <c r="H9" s="2536">
        <f>'Ertragsv. 2027'!M40</f>
        <v>0</v>
      </c>
      <c r="I9" s="1277">
        <f>C9*H9</f>
        <v>0</v>
      </c>
      <c r="J9" s="1251"/>
    </row>
    <row r="10" spans="1:10" ht="25.5" customHeight="1">
      <c r="A10" s="1264"/>
      <c r="B10" s="36" t="s">
        <v>752</v>
      </c>
      <c r="C10" s="39">
        <v>1</v>
      </c>
      <c r="D10" s="2537"/>
      <c r="E10" s="1276">
        <f>C10*D9</f>
        <v>0</v>
      </c>
      <c r="F10" s="2537"/>
      <c r="G10" s="1276">
        <f>C10*F9</f>
        <v>0</v>
      </c>
      <c r="H10" s="2537"/>
      <c r="I10" s="1277">
        <f>C10*H9</f>
        <v>0</v>
      </c>
      <c r="J10" s="1251"/>
    </row>
    <row r="11" spans="1:10" ht="25.5" customHeight="1">
      <c r="A11" s="1264"/>
      <c r="B11" s="36" t="s">
        <v>753</v>
      </c>
      <c r="C11" s="39">
        <v>2.5</v>
      </c>
      <c r="D11" s="2537"/>
      <c r="E11" s="1276">
        <f>C11*D9</f>
        <v>0</v>
      </c>
      <c r="F11" s="2537"/>
      <c r="G11" s="1276">
        <f>C11*F9</f>
        <v>0</v>
      </c>
      <c r="H11" s="2537"/>
      <c r="I11" s="1277">
        <f>C11*H9</f>
        <v>0</v>
      </c>
      <c r="J11" s="1251"/>
    </row>
    <row r="12" spans="1:10" ht="25.5" customHeight="1">
      <c r="A12" s="1264"/>
      <c r="B12" s="36" t="s">
        <v>754</v>
      </c>
      <c r="C12" s="39">
        <v>3</v>
      </c>
      <c r="D12" s="2537"/>
      <c r="E12" s="1276">
        <f>C12*D9</f>
        <v>0</v>
      </c>
      <c r="F12" s="2537"/>
      <c r="G12" s="1276">
        <f>C12*F9</f>
        <v>0</v>
      </c>
      <c r="H12" s="2537"/>
      <c r="I12" s="1277">
        <f>C12*H9</f>
        <v>0</v>
      </c>
      <c r="J12" s="1251"/>
    </row>
    <row r="13" spans="1:10" ht="25.5" customHeight="1">
      <c r="A13" s="1264"/>
      <c r="B13" s="36" t="s">
        <v>755</v>
      </c>
      <c r="C13" s="39"/>
      <c r="D13" s="2537"/>
      <c r="E13" s="1276">
        <f>C13*D9</f>
        <v>0</v>
      </c>
      <c r="F13" s="2537"/>
      <c r="G13" s="1276">
        <f>C13*F9</f>
        <v>0</v>
      </c>
      <c r="H13" s="2537"/>
      <c r="I13" s="1277">
        <f>C13*H9</f>
        <v>0</v>
      </c>
      <c r="J13" s="1251"/>
    </row>
    <row r="14" spans="1:10" ht="25.5" customHeight="1">
      <c r="A14" s="1264"/>
      <c r="B14" s="2142" t="s">
        <v>756</v>
      </c>
      <c r="C14" s="39">
        <v>0.5</v>
      </c>
      <c r="D14" s="2537"/>
      <c r="E14" s="1276">
        <f>C14*D9</f>
        <v>0</v>
      </c>
      <c r="F14" s="2537"/>
      <c r="G14" s="1276">
        <f>C14*F9</f>
        <v>0</v>
      </c>
      <c r="H14" s="2537"/>
      <c r="I14" s="1277">
        <f>C14*H9</f>
        <v>0</v>
      </c>
      <c r="J14" s="1251"/>
    </row>
    <row r="15" spans="1:10" ht="25.5" customHeight="1">
      <c r="A15" s="1264"/>
      <c r="B15" s="36" t="s">
        <v>213</v>
      </c>
      <c r="C15" s="39"/>
      <c r="D15" s="2537"/>
      <c r="E15" s="1276">
        <f>C15*D9</f>
        <v>0</v>
      </c>
      <c r="F15" s="2537"/>
      <c r="G15" s="1276">
        <f>C15*F9</f>
        <v>0</v>
      </c>
      <c r="H15" s="2537"/>
      <c r="I15" s="1277">
        <f>C15*H9</f>
        <v>0</v>
      </c>
      <c r="J15" s="1251"/>
    </row>
    <row r="16" spans="1:10" ht="25.5" customHeight="1">
      <c r="A16" s="1264"/>
      <c r="B16" s="36" t="s">
        <v>213</v>
      </c>
      <c r="C16" s="39"/>
      <c r="D16" s="2537"/>
      <c r="E16" s="1276">
        <f>C16*D10</f>
        <v>0</v>
      </c>
      <c r="F16" s="2537"/>
      <c r="G16" s="1276">
        <f>C16*F10</f>
        <v>0</v>
      </c>
      <c r="H16" s="2537"/>
      <c r="I16" s="1277">
        <f>C16*H10</f>
        <v>0</v>
      </c>
      <c r="J16" s="1251"/>
    </row>
    <row r="17" spans="1:10" ht="25.5" customHeight="1">
      <c r="A17" s="1264"/>
      <c r="B17" s="36" t="s">
        <v>213</v>
      </c>
      <c r="C17" s="39"/>
      <c r="D17" s="2537"/>
      <c r="E17" s="1276">
        <f>C17*D11</f>
        <v>0</v>
      </c>
      <c r="F17" s="2537"/>
      <c r="G17" s="1276">
        <f>C17*F11</f>
        <v>0</v>
      </c>
      <c r="H17" s="2537"/>
      <c r="I17" s="1277">
        <f>C17*H11</f>
        <v>0</v>
      </c>
      <c r="J17" s="1251"/>
    </row>
    <row r="18" spans="1:10" ht="7.5" customHeight="1" thickBot="1">
      <c r="A18" s="1264"/>
      <c r="B18" s="1278"/>
      <c r="C18" s="1279"/>
      <c r="D18" s="1280"/>
      <c r="E18" s="1281"/>
      <c r="F18" s="1280"/>
      <c r="G18" s="1281"/>
      <c r="H18" s="1280"/>
      <c r="I18" s="1282"/>
      <c r="J18" s="1251"/>
    </row>
    <row r="19" spans="1:10" ht="13.5" thickBot="1">
      <c r="A19" s="1264"/>
      <c r="B19" s="1283" t="s">
        <v>757</v>
      </c>
      <c r="C19" s="1284"/>
      <c r="D19" s="1285"/>
      <c r="E19" s="1286">
        <f>SUM(E9:E17)</f>
        <v>0</v>
      </c>
      <c r="F19" s="1285"/>
      <c r="G19" s="1286">
        <f>SUM(G9:G17)</f>
        <v>0</v>
      </c>
      <c r="H19" s="1285"/>
      <c r="I19" s="1287">
        <f>SUM(I9:I17)</f>
        <v>0</v>
      </c>
      <c r="J19" s="1251"/>
    </row>
    <row r="20" spans="1:10" ht="7.5" customHeight="1" thickTop="1" thickBot="1">
      <c r="A20" s="1264"/>
      <c r="B20" s="1288"/>
      <c r="C20" s="1279"/>
      <c r="D20" s="1280"/>
      <c r="E20" s="1281"/>
      <c r="F20" s="1280"/>
      <c r="G20" s="1281"/>
      <c r="H20" s="1280"/>
      <c r="I20" s="1282"/>
      <c r="J20" s="1251"/>
    </row>
    <row r="21" spans="1:10" ht="13.5" thickBot="1">
      <c r="A21" s="1264"/>
      <c r="B21" s="1283" t="s">
        <v>758</v>
      </c>
      <c r="C21" s="1289">
        <f>Deckblatt!C9</f>
        <v>0.19</v>
      </c>
      <c r="D21" s="1285"/>
      <c r="E21" s="1286">
        <f>E19*C21</f>
        <v>0</v>
      </c>
      <c r="F21" s="1285"/>
      <c r="G21" s="1286">
        <f>G19*C21</f>
        <v>0</v>
      </c>
      <c r="H21" s="1285"/>
      <c r="I21" s="1287">
        <f>I19*C21</f>
        <v>0</v>
      </c>
      <c r="J21" s="1251"/>
    </row>
    <row r="22" spans="1:10" ht="7.5" customHeight="1" thickTop="1" thickBot="1">
      <c r="A22" s="1264"/>
      <c r="B22" s="1290"/>
      <c r="C22" s="1291"/>
      <c r="D22" s="1280"/>
      <c r="E22" s="1281"/>
      <c r="F22" s="1280"/>
      <c r="G22" s="1281"/>
      <c r="H22" s="1280"/>
      <c r="I22" s="1282"/>
      <c r="J22" s="1251"/>
    </row>
    <row r="23" spans="1:10" ht="13.5" thickBot="1">
      <c r="A23" s="1264"/>
      <c r="B23" s="1292" t="s">
        <v>759</v>
      </c>
      <c r="C23" s="1293"/>
      <c r="D23" s="1294"/>
      <c r="E23" s="1295">
        <f>E19+E21</f>
        <v>0</v>
      </c>
      <c r="F23" s="1294"/>
      <c r="G23" s="1295">
        <f>G19+G21</f>
        <v>0</v>
      </c>
      <c r="H23" s="1294"/>
      <c r="I23" s="1296">
        <f>I19+I21</f>
        <v>0</v>
      </c>
      <c r="J23" s="1251"/>
    </row>
    <row r="24" spans="1:10" ht="13.5" thickBot="1">
      <c r="A24" s="1297"/>
      <c r="B24" s="1298"/>
      <c r="C24" s="1298"/>
      <c r="D24" s="1299"/>
      <c r="E24" s="1300"/>
      <c r="F24" s="1299"/>
      <c r="G24" s="1299"/>
      <c r="H24" s="1299"/>
      <c r="I24" s="1299"/>
      <c r="J24" s="1301"/>
    </row>
    <row r="25" spans="1:10" ht="13.5" thickTop="1"/>
  </sheetData>
  <customSheetViews>
    <customSheetView guid="{FC62AB03-1E1B-40DD-97B7-FC10FADA3A15}">
      <selection activeCell="B17" sqref="B17"/>
      <pageMargins left="0" right="0" top="0" bottom="0" header="0" footer="0"/>
    </customSheetView>
  </customSheetViews>
  <mergeCells count="7">
    <mergeCell ref="B1:I2"/>
    <mergeCell ref="D9:D17"/>
    <mergeCell ref="F9:F17"/>
    <mergeCell ref="H9:H17"/>
    <mergeCell ref="D6:E6"/>
    <mergeCell ref="F6:G6"/>
    <mergeCell ref="H6:I6"/>
  </mergeCells>
  <phoneticPr fontId="31" type="noConversion"/>
  <pageMargins left="0.70866141732283472" right="0.70866141732283472" top="0.78740157480314965" bottom="0.78740157480314965" header="0.31496062992125984" footer="0.31496062992125984"/>
  <pageSetup paperSize="9" orientation="landscape" r:id="rId1"/>
  <headerFooter>
    <oddHeader>&amp;CSeite&amp;P</oddHeader>
    <oddFooter>&amp;L&amp;"Verdana,Standard"Die Vorlage dieser Datei wurde zur Verfügung gestellt durch Rüdiger ADAMY, Hannover&amp;R&amp;D</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493D1-D584-4957-A236-D26AE9339F96}">
  <dimension ref="A1:V132"/>
  <sheetViews>
    <sheetView showGridLines="0" zoomScale="82" zoomScaleNormal="82" zoomScalePageLayoutView="50" workbookViewId="0">
      <selection activeCell="V13" sqref="V13"/>
    </sheetView>
  </sheetViews>
  <sheetFormatPr defaultColWidth="11.5703125" defaultRowHeight="12.75"/>
  <cols>
    <col min="1" max="1" width="3.28515625" style="1302" customWidth="1"/>
    <col min="2" max="2" width="23.42578125" style="1302" customWidth="1"/>
    <col min="3" max="3" width="7.140625" style="1302" customWidth="1"/>
    <col min="4" max="4" width="6.7109375" style="1302" customWidth="1"/>
    <col min="5" max="5" width="11.7109375" style="1302" customWidth="1"/>
    <col min="6" max="7" width="10" style="1302" customWidth="1"/>
    <col min="8" max="8" width="9" style="1302" customWidth="1"/>
    <col min="9" max="9" width="10" style="1302" customWidth="1"/>
    <col min="10" max="10" width="11.5703125" style="1302" customWidth="1"/>
    <col min="11" max="12" width="10" style="1302" customWidth="1"/>
    <col min="13" max="13" width="6.28515625" style="1302" customWidth="1"/>
    <col min="14" max="14" width="14.140625" style="1302" customWidth="1"/>
    <col min="15" max="15" width="10.7109375" style="1302" customWidth="1"/>
    <col min="16" max="16" width="14.5703125" style="1302" customWidth="1"/>
    <col min="17" max="17" width="1.7109375" style="1302" customWidth="1"/>
    <col min="18" max="16384" width="11.5703125" style="1302"/>
  </cols>
  <sheetData>
    <row r="1" spans="1:22" ht="15" customHeight="1" thickTop="1">
      <c r="A1" s="441"/>
      <c r="B1" s="813"/>
      <c r="C1" s="813"/>
      <c r="D1" s="442"/>
      <c r="E1" s="442"/>
      <c r="F1" s="442"/>
      <c r="G1" s="442"/>
      <c r="H1" s="442"/>
      <c r="I1" s="442"/>
      <c r="J1" s="442"/>
      <c r="K1" s="442"/>
      <c r="L1" s="442"/>
      <c r="M1" s="442"/>
      <c r="N1" s="442"/>
      <c r="O1" s="442"/>
      <c r="P1" s="442"/>
      <c r="Q1" s="443"/>
    </row>
    <row r="2" spans="1:22" ht="22.5" customHeight="1" thickBot="1">
      <c r="A2" s="444"/>
      <c r="B2" s="2551" t="s">
        <v>760</v>
      </c>
      <c r="C2" s="2551"/>
      <c r="D2" s="2551"/>
      <c r="E2" s="2551"/>
      <c r="F2" s="2551"/>
      <c r="G2" s="2551"/>
      <c r="H2" s="2551"/>
      <c r="I2" s="2551"/>
      <c r="J2" s="2551"/>
      <c r="K2" s="2551"/>
      <c r="L2" s="2551"/>
      <c r="M2" s="2551"/>
      <c r="N2" s="2551"/>
      <c r="O2" s="2551"/>
      <c r="P2" s="2551"/>
      <c r="Q2" s="445"/>
    </row>
    <row r="3" spans="1:22" ht="14.25" customHeight="1">
      <c r="A3" s="444"/>
      <c r="B3" s="806" t="s">
        <v>761</v>
      </c>
      <c r="C3" s="1548"/>
      <c r="D3" s="807"/>
      <c r="E3" s="807"/>
      <c r="F3" s="807"/>
      <c r="G3" s="807"/>
      <c r="H3" s="807"/>
      <c r="I3" s="807"/>
      <c r="J3" s="807"/>
      <c r="K3" s="807"/>
      <c r="L3" s="807"/>
      <c r="M3" s="807"/>
      <c r="N3" s="807"/>
      <c r="O3" s="807"/>
      <c r="P3" s="808"/>
      <c r="Q3" s="445"/>
    </row>
    <row r="4" spans="1:22" ht="14.25" customHeight="1">
      <c r="A4" s="444"/>
      <c r="B4" s="2552" t="s">
        <v>762</v>
      </c>
      <c r="C4" s="2553"/>
      <c r="D4" s="2554"/>
      <c r="E4" s="2554"/>
      <c r="F4" s="2554"/>
      <c r="G4" s="2554"/>
      <c r="H4" s="2554"/>
      <c r="I4" s="2554"/>
      <c r="J4" s="2554"/>
      <c r="K4" s="2554"/>
      <c r="L4" s="2554"/>
      <c r="M4" s="2554"/>
      <c r="N4" s="2554"/>
      <c r="O4" s="2554"/>
      <c r="P4" s="2555"/>
      <c r="Q4" s="445"/>
    </row>
    <row r="5" spans="1:22" ht="14.25" customHeight="1">
      <c r="A5" s="444"/>
      <c r="B5" s="2557" t="s">
        <v>763</v>
      </c>
      <c r="C5" s="2558"/>
      <c r="D5" s="2558"/>
      <c r="E5" s="2558"/>
      <c r="F5" s="2558"/>
      <c r="G5" s="2558"/>
      <c r="H5" s="2558"/>
      <c r="I5" s="2558"/>
      <c r="J5" s="2558"/>
      <c r="K5" s="2558"/>
      <c r="L5" s="2558"/>
      <c r="M5" s="2558"/>
      <c r="N5" s="2558"/>
      <c r="O5" s="2558"/>
      <c r="P5" s="2559"/>
      <c r="Q5" s="445"/>
    </row>
    <row r="6" spans="1:22" ht="14.25" customHeight="1">
      <c r="A6" s="444"/>
      <c r="B6" s="2552" t="s">
        <v>764</v>
      </c>
      <c r="C6" s="2553"/>
      <c r="D6" s="2553"/>
      <c r="E6" s="2553"/>
      <c r="F6" s="2553"/>
      <c r="G6" s="2553"/>
      <c r="H6" s="2553"/>
      <c r="I6" s="2553"/>
      <c r="J6" s="2553"/>
      <c r="K6" s="2553"/>
      <c r="L6" s="2553"/>
      <c r="M6" s="2553"/>
      <c r="N6" s="2553"/>
      <c r="O6" s="2553"/>
      <c r="P6" s="2556"/>
      <c r="Q6" s="445"/>
    </row>
    <row r="7" spans="1:22" ht="14.25" customHeight="1" thickBot="1">
      <c r="A7" s="444"/>
      <c r="B7" s="2560" t="s">
        <v>765</v>
      </c>
      <c r="C7" s="2561"/>
      <c r="D7" s="2561"/>
      <c r="E7" s="2561"/>
      <c r="F7" s="2561"/>
      <c r="G7" s="2561"/>
      <c r="H7" s="2561"/>
      <c r="I7" s="2561"/>
      <c r="J7" s="2561"/>
      <c r="K7" s="2561"/>
      <c r="L7" s="2561"/>
      <c r="M7" s="2561"/>
      <c r="N7" s="2561"/>
      <c r="O7" s="2561"/>
      <c r="P7" s="2562"/>
      <c r="Q7" s="445"/>
    </row>
    <row r="8" spans="1:22" ht="15" customHeight="1" thickBot="1">
      <c r="A8" s="444"/>
      <c r="B8" s="814"/>
      <c r="C8" s="814"/>
      <c r="D8" s="814"/>
      <c r="E8" s="814"/>
      <c r="F8" s="814"/>
      <c r="G8" s="814"/>
      <c r="H8" s="814"/>
      <c r="I8" s="814"/>
      <c r="J8" s="814"/>
      <c r="K8" s="814"/>
      <c r="L8" s="814"/>
      <c r="M8" s="814"/>
      <c r="N8" s="814"/>
      <c r="O8" s="814"/>
      <c r="P8" s="814"/>
      <c r="Q8" s="445"/>
    </row>
    <row r="9" spans="1:22" ht="14.25">
      <c r="A9" s="444"/>
      <c r="B9" s="446" t="s">
        <v>766</v>
      </c>
      <c r="C9" s="1549"/>
      <c r="D9" s="447"/>
      <c r="E9" s="447"/>
      <c r="F9" s="447"/>
      <c r="G9" s="447"/>
      <c r="H9" s="447"/>
      <c r="I9" s="448">
        <v>1</v>
      </c>
      <c r="J9" s="448">
        <v>2</v>
      </c>
      <c r="K9" s="448">
        <v>3</v>
      </c>
      <c r="L9" s="448">
        <v>4</v>
      </c>
      <c r="M9" s="448"/>
      <c r="N9" s="448">
        <v>5</v>
      </c>
      <c r="O9" s="448">
        <v>6</v>
      </c>
      <c r="P9" s="449"/>
      <c r="Q9" s="450"/>
    </row>
    <row r="10" spans="1:22" ht="14.25">
      <c r="A10" s="444"/>
      <c r="B10" s="2603" t="s">
        <v>767</v>
      </c>
      <c r="C10" s="2604"/>
      <c r="D10" s="2604"/>
      <c r="E10" s="2604"/>
      <c r="F10" s="2604"/>
      <c r="G10" s="2604"/>
      <c r="H10" s="1857">
        <f>ZusammenführErgebn!C3</f>
        <v>2025</v>
      </c>
      <c r="I10" s="2588">
        <f>'Ertragsv. 2025'!M41</f>
        <v>0</v>
      </c>
      <c r="J10" s="2589"/>
      <c r="K10" s="2589"/>
      <c r="L10" s="2589"/>
      <c r="M10" s="2589"/>
      <c r="N10" s="2589"/>
      <c r="O10" s="2590"/>
      <c r="P10" s="815"/>
      <c r="Q10" s="450"/>
    </row>
    <row r="11" spans="1:22" ht="14.25">
      <c r="A11" s="444"/>
      <c r="B11" s="2603" t="s">
        <v>768</v>
      </c>
      <c r="C11" s="2604"/>
      <c r="D11" s="2604"/>
      <c r="E11" s="2604"/>
      <c r="F11" s="2604"/>
      <c r="G11" s="2604"/>
      <c r="H11" s="2077"/>
      <c r="I11" s="459">
        <v>80</v>
      </c>
      <c r="J11" s="460">
        <v>95</v>
      </c>
      <c r="K11" s="460">
        <v>100</v>
      </c>
      <c r="L11" s="460">
        <v>115</v>
      </c>
      <c r="M11" s="460"/>
      <c r="N11" s="460"/>
      <c r="O11" s="461"/>
      <c r="P11" s="815"/>
      <c r="Q11" s="450"/>
    </row>
    <row r="12" spans="1:22" ht="15" thickBot="1">
      <c r="A12" s="444"/>
      <c r="B12" s="2605" t="s">
        <v>769</v>
      </c>
      <c r="C12" s="2606"/>
      <c r="D12" s="2606"/>
      <c r="E12" s="2606"/>
      <c r="F12" s="2606"/>
      <c r="G12" s="2606"/>
      <c r="H12" s="2078"/>
      <c r="I12" s="810">
        <f>I10/100*I11</f>
        <v>0</v>
      </c>
      <c r="J12" s="811">
        <f>I10/100*J11</f>
        <v>0</v>
      </c>
      <c r="K12" s="811">
        <f>I10/100*K11</f>
        <v>0</v>
      </c>
      <c r="L12" s="811">
        <f>I10/100*L11</f>
        <v>0</v>
      </c>
      <c r="M12" s="811"/>
      <c r="N12" s="811">
        <f>I10/100*N11</f>
        <v>0</v>
      </c>
      <c r="O12" s="812">
        <f>I10/100*O11</f>
        <v>0</v>
      </c>
      <c r="P12" s="809"/>
      <c r="Q12" s="450"/>
    </row>
    <row r="13" spans="1:22" ht="15" thickBot="1">
      <c r="A13" s="444"/>
      <c r="B13" s="451"/>
      <c r="C13" s="451"/>
      <c r="D13" s="451"/>
      <c r="E13" s="451"/>
      <c r="F13" s="451"/>
      <c r="G13" s="451"/>
      <c r="H13" s="451"/>
      <c r="I13" s="451"/>
      <c r="J13" s="451"/>
      <c r="K13" s="451"/>
      <c r="L13" s="451"/>
      <c r="M13" s="451"/>
      <c r="N13" s="451"/>
      <c r="O13" s="451"/>
      <c r="P13" s="451"/>
      <c r="Q13" s="450"/>
      <c r="V13" s="1302">
        <v>5</v>
      </c>
    </row>
    <row r="14" spans="1:22" ht="15" thickBot="1">
      <c r="A14" s="444"/>
      <c r="B14" s="2607" t="s">
        <v>770</v>
      </c>
      <c r="C14" s="2608"/>
      <c r="D14" s="2608"/>
      <c r="E14" s="2608"/>
      <c r="F14" s="2608"/>
      <c r="G14" s="2608"/>
      <c r="H14" s="2079"/>
      <c r="I14" s="2609">
        <f>Einzelkalk_Handwerk!U3</f>
        <v>0</v>
      </c>
      <c r="J14" s="2609"/>
      <c r="K14" s="2609"/>
      <c r="L14" s="2609"/>
      <c r="M14" s="2609"/>
      <c r="N14" s="2609"/>
      <c r="O14" s="2609"/>
      <c r="P14" s="452"/>
      <c r="Q14" s="450"/>
    </row>
    <row r="15" spans="1:22" ht="10.5" customHeight="1" thickBot="1">
      <c r="A15" s="444"/>
      <c r="B15" s="453"/>
      <c r="C15" s="453"/>
      <c r="D15" s="453"/>
      <c r="E15" s="454"/>
      <c r="F15" s="454"/>
      <c r="G15" s="454"/>
      <c r="H15" s="454"/>
      <c r="I15" s="454"/>
      <c r="J15" s="454"/>
      <c r="K15" s="454"/>
      <c r="L15" s="454"/>
      <c r="M15" s="454"/>
      <c r="N15" s="454"/>
      <c r="O15" s="454"/>
      <c r="P15" s="454"/>
      <c r="Q15" s="445"/>
    </row>
    <row r="16" spans="1:22" ht="14.25">
      <c r="A16" s="444"/>
      <c r="B16" s="2610" t="s">
        <v>771</v>
      </c>
      <c r="C16" s="2611"/>
      <c r="D16" s="2598"/>
      <c r="E16" s="2598"/>
      <c r="F16" s="2597" t="s">
        <v>772</v>
      </c>
      <c r="G16" s="2597"/>
      <c r="H16" s="2598"/>
      <c r="I16" s="2598"/>
      <c r="J16" s="2598"/>
      <c r="K16" s="2597" t="s">
        <v>773</v>
      </c>
      <c r="L16" s="2597"/>
      <c r="M16" s="2598"/>
      <c r="N16" s="2598"/>
      <c r="O16" s="2598"/>
      <c r="P16" s="2599"/>
      <c r="Q16" s="445"/>
    </row>
    <row r="17" spans="1:17" ht="14.25">
      <c r="A17" s="444"/>
      <c r="B17" s="482" t="s">
        <v>774</v>
      </c>
      <c r="C17" s="1550"/>
      <c r="D17" s="2584"/>
      <c r="E17" s="2585"/>
      <c r="F17" s="2580" t="s">
        <v>774</v>
      </c>
      <c r="G17" s="2581"/>
      <c r="H17" s="1550"/>
      <c r="I17" s="2584"/>
      <c r="J17" s="2585"/>
      <c r="K17" s="2580" t="s">
        <v>774</v>
      </c>
      <c r="L17" s="2581"/>
      <c r="M17" s="1550"/>
      <c r="N17" s="2594"/>
      <c r="O17" s="2595"/>
      <c r="P17" s="2596"/>
      <c r="Q17" s="445"/>
    </row>
    <row r="18" spans="1:17" ht="14.25">
      <c r="A18" s="444"/>
      <c r="B18" s="482" t="s">
        <v>775</v>
      </c>
      <c r="C18" s="1550"/>
      <c r="D18" s="2584"/>
      <c r="E18" s="2585"/>
      <c r="F18" s="2580" t="s">
        <v>775</v>
      </c>
      <c r="G18" s="2581"/>
      <c r="H18" s="1550"/>
      <c r="I18" s="2584"/>
      <c r="J18" s="2585"/>
      <c r="K18" s="2580" t="s">
        <v>775</v>
      </c>
      <c r="L18" s="2581"/>
      <c r="M18" s="1550"/>
      <c r="N18" s="2594"/>
      <c r="O18" s="2595"/>
      <c r="P18" s="2596"/>
      <c r="Q18" s="445"/>
    </row>
    <row r="19" spans="1:17" ht="14.25">
      <c r="A19" s="444"/>
      <c r="B19" s="482" t="s">
        <v>776</v>
      </c>
      <c r="C19" s="1550"/>
      <c r="D19" s="2584"/>
      <c r="E19" s="2585"/>
      <c r="F19" s="2580" t="s">
        <v>776</v>
      </c>
      <c r="G19" s="2581"/>
      <c r="H19" s="1550"/>
      <c r="I19" s="2584"/>
      <c r="J19" s="2585"/>
      <c r="K19" s="2580" t="s">
        <v>776</v>
      </c>
      <c r="L19" s="2581"/>
      <c r="M19" s="1550"/>
      <c r="N19" s="2594"/>
      <c r="O19" s="2595"/>
      <c r="P19" s="2596"/>
      <c r="Q19" s="445"/>
    </row>
    <row r="20" spans="1:17" ht="14.25">
      <c r="A20" s="444"/>
      <c r="B20" s="482" t="s">
        <v>777</v>
      </c>
      <c r="C20" s="1550"/>
      <c r="D20" s="2584"/>
      <c r="E20" s="2585"/>
      <c r="F20" s="2582" t="s">
        <v>778</v>
      </c>
      <c r="G20" s="2583"/>
      <c r="H20" s="1562"/>
      <c r="I20" s="2584"/>
      <c r="J20" s="2585"/>
      <c r="K20" s="2582" t="s">
        <v>778</v>
      </c>
      <c r="L20" s="2583"/>
      <c r="M20" s="1562"/>
      <c r="N20" s="2594"/>
      <c r="O20" s="2595"/>
      <c r="P20" s="2596"/>
      <c r="Q20" s="445"/>
    </row>
    <row r="21" spans="1:17" ht="14.25">
      <c r="A21" s="444"/>
      <c r="B21" s="483" t="s">
        <v>287</v>
      </c>
      <c r="C21" s="1551"/>
      <c r="D21" s="460">
        <v>4</v>
      </c>
      <c r="E21" s="478"/>
      <c r="F21" s="2591" t="s">
        <v>287</v>
      </c>
      <c r="G21" s="2592"/>
      <c r="H21" s="1551"/>
      <c r="I21" s="481">
        <v>2</v>
      </c>
      <c r="J21" s="478"/>
      <c r="K21" s="2593"/>
      <c r="L21" s="2593"/>
      <c r="M21" s="479"/>
      <c r="N21" s="479"/>
      <c r="O21" s="480"/>
      <c r="P21" s="484"/>
      <c r="Q21" s="445"/>
    </row>
    <row r="22" spans="1:17" ht="14.25">
      <c r="A22" s="444"/>
      <c r="B22" s="485" t="s">
        <v>779</v>
      </c>
      <c r="C22" s="1552" t="s">
        <v>780</v>
      </c>
      <c r="D22" s="2601" t="s">
        <v>781</v>
      </c>
      <c r="E22" s="2602"/>
      <c r="F22" s="2600" t="s">
        <v>779</v>
      </c>
      <c r="G22" s="2600"/>
      <c r="H22" s="1552" t="s">
        <v>780</v>
      </c>
      <c r="I22" s="2586" t="s">
        <v>781</v>
      </c>
      <c r="J22" s="2563"/>
      <c r="K22" s="2563" t="s">
        <v>779</v>
      </c>
      <c r="L22" s="2563"/>
      <c r="M22" s="1552" t="s">
        <v>780</v>
      </c>
      <c r="N22" s="477" t="s">
        <v>287</v>
      </c>
      <c r="O22" s="2083" t="s">
        <v>781</v>
      </c>
      <c r="P22" s="486"/>
      <c r="Q22" s="445"/>
    </row>
    <row r="23" spans="1:17" ht="13.9" customHeight="1">
      <c r="A23" s="444"/>
      <c r="B23" s="473" t="s">
        <v>782</v>
      </c>
      <c r="C23" s="1553">
        <v>1</v>
      </c>
      <c r="D23" s="2576"/>
      <c r="E23" s="2577"/>
      <c r="F23" s="2564" t="s">
        <v>783</v>
      </c>
      <c r="G23" s="2564"/>
      <c r="H23" s="2080"/>
      <c r="I23" s="2587">
        <v>1</v>
      </c>
      <c r="J23" s="2587"/>
      <c r="K23" s="2564" t="s">
        <v>783</v>
      </c>
      <c r="L23" s="2564"/>
      <c r="M23" s="2080"/>
      <c r="N23" s="474">
        <v>1</v>
      </c>
      <c r="O23" s="475">
        <v>1</v>
      </c>
      <c r="P23" s="476">
        <f t="shared" ref="P23:P44" si="0">IF(N23=1,$I$12,IF(N23=2,$J$12,IF(N23=3,$K$12,IF(N23=4,$L$12,IF(N23=5,$N$12,IF(N23=6,$O$12))))))*O23</f>
        <v>0</v>
      </c>
      <c r="Q23" s="450"/>
    </row>
    <row r="24" spans="1:17" ht="14.25">
      <c r="A24" s="444"/>
      <c r="B24" s="464" t="s">
        <v>784</v>
      </c>
      <c r="C24" s="1553">
        <v>2</v>
      </c>
      <c r="D24" s="2576"/>
      <c r="E24" s="2577"/>
      <c r="F24" s="2549" t="s">
        <v>785</v>
      </c>
      <c r="G24" s="2549"/>
      <c r="H24" s="2081"/>
      <c r="I24" s="2578">
        <v>0</v>
      </c>
      <c r="J24" s="2578"/>
      <c r="K24" s="2549" t="s">
        <v>785</v>
      </c>
      <c r="L24" s="2549"/>
      <c r="M24" s="2081"/>
      <c r="N24" s="462">
        <v>3</v>
      </c>
      <c r="O24" s="463">
        <v>2</v>
      </c>
      <c r="P24" s="487">
        <f t="shared" si="0"/>
        <v>0</v>
      </c>
      <c r="Q24" s="455"/>
    </row>
    <row r="25" spans="1:17" ht="14.25">
      <c r="A25" s="444"/>
      <c r="B25" s="464" t="s">
        <v>786</v>
      </c>
      <c r="C25" s="1553"/>
      <c r="D25" s="2576"/>
      <c r="E25" s="2577"/>
      <c r="F25" s="2549" t="s">
        <v>787</v>
      </c>
      <c r="G25" s="2549"/>
      <c r="H25" s="2081"/>
      <c r="I25" s="2578">
        <v>0</v>
      </c>
      <c r="J25" s="2578"/>
      <c r="K25" s="2549" t="s">
        <v>787</v>
      </c>
      <c r="L25" s="2549"/>
      <c r="M25" s="2081"/>
      <c r="N25" s="462">
        <v>4</v>
      </c>
      <c r="O25" s="463">
        <v>3</v>
      </c>
      <c r="P25" s="487">
        <f t="shared" si="0"/>
        <v>0</v>
      </c>
      <c r="Q25" s="455"/>
    </row>
    <row r="26" spans="1:17" ht="14.25">
      <c r="A26" s="444"/>
      <c r="B26" s="464" t="s">
        <v>788</v>
      </c>
      <c r="C26" s="1553"/>
      <c r="D26" s="2576"/>
      <c r="E26" s="2577"/>
      <c r="F26" s="2549" t="s">
        <v>789</v>
      </c>
      <c r="G26" s="2549"/>
      <c r="H26" s="2081"/>
      <c r="I26" s="2578">
        <v>0</v>
      </c>
      <c r="J26" s="2578"/>
      <c r="K26" s="2549" t="s">
        <v>789</v>
      </c>
      <c r="L26" s="2549"/>
      <c r="M26" s="2081"/>
      <c r="N26" s="462"/>
      <c r="O26" s="463">
        <v>0</v>
      </c>
      <c r="P26" s="487">
        <f t="shared" si="0"/>
        <v>0</v>
      </c>
      <c r="Q26" s="455"/>
    </row>
    <row r="27" spans="1:17" ht="14.25">
      <c r="A27" s="444"/>
      <c r="B27" s="464" t="s">
        <v>790</v>
      </c>
      <c r="C27" s="1553"/>
      <c r="D27" s="2576"/>
      <c r="E27" s="2577"/>
      <c r="F27" s="2549" t="s">
        <v>791</v>
      </c>
      <c r="G27" s="2549"/>
      <c r="H27" s="2081"/>
      <c r="I27" s="2578">
        <v>0</v>
      </c>
      <c r="J27" s="2578"/>
      <c r="K27" s="2549" t="s">
        <v>791</v>
      </c>
      <c r="L27" s="2549"/>
      <c r="M27" s="2081"/>
      <c r="N27" s="462"/>
      <c r="O27" s="463">
        <v>0</v>
      </c>
      <c r="P27" s="487">
        <f t="shared" si="0"/>
        <v>0</v>
      </c>
      <c r="Q27" s="455"/>
    </row>
    <row r="28" spans="1:17" ht="14.25">
      <c r="A28" s="444"/>
      <c r="B28" s="464" t="s">
        <v>792</v>
      </c>
      <c r="C28" s="1553"/>
      <c r="D28" s="2576"/>
      <c r="E28" s="2577"/>
      <c r="F28" s="2549" t="s">
        <v>793</v>
      </c>
      <c r="G28" s="2549"/>
      <c r="H28" s="2081"/>
      <c r="I28" s="2578">
        <v>0</v>
      </c>
      <c r="J28" s="2578"/>
      <c r="K28" s="2549" t="s">
        <v>793</v>
      </c>
      <c r="L28" s="2549"/>
      <c r="M28" s="2081"/>
      <c r="N28" s="462"/>
      <c r="O28" s="463">
        <v>0</v>
      </c>
      <c r="P28" s="487">
        <f t="shared" si="0"/>
        <v>0</v>
      </c>
      <c r="Q28" s="455"/>
    </row>
    <row r="29" spans="1:17" ht="14.25">
      <c r="A29" s="444"/>
      <c r="B29" s="464" t="s">
        <v>794</v>
      </c>
      <c r="C29" s="1554"/>
      <c r="D29" s="2565"/>
      <c r="E29" s="2566"/>
      <c r="F29" s="2549" t="s">
        <v>795</v>
      </c>
      <c r="G29" s="2549"/>
      <c r="H29" s="2081"/>
      <c r="I29" s="2578">
        <v>0</v>
      </c>
      <c r="J29" s="2578"/>
      <c r="K29" s="2549" t="s">
        <v>795</v>
      </c>
      <c r="L29" s="2549"/>
      <c r="M29" s="2081"/>
      <c r="N29" s="462"/>
      <c r="O29" s="463">
        <v>0</v>
      </c>
      <c r="P29" s="487">
        <f t="shared" si="0"/>
        <v>0</v>
      </c>
      <c r="Q29" s="455"/>
    </row>
    <row r="30" spans="1:17" ht="14.25">
      <c r="A30" s="444"/>
      <c r="B30" s="464" t="s">
        <v>796</v>
      </c>
      <c r="C30" s="1554"/>
      <c r="D30" s="2565"/>
      <c r="E30" s="2566"/>
      <c r="F30" s="2549" t="s">
        <v>797</v>
      </c>
      <c r="G30" s="2549"/>
      <c r="H30" s="2081"/>
      <c r="I30" s="2578">
        <v>0</v>
      </c>
      <c r="J30" s="2578"/>
      <c r="K30" s="2549" t="s">
        <v>797</v>
      </c>
      <c r="L30" s="2549"/>
      <c r="M30" s="2081"/>
      <c r="N30" s="462"/>
      <c r="O30" s="463">
        <v>0</v>
      </c>
      <c r="P30" s="487">
        <f t="shared" si="0"/>
        <v>0</v>
      </c>
      <c r="Q30" s="455"/>
    </row>
    <row r="31" spans="1:17" ht="14.25">
      <c r="A31" s="444"/>
      <c r="B31" s="464" t="s">
        <v>798</v>
      </c>
      <c r="C31" s="1554"/>
      <c r="D31" s="2565">
        <v>1</v>
      </c>
      <c r="E31" s="2566"/>
      <c r="F31" s="2549" t="s">
        <v>799</v>
      </c>
      <c r="G31" s="2549"/>
      <c r="H31" s="2081"/>
      <c r="I31" s="2578">
        <v>0</v>
      </c>
      <c r="J31" s="2578"/>
      <c r="K31" s="2549" t="s">
        <v>799</v>
      </c>
      <c r="L31" s="2549"/>
      <c r="M31" s="2081"/>
      <c r="N31" s="462"/>
      <c r="O31" s="463">
        <v>0</v>
      </c>
      <c r="P31" s="487">
        <f t="shared" si="0"/>
        <v>0</v>
      </c>
      <c r="Q31" s="455"/>
    </row>
    <row r="32" spans="1:17" ht="14.25">
      <c r="A32" s="444"/>
      <c r="B32" s="464" t="s">
        <v>800</v>
      </c>
      <c r="C32" s="1554"/>
      <c r="D32" s="2565"/>
      <c r="E32" s="2566"/>
      <c r="F32" s="2549" t="s">
        <v>801</v>
      </c>
      <c r="G32" s="2549"/>
      <c r="H32" s="2081"/>
      <c r="I32" s="2578">
        <v>0</v>
      </c>
      <c r="J32" s="2578"/>
      <c r="K32" s="2549" t="s">
        <v>801</v>
      </c>
      <c r="L32" s="2549"/>
      <c r="M32" s="2081"/>
      <c r="N32" s="462"/>
      <c r="O32" s="463">
        <v>0</v>
      </c>
      <c r="P32" s="487">
        <f t="shared" si="0"/>
        <v>0</v>
      </c>
      <c r="Q32" s="455"/>
    </row>
    <row r="33" spans="1:17" ht="14.25">
      <c r="A33" s="444"/>
      <c r="B33" s="464" t="s">
        <v>802</v>
      </c>
      <c r="C33" s="1554"/>
      <c r="D33" s="2565"/>
      <c r="E33" s="2566"/>
      <c r="F33" s="2549" t="s">
        <v>803</v>
      </c>
      <c r="G33" s="2549"/>
      <c r="H33" s="2081"/>
      <c r="I33" s="2578">
        <v>0</v>
      </c>
      <c r="J33" s="2578"/>
      <c r="K33" s="2549" t="s">
        <v>803</v>
      </c>
      <c r="L33" s="2549"/>
      <c r="M33" s="2081"/>
      <c r="N33" s="462"/>
      <c r="O33" s="463">
        <v>0</v>
      </c>
      <c r="P33" s="487">
        <f t="shared" si="0"/>
        <v>0</v>
      </c>
      <c r="Q33" s="455"/>
    </row>
    <row r="34" spans="1:17" ht="14.25">
      <c r="A34" s="444"/>
      <c r="B34" s="464" t="s">
        <v>804</v>
      </c>
      <c r="C34" s="1554"/>
      <c r="D34" s="2565"/>
      <c r="E34" s="2566"/>
      <c r="F34" s="2549" t="s">
        <v>805</v>
      </c>
      <c r="G34" s="2549"/>
      <c r="H34" s="2081"/>
      <c r="I34" s="2578">
        <v>0</v>
      </c>
      <c r="J34" s="2578"/>
      <c r="K34" s="2549" t="s">
        <v>805</v>
      </c>
      <c r="L34" s="2549"/>
      <c r="M34" s="2081"/>
      <c r="N34" s="462"/>
      <c r="O34" s="463">
        <v>0</v>
      </c>
      <c r="P34" s="487">
        <f t="shared" si="0"/>
        <v>0</v>
      </c>
      <c r="Q34" s="455"/>
    </row>
    <row r="35" spans="1:17" ht="14.25">
      <c r="A35" s="444"/>
      <c r="B35" s="464" t="s">
        <v>806</v>
      </c>
      <c r="C35" s="1554"/>
      <c r="D35" s="2565"/>
      <c r="E35" s="2566"/>
      <c r="F35" s="2549" t="s">
        <v>807</v>
      </c>
      <c r="G35" s="2549"/>
      <c r="H35" s="2081"/>
      <c r="I35" s="2578">
        <v>0</v>
      </c>
      <c r="J35" s="2578"/>
      <c r="K35" s="2549" t="s">
        <v>807</v>
      </c>
      <c r="L35" s="2549"/>
      <c r="M35" s="2081"/>
      <c r="N35" s="462"/>
      <c r="O35" s="463">
        <v>0</v>
      </c>
      <c r="P35" s="487">
        <f t="shared" si="0"/>
        <v>0</v>
      </c>
      <c r="Q35" s="455"/>
    </row>
    <row r="36" spans="1:17" ht="14.25">
      <c r="A36" s="444"/>
      <c r="B36" s="464" t="s">
        <v>808</v>
      </c>
      <c r="C36" s="1554"/>
      <c r="D36" s="2565"/>
      <c r="E36" s="2566"/>
      <c r="F36" s="2549" t="s">
        <v>809</v>
      </c>
      <c r="G36" s="2549"/>
      <c r="H36" s="2081"/>
      <c r="I36" s="2578">
        <v>0</v>
      </c>
      <c r="J36" s="2578"/>
      <c r="K36" s="2549" t="s">
        <v>809</v>
      </c>
      <c r="L36" s="2549"/>
      <c r="M36" s="2081"/>
      <c r="N36" s="462"/>
      <c r="O36" s="463">
        <v>0</v>
      </c>
      <c r="P36" s="487">
        <f t="shared" si="0"/>
        <v>0</v>
      </c>
      <c r="Q36" s="455"/>
    </row>
    <row r="37" spans="1:17" ht="14.25">
      <c r="A37" s="444"/>
      <c r="B37" s="464" t="s">
        <v>810</v>
      </c>
      <c r="C37" s="1554"/>
      <c r="D37" s="2565"/>
      <c r="E37" s="2566"/>
      <c r="F37" s="2549" t="s">
        <v>811</v>
      </c>
      <c r="G37" s="2549"/>
      <c r="H37" s="2081"/>
      <c r="I37" s="2578">
        <v>0</v>
      </c>
      <c r="J37" s="2578"/>
      <c r="K37" s="2549" t="s">
        <v>811</v>
      </c>
      <c r="L37" s="2549"/>
      <c r="M37" s="2081"/>
      <c r="N37" s="462"/>
      <c r="O37" s="463">
        <v>0</v>
      </c>
      <c r="P37" s="487">
        <f t="shared" si="0"/>
        <v>0</v>
      </c>
      <c r="Q37" s="455"/>
    </row>
    <row r="38" spans="1:17" ht="14.25">
      <c r="A38" s="444"/>
      <c r="B38" s="464" t="s">
        <v>812</v>
      </c>
      <c r="C38" s="1554"/>
      <c r="D38" s="2565"/>
      <c r="E38" s="2566"/>
      <c r="F38" s="2549" t="s">
        <v>813</v>
      </c>
      <c r="G38" s="2549"/>
      <c r="H38" s="2081"/>
      <c r="I38" s="2578">
        <v>0</v>
      </c>
      <c r="J38" s="2578"/>
      <c r="K38" s="2549" t="s">
        <v>813</v>
      </c>
      <c r="L38" s="2549"/>
      <c r="M38" s="2081"/>
      <c r="N38" s="462"/>
      <c r="O38" s="463">
        <v>0</v>
      </c>
      <c r="P38" s="487">
        <f t="shared" si="0"/>
        <v>0</v>
      </c>
      <c r="Q38" s="455"/>
    </row>
    <row r="39" spans="1:17" ht="14.25">
      <c r="A39" s="444"/>
      <c r="B39" s="464" t="s">
        <v>814</v>
      </c>
      <c r="C39" s="1554"/>
      <c r="D39" s="2565"/>
      <c r="E39" s="2566"/>
      <c r="F39" s="2549" t="s">
        <v>815</v>
      </c>
      <c r="G39" s="2549"/>
      <c r="H39" s="2081"/>
      <c r="I39" s="2578">
        <v>0</v>
      </c>
      <c r="J39" s="2578"/>
      <c r="K39" s="2549" t="s">
        <v>815</v>
      </c>
      <c r="L39" s="2549"/>
      <c r="M39" s="2081"/>
      <c r="N39" s="462"/>
      <c r="O39" s="463">
        <v>0</v>
      </c>
      <c r="P39" s="487">
        <f t="shared" si="0"/>
        <v>0</v>
      </c>
      <c r="Q39" s="455"/>
    </row>
    <row r="40" spans="1:17" ht="14.25">
      <c r="A40" s="444"/>
      <c r="B40" s="464" t="s">
        <v>816</v>
      </c>
      <c r="C40" s="1554"/>
      <c r="D40" s="2565"/>
      <c r="E40" s="2566"/>
      <c r="F40" s="2549" t="s">
        <v>817</v>
      </c>
      <c r="G40" s="2549"/>
      <c r="H40" s="2081"/>
      <c r="I40" s="2578">
        <v>1</v>
      </c>
      <c r="J40" s="2578"/>
      <c r="K40" s="2549" t="s">
        <v>817</v>
      </c>
      <c r="L40" s="2549"/>
      <c r="M40" s="2081"/>
      <c r="N40" s="462"/>
      <c r="O40" s="463">
        <v>0</v>
      </c>
      <c r="P40" s="487">
        <f t="shared" si="0"/>
        <v>0</v>
      </c>
      <c r="Q40" s="455"/>
    </row>
    <row r="41" spans="1:17" ht="14.25">
      <c r="A41" s="444"/>
      <c r="B41" s="464" t="s">
        <v>818</v>
      </c>
      <c r="C41" s="1554"/>
      <c r="D41" s="2565"/>
      <c r="E41" s="2566"/>
      <c r="F41" s="2549" t="s">
        <v>819</v>
      </c>
      <c r="G41" s="2549"/>
      <c r="H41" s="2081"/>
      <c r="I41" s="2578">
        <v>0</v>
      </c>
      <c r="J41" s="2578"/>
      <c r="K41" s="2549" t="s">
        <v>819</v>
      </c>
      <c r="L41" s="2549"/>
      <c r="M41" s="2081"/>
      <c r="N41" s="462"/>
      <c r="O41" s="463">
        <v>0</v>
      </c>
      <c r="P41" s="487">
        <f t="shared" si="0"/>
        <v>0</v>
      </c>
      <c r="Q41" s="455"/>
    </row>
    <row r="42" spans="1:17" ht="14.25">
      <c r="A42" s="444"/>
      <c r="B42" s="464" t="s">
        <v>820</v>
      </c>
      <c r="C42" s="1554"/>
      <c r="D42" s="2565"/>
      <c r="E42" s="2566"/>
      <c r="F42" s="2549" t="s">
        <v>821</v>
      </c>
      <c r="G42" s="2549"/>
      <c r="H42" s="2081"/>
      <c r="I42" s="2578">
        <v>0</v>
      </c>
      <c r="J42" s="2578"/>
      <c r="K42" s="2549" t="s">
        <v>821</v>
      </c>
      <c r="L42" s="2549"/>
      <c r="M42" s="2081"/>
      <c r="N42" s="462"/>
      <c r="O42" s="463">
        <v>0</v>
      </c>
      <c r="P42" s="487">
        <f t="shared" si="0"/>
        <v>0</v>
      </c>
      <c r="Q42" s="455"/>
    </row>
    <row r="43" spans="1:17" ht="14.25">
      <c r="A43" s="444"/>
      <c r="B43" s="464" t="s">
        <v>822</v>
      </c>
      <c r="C43" s="1554"/>
      <c r="D43" s="2565"/>
      <c r="E43" s="2566"/>
      <c r="F43" s="2549" t="s">
        <v>823</v>
      </c>
      <c r="G43" s="2549"/>
      <c r="H43" s="2081"/>
      <c r="I43" s="2578">
        <v>0</v>
      </c>
      <c r="J43" s="2578"/>
      <c r="K43" s="2549" t="s">
        <v>823</v>
      </c>
      <c r="L43" s="2549"/>
      <c r="M43" s="2081"/>
      <c r="N43" s="462"/>
      <c r="O43" s="463">
        <v>0</v>
      </c>
      <c r="P43" s="487">
        <f t="shared" si="0"/>
        <v>0</v>
      </c>
      <c r="Q43" s="455"/>
    </row>
    <row r="44" spans="1:17" ht="14.25">
      <c r="A44" s="444"/>
      <c r="B44" s="464" t="s">
        <v>824</v>
      </c>
      <c r="C44" s="1554"/>
      <c r="D44" s="2565"/>
      <c r="E44" s="2566"/>
      <c r="F44" s="2549" t="s">
        <v>825</v>
      </c>
      <c r="G44" s="2549"/>
      <c r="H44" s="2081"/>
      <c r="I44" s="2578">
        <v>0</v>
      </c>
      <c r="J44" s="2578"/>
      <c r="K44" s="2549" t="s">
        <v>825</v>
      </c>
      <c r="L44" s="2549"/>
      <c r="M44" s="2081"/>
      <c r="N44" s="462"/>
      <c r="O44" s="463">
        <v>0</v>
      </c>
      <c r="P44" s="487">
        <f t="shared" si="0"/>
        <v>0</v>
      </c>
      <c r="Q44" s="455"/>
    </row>
    <row r="45" spans="1:17" ht="14.25">
      <c r="A45" s="444"/>
      <c r="B45" s="464" t="s">
        <v>826</v>
      </c>
      <c r="C45" s="1554"/>
      <c r="D45" s="2565"/>
      <c r="E45" s="2566"/>
      <c r="F45" s="2549" t="s">
        <v>827</v>
      </c>
      <c r="G45" s="2549"/>
      <c r="H45" s="2081"/>
      <c r="I45" s="2578">
        <v>0</v>
      </c>
      <c r="J45" s="2578"/>
      <c r="K45" s="2549" t="s">
        <v>827</v>
      </c>
      <c r="L45" s="2549"/>
      <c r="M45" s="2081"/>
      <c r="N45" s="462"/>
      <c r="O45" s="463">
        <v>0</v>
      </c>
      <c r="P45" s="487">
        <f>IF(N45=1,$I$12,IF(N45=2,$J$12,IF(N45=3,$K$12,IF(N45=4,$L$12,IF(N45=5,$N$12,IF(N45=6,$O$12))))))*O45</f>
        <v>0</v>
      </c>
      <c r="Q45" s="445"/>
    </row>
    <row r="46" spans="1:17" ht="14.25">
      <c r="A46" s="444"/>
      <c r="B46" s="465" t="s">
        <v>828</v>
      </c>
      <c r="C46" s="1555"/>
      <c r="D46" s="2565"/>
      <c r="E46" s="2566"/>
      <c r="F46" s="2575" t="s">
        <v>829</v>
      </c>
      <c r="G46" s="2575"/>
      <c r="H46" s="2084"/>
      <c r="I46" s="2571">
        <v>0</v>
      </c>
      <c r="J46" s="2571"/>
      <c r="K46" s="2575" t="s">
        <v>829</v>
      </c>
      <c r="L46" s="2575"/>
      <c r="M46" s="2084"/>
      <c r="N46" s="466"/>
      <c r="O46" s="467">
        <v>0</v>
      </c>
      <c r="P46" s="468">
        <f>IF(N46=1,$I$12,IF(N46=2,$J$12,IF(N46=3,$K$12,IF(N46=4,$L$12,IF(N46=5,$N$12,IF(N46=6,$O$12))))))*O46</f>
        <v>0</v>
      </c>
      <c r="Q46" s="445"/>
    </row>
    <row r="47" spans="1:17" ht="20.25" customHeight="1">
      <c r="A47" s="444"/>
      <c r="B47" s="488" t="s">
        <v>830</v>
      </c>
      <c r="C47" s="1556"/>
      <c r="D47" s="2572">
        <f>SUM(D23:E46)</f>
        <v>1</v>
      </c>
      <c r="E47" s="2572"/>
      <c r="F47" s="2579"/>
      <c r="G47" s="2579"/>
      <c r="H47" s="2082"/>
      <c r="I47" s="2572">
        <f>SUM(I23:J46)</f>
        <v>2</v>
      </c>
      <c r="J47" s="2572"/>
      <c r="K47" s="2550"/>
      <c r="L47" s="2550"/>
      <c r="M47" s="2550"/>
      <c r="N47" s="2550"/>
      <c r="O47" s="469">
        <f>SUM(O23:O46)</f>
        <v>6</v>
      </c>
      <c r="P47" s="489"/>
      <c r="Q47" s="455"/>
    </row>
    <row r="48" spans="1:17" ht="27.75" customHeight="1">
      <c r="A48" s="444"/>
      <c r="B48" s="490" t="s">
        <v>287</v>
      </c>
      <c r="C48" s="1557"/>
      <c r="D48" s="2568">
        <f>IF(D21=1,I12,IF(D21=2,J12,IF(D21=3,K12,IF(D21=4,L12,IF(D21=5,N12,IF(D21=6,O12))))))</f>
        <v>0</v>
      </c>
      <c r="E48" s="2568"/>
      <c r="F48" s="2569"/>
      <c r="G48" s="2570"/>
      <c r="H48" s="2086"/>
      <c r="I48" s="2568">
        <f>IF(I21=1,I12,IF(I21=2,J12,IF(I21=3,K12,IF(I21=4,L12,IF(I21=5,N12,IF(I21=6,O12))))))</f>
        <v>0</v>
      </c>
      <c r="J48" s="2568"/>
      <c r="K48" s="2573"/>
      <c r="L48" s="2574"/>
      <c r="M48" s="2089"/>
      <c r="N48" s="470" t="s">
        <v>831</v>
      </c>
      <c r="O48" s="471"/>
      <c r="P48" s="491"/>
      <c r="Q48" s="455"/>
    </row>
    <row r="49" spans="1:17" ht="21.75" customHeight="1">
      <c r="A49" s="444"/>
      <c r="B49" s="492" t="s">
        <v>646</v>
      </c>
      <c r="C49" s="1558"/>
      <c r="D49" s="2546">
        <f>IF(D21=1,I12,IF(D21=2,J12,IF(D21=3,K12,IF(D21=4,L12,IF(D21=5,N12,IF(D21=6,O12))))))*D47</f>
        <v>0</v>
      </c>
      <c r="E49" s="2546"/>
      <c r="F49" s="2546"/>
      <c r="G49" s="2546"/>
      <c r="H49" s="2087"/>
      <c r="I49" s="2546">
        <f>IF(I21=1,I12,IF(I21=2,J12,IF(I21=3,K12,IF(I21=4,L12,IF(I21=5,N12,IF(I21=6,O12))))))*I47</f>
        <v>0</v>
      </c>
      <c r="J49" s="2546"/>
      <c r="K49" s="472"/>
      <c r="L49" s="2546"/>
      <c r="M49" s="2546"/>
      <c r="N49" s="2546"/>
      <c r="O49" s="2546"/>
      <c r="P49" s="493">
        <f>SUM(P23:P47)</f>
        <v>0</v>
      </c>
      <c r="Q49" s="445"/>
    </row>
    <row r="50" spans="1:17" ht="29.25" customHeight="1">
      <c r="A50" s="444"/>
      <c r="B50" s="494" t="s">
        <v>832</v>
      </c>
      <c r="C50" s="1559"/>
      <c r="D50" s="2548">
        <v>0</v>
      </c>
      <c r="E50" s="2548"/>
      <c r="F50" s="2547"/>
      <c r="G50" s="2547"/>
      <c r="H50" s="2088"/>
      <c r="I50" s="2548">
        <v>10</v>
      </c>
      <c r="J50" s="2548"/>
      <c r="K50" s="2547"/>
      <c r="L50" s="2547"/>
      <c r="M50" s="2547"/>
      <c r="N50" s="2547"/>
      <c r="O50" s="2547"/>
      <c r="P50" s="495">
        <v>3</v>
      </c>
      <c r="Q50" s="445"/>
    </row>
    <row r="51" spans="1:17" ht="29.25" customHeight="1" thickBot="1">
      <c r="A51" s="444"/>
      <c r="B51" s="496" t="s">
        <v>833</v>
      </c>
      <c r="C51" s="1584">
        <f>Deckblatt!C9</f>
        <v>0.19</v>
      </c>
      <c r="D51" s="2540">
        <f>(D49+D50)*(C51+100%)</f>
        <v>0</v>
      </c>
      <c r="E51" s="2540"/>
      <c r="F51" s="2567"/>
      <c r="G51" s="2567"/>
      <c r="H51" s="1559">
        <f>Deckblatt!C9</f>
        <v>0.19</v>
      </c>
      <c r="I51" s="2540">
        <f>(I49+I50)*(H51+100%)</f>
        <v>11.899999999999999</v>
      </c>
      <c r="J51" s="2540"/>
      <c r="K51" s="2085"/>
      <c r="L51" s="2085"/>
      <c r="M51" s="2085"/>
      <c r="N51" s="2085"/>
      <c r="O51" s="1584">
        <f>Deckblatt!C9</f>
        <v>0.19</v>
      </c>
      <c r="P51" s="2540">
        <f>(P49+P50)*(O51+100%)</f>
        <v>3.57</v>
      </c>
      <c r="Q51" s="2540"/>
    </row>
    <row r="52" spans="1:17" ht="15.75" customHeight="1" thickBot="1">
      <c r="A52" s="444"/>
      <c r="B52" s="456"/>
      <c r="C52" s="456"/>
      <c r="D52" s="456"/>
      <c r="E52" s="457"/>
      <c r="F52" s="457"/>
      <c r="G52" s="457"/>
      <c r="H52" s="457"/>
      <c r="I52" s="457"/>
      <c r="J52" s="457"/>
      <c r="K52" s="457"/>
      <c r="L52" s="457"/>
      <c r="M52" s="457"/>
      <c r="N52" s="457"/>
      <c r="O52" s="457"/>
      <c r="P52" s="457"/>
      <c r="Q52" s="458"/>
    </row>
    <row r="53" spans="1:17" ht="9" customHeight="1" thickTop="1" thickBot="1">
      <c r="A53" s="1303"/>
      <c r="B53" s="1304"/>
      <c r="C53" s="1304"/>
      <c r="D53" s="1304"/>
      <c r="E53" s="1305"/>
      <c r="F53" s="1305"/>
      <c r="G53" s="1305"/>
      <c r="H53" s="1305"/>
      <c r="I53" s="1306"/>
      <c r="J53" s="1305"/>
      <c r="K53" s="1305"/>
      <c r="L53" s="1305"/>
      <c r="M53" s="1305"/>
      <c r="N53" s="1305"/>
      <c r="O53" s="1307"/>
      <c r="P53" s="1305"/>
      <c r="Q53" s="1305"/>
    </row>
    <row r="54" spans="1:17" ht="15" thickTop="1">
      <c r="A54" s="1308"/>
      <c r="B54" s="2541"/>
      <c r="C54" s="1560"/>
      <c r="D54" s="1309"/>
      <c r="E54" s="1310"/>
      <c r="F54" s="1310"/>
      <c r="G54" s="1310"/>
      <c r="H54" s="1310"/>
      <c r="I54" s="1311"/>
      <c r="J54" s="1310"/>
      <c r="K54" s="1310"/>
      <c r="L54" s="1310"/>
      <c r="M54" s="1310"/>
      <c r="N54" s="1310"/>
      <c r="O54" s="1312"/>
      <c r="P54" s="1313"/>
      <c r="Q54" s="1305"/>
    </row>
    <row r="55" spans="1:17" ht="15" thickBot="1">
      <c r="A55" s="1308"/>
      <c r="B55" s="2542"/>
      <c r="C55" s="1561"/>
      <c r="D55" s="2544"/>
      <c r="E55" s="2545"/>
      <c r="F55" s="1314"/>
      <c r="G55" s="1314"/>
      <c r="H55" s="1314"/>
      <c r="I55" s="2544"/>
      <c r="J55" s="2545"/>
      <c r="K55" s="1314"/>
      <c r="L55" s="1314"/>
      <c r="M55" s="1314"/>
      <c r="N55" s="1314"/>
      <c r="O55" s="1315"/>
      <c r="P55" s="2540">
        <f>P49/O47</f>
        <v>0</v>
      </c>
      <c r="Q55" s="2540"/>
    </row>
    <row r="56" spans="1:17" ht="15" thickBot="1">
      <c r="A56" s="1308"/>
      <c r="B56" s="2543"/>
      <c r="C56" s="1316"/>
      <c r="D56" s="1316"/>
      <c r="E56" s="1317"/>
      <c r="F56" s="1317"/>
      <c r="G56" s="1317"/>
      <c r="H56" s="1317"/>
      <c r="I56" s="1318"/>
      <c r="J56" s="1317"/>
      <c r="K56" s="1317"/>
      <c r="L56" s="1317"/>
      <c r="M56" s="1317"/>
      <c r="N56" s="1317"/>
      <c r="O56" s="1319"/>
      <c r="P56" s="1320"/>
      <c r="Q56" s="1305"/>
    </row>
    <row r="57" spans="1:17" ht="15" thickTop="1">
      <c r="A57" s="1321"/>
      <c r="B57" s="1322"/>
      <c r="C57" s="1322"/>
      <c r="D57" s="1322"/>
      <c r="E57" s="1323"/>
      <c r="F57" s="1323"/>
      <c r="G57" s="1323"/>
      <c r="H57" s="1323"/>
      <c r="I57" s="1324"/>
      <c r="J57" s="1323"/>
      <c r="K57" s="1323"/>
      <c r="L57" s="1323"/>
      <c r="M57" s="1323"/>
      <c r="N57" s="1323"/>
      <c r="O57" s="1325"/>
      <c r="P57" s="1323"/>
      <c r="Q57" s="1323"/>
    </row>
    <row r="58" spans="1:17" ht="14.25">
      <c r="A58" s="1321"/>
      <c r="B58" s="1322"/>
      <c r="C58" s="1322"/>
      <c r="D58" s="1322"/>
      <c r="E58" s="1323"/>
      <c r="F58" s="1323"/>
      <c r="G58" s="1323"/>
      <c r="H58" s="1323"/>
      <c r="I58" s="1324"/>
      <c r="J58" s="1323"/>
      <c r="K58" s="1323"/>
      <c r="L58" s="1323"/>
      <c r="M58" s="1323"/>
      <c r="N58" s="1323"/>
      <c r="O58" s="1325"/>
      <c r="P58" s="1323"/>
      <c r="Q58" s="1323"/>
    </row>
    <row r="59" spans="1:17" ht="14.25">
      <c r="A59" s="1321"/>
      <c r="B59" s="1322"/>
      <c r="C59" s="1322"/>
      <c r="D59" s="1322"/>
      <c r="E59" s="1323"/>
      <c r="F59" s="1323"/>
      <c r="G59" s="1323"/>
      <c r="H59" s="1323"/>
      <c r="I59" s="1324"/>
      <c r="J59" s="1323"/>
      <c r="K59" s="1323"/>
      <c r="L59" s="1323"/>
      <c r="M59" s="1323"/>
      <c r="N59" s="1323"/>
      <c r="O59" s="1325"/>
      <c r="P59" s="1323"/>
      <c r="Q59" s="1323"/>
    </row>
    <row r="60" spans="1:17" ht="14.25">
      <c r="A60" s="1321"/>
      <c r="B60" s="1322"/>
      <c r="C60" s="1322"/>
      <c r="D60" s="1322"/>
      <c r="E60" s="1323"/>
      <c r="F60" s="1323"/>
      <c r="G60" s="1323"/>
      <c r="H60" s="1323"/>
      <c r="I60" s="1324"/>
      <c r="J60" s="1323"/>
      <c r="K60" s="1323"/>
      <c r="L60" s="1323"/>
      <c r="M60" s="1323"/>
      <c r="N60" s="1323"/>
      <c r="O60" s="1325"/>
      <c r="P60" s="1323"/>
      <c r="Q60" s="1323"/>
    </row>
    <row r="61" spans="1:17" ht="14.25">
      <c r="A61" s="1321"/>
      <c r="B61" s="1322"/>
      <c r="C61" s="1322"/>
      <c r="D61" s="1322"/>
      <c r="E61" s="1323"/>
      <c r="F61" s="1323"/>
      <c r="G61" s="1323"/>
      <c r="H61" s="1323"/>
      <c r="I61" s="1324"/>
      <c r="J61" s="1323"/>
      <c r="K61" s="1323"/>
      <c r="L61" s="1323"/>
      <c r="M61" s="1323"/>
      <c r="N61" s="1323"/>
      <c r="O61" s="1325"/>
      <c r="P61" s="1323"/>
      <c r="Q61" s="1323"/>
    </row>
    <row r="62" spans="1:17" ht="14.25">
      <c r="A62" s="1321"/>
      <c r="B62" s="1322"/>
      <c r="C62" s="1322"/>
      <c r="D62" s="1322"/>
      <c r="E62" s="1323"/>
      <c r="F62" s="1323"/>
      <c r="G62" s="1323"/>
      <c r="H62" s="1323"/>
      <c r="I62" s="1324"/>
      <c r="J62" s="1323"/>
      <c r="K62" s="1323"/>
      <c r="L62" s="1323"/>
      <c r="M62" s="1323"/>
      <c r="N62" s="1323"/>
      <c r="O62" s="1325"/>
      <c r="P62" s="1323"/>
      <c r="Q62" s="1323"/>
    </row>
    <row r="63" spans="1:17">
      <c r="A63" s="1321"/>
      <c r="B63" s="1322"/>
      <c r="C63" s="1322"/>
      <c r="D63" s="1322"/>
      <c r="E63" s="1323"/>
      <c r="F63" s="1323"/>
      <c r="G63" s="1323"/>
      <c r="H63" s="1323"/>
      <c r="I63" s="1326"/>
      <c r="J63" s="1323"/>
      <c r="K63" s="1323"/>
      <c r="L63" s="1323"/>
      <c r="M63" s="1323"/>
      <c r="N63" s="1323"/>
      <c r="O63" s="1325"/>
      <c r="P63" s="1323"/>
      <c r="Q63" s="1323"/>
    </row>
    <row r="64" spans="1:17">
      <c r="A64" s="1321"/>
      <c r="B64" s="1322"/>
      <c r="C64" s="1322"/>
      <c r="D64" s="1322"/>
      <c r="E64" s="1323"/>
      <c r="F64" s="1323"/>
      <c r="G64" s="1323"/>
      <c r="H64" s="1323"/>
      <c r="I64" s="1323"/>
      <c r="J64" s="1323"/>
      <c r="K64" s="1323"/>
      <c r="L64" s="1323"/>
      <c r="M64" s="1323"/>
      <c r="N64" s="1323"/>
      <c r="O64" s="1325"/>
      <c r="P64" s="1323"/>
      <c r="Q64" s="1323"/>
    </row>
    <row r="65" spans="1:17">
      <c r="A65" s="1321"/>
      <c r="B65" s="1322"/>
      <c r="C65" s="1322"/>
      <c r="D65" s="1322"/>
      <c r="E65" s="1323"/>
      <c r="F65" s="1323"/>
      <c r="G65" s="1323"/>
      <c r="H65" s="1323"/>
      <c r="I65" s="1323"/>
      <c r="J65" s="1323"/>
      <c r="K65" s="1323"/>
      <c r="L65" s="1323"/>
      <c r="M65" s="1323"/>
      <c r="N65" s="1323"/>
      <c r="O65" s="1325"/>
      <c r="P65" s="1323"/>
      <c r="Q65" s="1323"/>
    </row>
    <row r="66" spans="1:17">
      <c r="A66" s="1321"/>
      <c r="B66" s="1322"/>
      <c r="C66" s="1322"/>
      <c r="D66" s="1322"/>
      <c r="E66" s="1323"/>
      <c r="F66" s="1323"/>
      <c r="G66" s="1323"/>
      <c r="H66" s="1323"/>
      <c r="I66" s="1323"/>
      <c r="J66" s="1323"/>
      <c r="K66" s="1323"/>
      <c r="L66" s="1323"/>
      <c r="M66" s="1323"/>
      <c r="N66" s="1323"/>
      <c r="O66" s="1325"/>
      <c r="P66" s="1323"/>
      <c r="Q66" s="1323"/>
    </row>
    <row r="67" spans="1:17">
      <c r="A67" s="1321"/>
      <c r="B67" s="1322"/>
      <c r="C67" s="1322"/>
      <c r="D67" s="1322"/>
      <c r="E67" s="1323"/>
      <c r="F67" s="1323"/>
      <c r="G67" s="1323"/>
      <c r="H67" s="1323"/>
      <c r="I67" s="1323"/>
      <c r="J67" s="1323"/>
      <c r="K67" s="1323"/>
      <c r="L67" s="1323"/>
      <c r="M67" s="1323"/>
      <c r="N67" s="1323"/>
      <c r="O67" s="1325"/>
      <c r="P67" s="1323"/>
      <c r="Q67" s="1323"/>
    </row>
    <row r="68" spans="1:17">
      <c r="A68" s="1321"/>
      <c r="B68" s="1322"/>
      <c r="C68" s="1322"/>
      <c r="D68" s="1322"/>
      <c r="E68" s="1323"/>
      <c r="F68" s="1323"/>
      <c r="G68" s="1323"/>
      <c r="H68" s="1323"/>
      <c r="I68" s="1323"/>
      <c r="J68" s="1323"/>
      <c r="K68" s="1323"/>
      <c r="L68" s="1323"/>
      <c r="M68" s="1323"/>
      <c r="N68" s="1323"/>
      <c r="O68" s="1325"/>
      <c r="P68" s="1323"/>
      <c r="Q68" s="1323"/>
    </row>
    <row r="69" spans="1:17">
      <c r="A69" s="1321"/>
      <c r="B69" s="1322"/>
      <c r="C69" s="1322"/>
      <c r="D69" s="1322"/>
      <c r="E69" s="1323"/>
      <c r="F69" s="1323"/>
      <c r="G69" s="1323"/>
      <c r="H69" s="1323"/>
      <c r="I69" s="1323"/>
      <c r="J69" s="1323"/>
      <c r="K69" s="1323"/>
      <c r="L69" s="1323"/>
      <c r="M69" s="1323"/>
      <c r="N69" s="1323"/>
      <c r="O69" s="1325"/>
      <c r="P69" s="1323"/>
      <c r="Q69" s="1323"/>
    </row>
    <row r="70" spans="1:17">
      <c r="A70" s="1321"/>
      <c r="B70" s="1322"/>
      <c r="C70" s="1322"/>
      <c r="D70" s="1322"/>
      <c r="E70" s="1323"/>
      <c r="F70" s="1323"/>
      <c r="G70" s="1323"/>
      <c r="H70" s="1323"/>
      <c r="I70" s="1323"/>
      <c r="J70" s="1323"/>
      <c r="K70" s="1323"/>
      <c r="L70" s="1323"/>
      <c r="M70" s="1323"/>
      <c r="N70" s="1323"/>
      <c r="O70" s="1325"/>
      <c r="P70" s="1323"/>
      <c r="Q70" s="1323"/>
    </row>
    <row r="71" spans="1:17">
      <c r="A71" s="1321"/>
      <c r="B71" s="1322"/>
      <c r="C71" s="1322"/>
      <c r="D71" s="1322"/>
      <c r="E71" s="1323"/>
      <c r="F71" s="1323"/>
      <c r="G71" s="1323"/>
      <c r="H71" s="1323"/>
      <c r="I71" s="1323"/>
      <c r="J71" s="1323"/>
      <c r="K71" s="1323"/>
      <c r="L71" s="1323"/>
      <c r="M71" s="1323"/>
      <c r="N71" s="1323"/>
      <c r="O71" s="1325"/>
      <c r="P71" s="1323"/>
      <c r="Q71" s="1323"/>
    </row>
    <row r="72" spans="1:17">
      <c r="A72" s="1321"/>
      <c r="B72" s="1322"/>
      <c r="C72" s="1322"/>
      <c r="D72" s="1322"/>
      <c r="E72" s="1323"/>
      <c r="F72" s="1323"/>
      <c r="G72" s="1323"/>
      <c r="H72" s="1323"/>
      <c r="I72" s="1323"/>
      <c r="J72" s="1323"/>
      <c r="K72" s="1323"/>
      <c r="L72" s="1323"/>
      <c r="M72" s="1323"/>
      <c r="N72" s="1323"/>
      <c r="O72" s="1325"/>
      <c r="P72" s="1323"/>
      <c r="Q72" s="1323"/>
    </row>
    <row r="73" spans="1:17">
      <c r="A73" s="1321"/>
      <c r="B73" s="1322"/>
      <c r="C73" s="1322"/>
      <c r="D73" s="1322"/>
      <c r="E73" s="1323"/>
      <c r="F73" s="1323"/>
      <c r="G73" s="1323"/>
      <c r="H73" s="1323"/>
      <c r="I73" s="1323"/>
      <c r="J73" s="1323"/>
      <c r="K73" s="1323"/>
      <c r="L73" s="1323"/>
      <c r="M73" s="1323"/>
      <c r="N73" s="1323"/>
      <c r="O73" s="1325"/>
      <c r="P73" s="1323"/>
      <c r="Q73" s="1323"/>
    </row>
    <row r="74" spans="1:17">
      <c r="A74" s="1321"/>
      <c r="B74" s="1322"/>
      <c r="C74" s="1322"/>
      <c r="D74" s="1322"/>
      <c r="E74" s="1323"/>
      <c r="F74" s="1323"/>
      <c r="G74" s="1323"/>
      <c r="H74" s="1323"/>
      <c r="I74" s="1323"/>
      <c r="J74" s="1323"/>
      <c r="K74" s="1323"/>
      <c r="L74" s="1323"/>
      <c r="M74" s="1323"/>
      <c r="N74" s="1323"/>
      <c r="O74" s="1325"/>
      <c r="P74" s="1323"/>
      <c r="Q74" s="1323"/>
    </row>
    <row r="75" spans="1:17">
      <c r="A75" s="1321"/>
      <c r="B75" s="1322"/>
      <c r="C75" s="1322"/>
      <c r="D75" s="1322"/>
      <c r="E75" s="1323"/>
      <c r="F75" s="1323"/>
      <c r="G75" s="1323"/>
      <c r="H75" s="1323"/>
      <c r="I75" s="1323"/>
      <c r="J75" s="1323"/>
      <c r="K75" s="1323"/>
      <c r="L75" s="1323"/>
      <c r="M75" s="1323"/>
      <c r="N75" s="1323"/>
      <c r="O75" s="1325"/>
      <c r="P75" s="1323"/>
      <c r="Q75" s="1323"/>
    </row>
    <row r="76" spans="1:17">
      <c r="A76" s="1321"/>
      <c r="B76" s="1322"/>
      <c r="C76" s="1322"/>
      <c r="D76" s="1322"/>
      <c r="E76" s="1323"/>
      <c r="F76" s="1323"/>
      <c r="G76" s="1323"/>
      <c r="H76" s="1323"/>
      <c r="I76" s="1323"/>
      <c r="J76" s="1323"/>
      <c r="K76" s="1323"/>
      <c r="L76" s="1323"/>
      <c r="M76" s="1323"/>
      <c r="N76" s="1323"/>
      <c r="O76" s="1325"/>
      <c r="P76" s="1323"/>
      <c r="Q76" s="1323"/>
    </row>
    <row r="77" spans="1:17">
      <c r="A77" s="1321"/>
      <c r="B77" s="1322"/>
      <c r="C77" s="1322"/>
      <c r="D77" s="1322"/>
      <c r="E77" s="1323"/>
      <c r="F77" s="1323"/>
      <c r="G77" s="1323"/>
      <c r="H77" s="1323"/>
      <c r="I77" s="1323"/>
      <c r="J77" s="1323"/>
      <c r="K77" s="1323"/>
      <c r="L77" s="1323"/>
      <c r="M77" s="1323"/>
      <c r="N77" s="1323"/>
      <c r="O77" s="1325"/>
      <c r="P77" s="1323"/>
      <c r="Q77" s="1323"/>
    </row>
    <row r="78" spans="1:17">
      <c r="A78" s="1321"/>
      <c r="B78" s="1322"/>
      <c r="C78" s="1322"/>
      <c r="D78" s="1322"/>
      <c r="E78" s="1323"/>
      <c r="F78" s="1323"/>
      <c r="G78" s="1323"/>
      <c r="H78" s="1323"/>
      <c r="I78" s="1323"/>
      <c r="J78" s="1323"/>
      <c r="K78" s="1323"/>
      <c r="L78" s="1323"/>
      <c r="M78" s="1323"/>
      <c r="N78" s="1323"/>
      <c r="O78" s="1325"/>
      <c r="P78" s="1323"/>
      <c r="Q78" s="1323"/>
    </row>
    <row r="79" spans="1:17">
      <c r="B79" s="1322"/>
      <c r="C79" s="1322"/>
      <c r="D79" s="1322"/>
      <c r="E79" s="1323"/>
      <c r="F79" s="1323"/>
      <c r="G79" s="1323"/>
      <c r="H79" s="1323"/>
      <c r="I79" s="1323"/>
      <c r="J79" s="1323"/>
      <c r="K79" s="1323"/>
      <c r="L79" s="1323"/>
      <c r="M79" s="1323"/>
      <c r="N79" s="1323"/>
      <c r="O79" s="1325"/>
      <c r="P79" s="1323"/>
      <c r="Q79" s="1323"/>
    </row>
    <row r="80" spans="1:17">
      <c r="B80" s="1322"/>
      <c r="C80" s="1322"/>
      <c r="D80" s="1322"/>
      <c r="E80" s="1323"/>
      <c r="F80" s="1323"/>
      <c r="G80" s="1323"/>
      <c r="H80" s="1323"/>
      <c r="I80" s="1323"/>
      <c r="J80" s="1323"/>
      <c r="K80" s="1323"/>
      <c r="L80" s="1323"/>
      <c r="M80" s="1323"/>
      <c r="N80" s="1323"/>
      <c r="O80" s="1325"/>
      <c r="P80" s="1323"/>
      <c r="Q80" s="1323"/>
    </row>
    <row r="81" spans="2:17">
      <c r="B81" s="1322"/>
      <c r="C81" s="1322"/>
      <c r="D81" s="1322"/>
      <c r="E81" s="1323"/>
      <c r="F81" s="1323"/>
      <c r="G81" s="1323"/>
      <c r="H81" s="1323"/>
      <c r="I81" s="1323"/>
      <c r="J81" s="1323"/>
      <c r="K81" s="1323"/>
      <c r="L81" s="1323"/>
      <c r="M81" s="1323"/>
      <c r="N81" s="1323"/>
      <c r="O81" s="1325"/>
      <c r="P81" s="1323"/>
      <c r="Q81" s="1323"/>
    </row>
    <row r="82" spans="2:17">
      <c r="B82" s="1322"/>
      <c r="C82" s="1322"/>
      <c r="D82" s="1322"/>
      <c r="E82" s="1323"/>
      <c r="F82" s="1323"/>
      <c r="G82" s="1323"/>
      <c r="H82" s="1323"/>
      <c r="I82" s="1323"/>
      <c r="J82" s="1323"/>
      <c r="K82" s="1323"/>
      <c r="L82" s="1323"/>
      <c r="M82" s="1323"/>
      <c r="N82" s="1323"/>
      <c r="O82" s="1325"/>
      <c r="P82" s="1323"/>
      <c r="Q82" s="1323"/>
    </row>
    <row r="83" spans="2:17">
      <c r="B83" s="1322"/>
      <c r="C83" s="1322"/>
      <c r="D83" s="1322"/>
      <c r="E83" s="1323"/>
      <c r="F83" s="1323"/>
      <c r="G83" s="1323"/>
      <c r="H83" s="1323"/>
      <c r="I83" s="1323"/>
      <c r="J83" s="1323"/>
      <c r="K83" s="1323"/>
      <c r="L83" s="1323"/>
      <c r="M83" s="1323"/>
      <c r="N83" s="1323"/>
      <c r="O83" s="1325"/>
      <c r="P83" s="1323"/>
      <c r="Q83" s="1323"/>
    </row>
    <row r="84" spans="2:17">
      <c r="B84" s="1322"/>
      <c r="C84" s="1322"/>
      <c r="D84" s="1322"/>
      <c r="E84" s="1323"/>
      <c r="F84" s="1323"/>
      <c r="G84" s="1323"/>
      <c r="H84" s="1323"/>
      <c r="I84" s="1323"/>
      <c r="J84" s="1323"/>
      <c r="K84" s="1323"/>
      <c r="L84" s="1323"/>
      <c r="M84" s="1323"/>
      <c r="N84" s="1323"/>
      <c r="O84" s="1325"/>
      <c r="P84" s="1323"/>
      <c r="Q84" s="1323"/>
    </row>
    <row r="85" spans="2:17">
      <c r="B85" s="1322"/>
      <c r="C85" s="1322"/>
      <c r="D85" s="1322"/>
      <c r="E85" s="1323"/>
      <c r="F85" s="1323"/>
      <c r="G85" s="1323"/>
      <c r="H85" s="1323"/>
      <c r="I85" s="1323"/>
      <c r="J85" s="1323"/>
      <c r="K85" s="1323"/>
      <c r="L85" s="1323"/>
      <c r="M85" s="1323"/>
      <c r="N85" s="1323"/>
      <c r="O85" s="1325"/>
      <c r="P85" s="1323"/>
      <c r="Q85" s="1323"/>
    </row>
    <row r="86" spans="2:17">
      <c r="B86" s="1322"/>
      <c r="C86" s="1322"/>
      <c r="D86" s="1322"/>
      <c r="E86" s="1323"/>
      <c r="F86" s="1323"/>
      <c r="G86" s="1323"/>
      <c r="H86" s="1323"/>
      <c r="I86" s="1323"/>
      <c r="J86" s="1323"/>
      <c r="K86" s="1323"/>
      <c r="L86" s="1323"/>
      <c r="M86" s="1323"/>
      <c r="N86" s="1323"/>
      <c r="O86" s="1325"/>
      <c r="P86" s="1323"/>
      <c r="Q86" s="1323"/>
    </row>
    <row r="87" spans="2:17">
      <c r="B87" s="1322"/>
      <c r="C87" s="1322"/>
      <c r="D87" s="1322"/>
      <c r="E87" s="1323"/>
      <c r="F87" s="1323"/>
      <c r="G87" s="1323"/>
      <c r="H87" s="1323"/>
      <c r="I87" s="1323"/>
      <c r="J87" s="1323"/>
      <c r="K87" s="1323"/>
      <c r="L87" s="1323"/>
      <c r="M87" s="1323"/>
      <c r="N87" s="1323"/>
      <c r="O87" s="1325"/>
      <c r="P87" s="1323"/>
      <c r="Q87" s="1323"/>
    </row>
    <row r="88" spans="2:17">
      <c r="B88" s="1322"/>
      <c r="C88" s="1322"/>
      <c r="D88" s="1322"/>
      <c r="E88" s="1323"/>
      <c r="F88" s="1323"/>
      <c r="G88" s="1323"/>
      <c r="H88" s="1323"/>
      <c r="I88" s="1323"/>
      <c r="J88" s="1323"/>
      <c r="K88" s="1323"/>
      <c r="L88" s="1323"/>
      <c r="M88" s="1323"/>
      <c r="N88" s="1323"/>
      <c r="O88" s="1325"/>
      <c r="P88" s="1323"/>
      <c r="Q88" s="1323"/>
    </row>
    <row r="89" spans="2:17">
      <c r="B89" s="1322"/>
      <c r="C89" s="1322"/>
      <c r="D89" s="1322"/>
      <c r="E89" s="1323"/>
      <c r="F89" s="1323"/>
      <c r="G89" s="1323"/>
      <c r="H89" s="1323"/>
      <c r="I89" s="1323"/>
      <c r="J89" s="1323"/>
      <c r="K89" s="1323"/>
      <c r="L89" s="1323"/>
      <c r="M89" s="1323"/>
      <c r="N89" s="1323"/>
      <c r="O89" s="1325"/>
      <c r="P89" s="1323"/>
      <c r="Q89" s="1323"/>
    </row>
    <row r="90" spans="2:17">
      <c r="B90" s="1322"/>
      <c r="C90" s="1322"/>
      <c r="D90" s="1322"/>
      <c r="E90" s="1323"/>
      <c r="F90" s="1323"/>
      <c r="G90" s="1323"/>
      <c r="H90" s="1323"/>
      <c r="I90" s="1323"/>
      <c r="J90" s="1323"/>
      <c r="K90" s="1323"/>
      <c r="L90" s="1323"/>
      <c r="M90" s="1323"/>
      <c r="N90" s="1323"/>
      <c r="O90" s="1325"/>
      <c r="P90" s="1323"/>
      <c r="Q90" s="1323"/>
    </row>
    <row r="91" spans="2:17">
      <c r="B91" s="1322"/>
      <c r="C91" s="1322"/>
      <c r="D91" s="1322"/>
      <c r="E91" s="1323"/>
      <c r="F91" s="1323"/>
      <c r="G91" s="1323"/>
      <c r="H91" s="1323"/>
      <c r="I91" s="1323"/>
      <c r="J91" s="1323"/>
      <c r="K91" s="1323"/>
      <c r="L91" s="1323"/>
      <c r="M91" s="1323"/>
      <c r="N91" s="1323"/>
      <c r="O91" s="1325"/>
      <c r="P91" s="1323"/>
      <c r="Q91" s="1323"/>
    </row>
    <row r="92" spans="2:17">
      <c r="B92" s="1322"/>
      <c r="C92" s="1322"/>
      <c r="D92" s="1322"/>
      <c r="E92" s="1323"/>
      <c r="F92" s="1323"/>
      <c r="G92" s="1323"/>
      <c r="H92" s="1323"/>
      <c r="I92" s="1323"/>
      <c r="J92" s="1323"/>
      <c r="K92" s="1323"/>
      <c r="L92" s="1323"/>
      <c r="M92" s="1323"/>
      <c r="N92" s="1323"/>
      <c r="O92" s="1325"/>
      <c r="P92" s="1323"/>
      <c r="Q92" s="1323"/>
    </row>
    <row r="93" spans="2:17">
      <c r="B93" s="1322"/>
      <c r="C93" s="1322"/>
      <c r="D93" s="1322"/>
      <c r="E93" s="1323"/>
      <c r="F93" s="1323"/>
      <c r="G93" s="1323"/>
      <c r="H93" s="1323"/>
      <c r="I93" s="1323"/>
      <c r="J93" s="1323"/>
      <c r="K93" s="1323"/>
      <c r="L93" s="1323"/>
      <c r="M93" s="1323"/>
      <c r="N93" s="1323"/>
      <c r="O93" s="1325"/>
      <c r="P93" s="1323"/>
      <c r="Q93" s="1323"/>
    </row>
    <row r="94" spans="2:17">
      <c r="B94" s="1322"/>
      <c r="C94" s="1322"/>
      <c r="D94" s="1322"/>
      <c r="E94" s="1323"/>
      <c r="F94" s="1323"/>
      <c r="G94" s="1323"/>
      <c r="H94" s="1323"/>
      <c r="I94" s="1323"/>
      <c r="J94" s="1323"/>
      <c r="K94" s="1323"/>
      <c r="L94" s="1323"/>
      <c r="M94" s="1323"/>
      <c r="N94" s="1323"/>
      <c r="O94" s="1325"/>
      <c r="P94" s="1323"/>
      <c r="Q94" s="1323"/>
    </row>
    <row r="95" spans="2:17">
      <c r="B95" s="1322"/>
      <c r="C95" s="1322"/>
      <c r="D95" s="1322"/>
      <c r="E95" s="1323"/>
      <c r="F95" s="1323"/>
      <c r="G95" s="1323"/>
      <c r="H95" s="1323"/>
      <c r="I95" s="1323"/>
      <c r="J95" s="1323"/>
      <c r="K95" s="1323"/>
      <c r="L95" s="1323"/>
      <c r="M95" s="1323"/>
      <c r="N95" s="1323"/>
      <c r="O95" s="1325"/>
      <c r="P95" s="1323"/>
      <c r="Q95" s="1323"/>
    </row>
    <row r="96" spans="2:17">
      <c r="B96" s="1322"/>
      <c r="C96" s="1322"/>
      <c r="D96" s="1322"/>
      <c r="E96" s="1323"/>
      <c r="F96" s="1323"/>
      <c r="G96" s="1323"/>
      <c r="H96" s="1323"/>
      <c r="I96" s="1323"/>
      <c r="J96" s="1323"/>
      <c r="K96" s="1323"/>
      <c r="L96" s="1323"/>
      <c r="M96" s="1323"/>
      <c r="N96" s="1323"/>
      <c r="O96" s="1325"/>
      <c r="P96" s="1323"/>
      <c r="Q96" s="1323"/>
    </row>
    <row r="97" spans="2:17">
      <c r="B97" s="1322"/>
      <c r="C97" s="1322"/>
      <c r="D97" s="1322"/>
      <c r="E97" s="1323"/>
      <c r="F97" s="1323"/>
      <c r="G97" s="1323"/>
      <c r="H97" s="1323"/>
      <c r="I97" s="1323"/>
      <c r="J97" s="1323"/>
      <c r="K97" s="1323"/>
      <c r="L97" s="1323"/>
      <c r="M97" s="1323"/>
      <c r="N97" s="1323"/>
      <c r="O97" s="1325"/>
      <c r="P97" s="1323"/>
      <c r="Q97" s="1323"/>
    </row>
    <row r="98" spans="2:17">
      <c r="B98" s="1322"/>
      <c r="C98" s="1322"/>
      <c r="D98" s="1322"/>
      <c r="E98" s="1323"/>
      <c r="F98" s="1323"/>
      <c r="G98" s="1323"/>
      <c r="H98" s="1323"/>
      <c r="I98" s="1323"/>
      <c r="J98" s="1323"/>
      <c r="K98" s="1323"/>
      <c r="L98" s="1323"/>
      <c r="M98" s="1323"/>
      <c r="N98" s="1323"/>
      <c r="O98" s="1325"/>
      <c r="P98" s="1323"/>
      <c r="Q98" s="1323"/>
    </row>
    <row r="99" spans="2:17">
      <c r="B99" s="1322"/>
      <c r="C99" s="1322"/>
      <c r="D99" s="1322"/>
      <c r="E99" s="1323"/>
      <c r="F99" s="1323"/>
      <c r="G99" s="1323"/>
      <c r="H99" s="1323"/>
      <c r="I99" s="1323"/>
      <c r="J99" s="1323"/>
      <c r="K99" s="1323"/>
      <c r="L99" s="1323"/>
      <c r="M99" s="1323"/>
      <c r="N99" s="1323"/>
      <c r="O99" s="1325"/>
      <c r="P99" s="1323"/>
      <c r="Q99" s="1323"/>
    </row>
    <row r="100" spans="2:17">
      <c r="B100" s="1322"/>
      <c r="C100" s="1322"/>
      <c r="D100" s="1322"/>
      <c r="E100" s="1323"/>
      <c r="F100" s="1323"/>
      <c r="G100" s="1323"/>
      <c r="H100" s="1323"/>
      <c r="I100" s="1323"/>
      <c r="J100" s="1323"/>
      <c r="K100" s="1323"/>
      <c r="L100" s="1323"/>
      <c r="M100" s="1323"/>
      <c r="N100" s="1323"/>
      <c r="O100" s="1325"/>
      <c r="P100" s="1323"/>
      <c r="Q100" s="1323"/>
    </row>
    <row r="101" spans="2:17">
      <c r="B101" s="1322"/>
      <c r="C101" s="1322"/>
      <c r="D101" s="1322"/>
      <c r="E101" s="1323"/>
      <c r="F101" s="1323"/>
      <c r="G101" s="1323"/>
      <c r="H101" s="1323"/>
      <c r="I101" s="1323"/>
      <c r="J101" s="1323"/>
      <c r="K101" s="1323"/>
      <c r="L101" s="1323"/>
      <c r="M101" s="1323"/>
      <c r="N101" s="1323"/>
      <c r="O101" s="1325"/>
      <c r="P101" s="1323"/>
      <c r="Q101" s="1323"/>
    </row>
    <row r="102" spans="2:17">
      <c r="B102" s="1322"/>
      <c r="C102" s="1322"/>
      <c r="D102" s="1322"/>
      <c r="E102" s="1323"/>
      <c r="F102" s="1323"/>
      <c r="G102" s="1323"/>
      <c r="H102" s="1323"/>
      <c r="I102" s="1323"/>
      <c r="J102" s="1323"/>
      <c r="K102" s="1323"/>
      <c r="L102" s="1323"/>
      <c r="M102" s="1323"/>
      <c r="N102" s="1323"/>
      <c r="O102" s="1325"/>
      <c r="P102" s="1323"/>
      <c r="Q102" s="1323"/>
    </row>
    <row r="103" spans="2:17">
      <c r="B103" s="1322"/>
      <c r="C103" s="1322"/>
      <c r="D103" s="1322"/>
      <c r="E103" s="1323"/>
      <c r="F103" s="1323"/>
      <c r="G103" s="1323"/>
      <c r="H103" s="1323"/>
      <c r="I103" s="1323"/>
      <c r="J103" s="1323"/>
      <c r="K103" s="1323"/>
      <c r="L103" s="1323"/>
      <c r="M103" s="1323"/>
      <c r="N103" s="1323"/>
      <c r="O103" s="1325"/>
      <c r="P103" s="1323"/>
      <c r="Q103" s="1323"/>
    </row>
    <row r="104" spans="2:17">
      <c r="B104" s="1322"/>
      <c r="C104" s="1322"/>
      <c r="D104" s="1322"/>
      <c r="E104" s="1323"/>
      <c r="F104" s="1323"/>
      <c r="G104" s="1323"/>
      <c r="H104" s="1323"/>
      <c r="I104" s="1323"/>
      <c r="J104" s="1323"/>
      <c r="K104" s="1323"/>
      <c r="L104" s="1323"/>
      <c r="M104" s="1323"/>
      <c r="N104" s="1323"/>
      <c r="O104" s="1325"/>
      <c r="P104" s="1323"/>
      <c r="Q104" s="1323"/>
    </row>
    <row r="105" spans="2:17">
      <c r="B105" s="1322"/>
      <c r="C105" s="1322"/>
      <c r="D105" s="1322"/>
      <c r="E105" s="1323"/>
      <c r="F105" s="1323"/>
      <c r="G105" s="1323"/>
      <c r="H105" s="1323"/>
      <c r="I105" s="1323"/>
      <c r="J105" s="1323"/>
      <c r="K105" s="1323"/>
      <c r="L105" s="1323"/>
      <c r="M105" s="1323"/>
      <c r="N105" s="1323"/>
      <c r="O105" s="1325"/>
      <c r="P105" s="1323"/>
      <c r="Q105" s="1323"/>
    </row>
    <row r="106" spans="2:17">
      <c r="B106" s="1322"/>
      <c r="C106" s="1322"/>
      <c r="D106" s="1322"/>
      <c r="E106" s="1323"/>
      <c r="F106" s="1323"/>
      <c r="G106" s="1323"/>
      <c r="H106" s="1323"/>
      <c r="I106" s="1323"/>
      <c r="J106" s="1323"/>
      <c r="K106" s="1323"/>
      <c r="L106" s="1323"/>
      <c r="M106" s="1323"/>
      <c r="N106" s="1323"/>
      <c r="O106" s="1325"/>
      <c r="P106" s="1323"/>
      <c r="Q106" s="1323"/>
    </row>
    <row r="107" spans="2:17">
      <c r="B107" s="1322"/>
      <c r="C107" s="1322"/>
      <c r="D107" s="1322"/>
      <c r="E107" s="1323"/>
      <c r="F107" s="1323"/>
      <c r="G107" s="1323"/>
      <c r="H107" s="1323"/>
      <c r="I107" s="1323"/>
      <c r="J107" s="1323"/>
      <c r="K107" s="1323"/>
      <c r="L107" s="1323"/>
      <c r="M107" s="1323"/>
      <c r="N107" s="1323"/>
      <c r="O107" s="1325"/>
      <c r="P107" s="1323"/>
      <c r="Q107" s="1323"/>
    </row>
    <row r="108" spans="2:17">
      <c r="B108" s="1322"/>
      <c r="C108" s="1322"/>
      <c r="D108" s="1322"/>
      <c r="E108" s="1323"/>
      <c r="F108" s="1323"/>
      <c r="G108" s="1323"/>
      <c r="H108" s="1323"/>
      <c r="I108" s="1323"/>
      <c r="J108" s="1323"/>
      <c r="K108" s="1323"/>
      <c r="L108" s="1323"/>
      <c r="M108" s="1323"/>
      <c r="N108" s="1323"/>
      <c r="O108" s="1325"/>
      <c r="P108" s="1323"/>
      <c r="Q108" s="1323"/>
    </row>
    <row r="109" spans="2:17">
      <c r="B109" s="1322"/>
      <c r="C109" s="1322"/>
      <c r="D109" s="1322"/>
      <c r="E109" s="1323"/>
      <c r="F109" s="1323"/>
      <c r="G109" s="1323"/>
      <c r="H109" s="1323"/>
      <c r="I109" s="1323"/>
      <c r="J109" s="1323"/>
      <c r="K109" s="1323"/>
      <c r="L109" s="1323"/>
      <c r="M109" s="1323"/>
      <c r="N109" s="1323"/>
      <c r="O109" s="1325"/>
      <c r="P109" s="1323"/>
      <c r="Q109" s="1323"/>
    </row>
    <row r="110" spans="2:17">
      <c r="B110" s="1322"/>
      <c r="C110" s="1322"/>
      <c r="D110" s="1322"/>
      <c r="E110" s="1323"/>
      <c r="F110" s="1323"/>
      <c r="G110" s="1323"/>
      <c r="H110" s="1323"/>
      <c r="I110" s="1323"/>
      <c r="J110" s="1323"/>
      <c r="K110" s="1323"/>
      <c r="L110" s="1323"/>
      <c r="M110" s="1323"/>
      <c r="N110" s="1323"/>
      <c r="O110" s="1325"/>
      <c r="P110" s="1323"/>
      <c r="Q110" s="1323"/>
    </row>
    <row r="111" spans="2:17">
      <c r="B111" s="1322"/>
      <c r="C111" s="1322"/>
      <c r="D111" s="1322"/>
      <c r="E111" s="1323"/>
      <c r="F111" s="1323"/>
      <c r="G111" s="1323"/>
      <c r="H111" s="1323"/>
      <c r="I111" s="1323"/>
      <c r="J111" s="1323"/>
      <c r="K111" s="1323"/>
      <c r="L111" s="1323"/>
      <c r="M111" s="1323"/>
      <c r="N111" s="1323"/>
      <c r="O111" s="1325"/>
      <c r="P111" s="1323"/>
      <c r="Q111" s="1323"/>
    </row>
    <row r="112" spans="2:17">
      <c r="B112" s="1322"/>
      <c r="C112" s="1322"/>
      <c r="D112" s="1322"/>
      <c r="E112" s="1323"/>
      <c r="F112" s="1323"/>
      <c r="G112" s="1323"/>
      <c r="H112" s="1323"/>
      <c r="I112" s="1323"/>
      <c r="J112" s="1323"/>
      <c r="K112" s="1323"/>
      <c r="L112" s="1323"/>
      <c r="M112" s="1323"/>
      <c r="N112" s="1323"/>
      <c r="O112" s="1325"/>
      <c r="P112" s="1323"/>
      <c r="Q112" s="1323"/>
    </row>
    <row r="113" spans="2:17">
      <c r="B113" s="1322"/>
      <c r="C113" s="1322"/>
      <c r="D113" s="1322"/>
      <c r="E113" s="1323"/>
      <c r="F113" s="1323"/>
      <c r="G113" s="1323"/>
      <c r="H113" s="1323"/>
      <c r="I113" s="1323"/>
      <c r="J113" s="1323"/>
      <c r="K113" s="1323"/>
      <c r="L113" s="1323"/>
      <c r="M113" s="1323"/>
      <c r="N113" s="1323"/>
      <c r="O113" s="1325"/>
      <c r="P113" s="1323"/>
      <c r="Q113" s="1323"/>
    </row>
    <row r="114" spans="2:17">
      <c r="B114" s="1322"/>
      <c r="C114" s="1322"/>
      <c r="D114" s="1322"/>
      <c r="E114" s="1323"/>
      <c r="F114" s="1323"/>
      <c r="G114" s="1323"/>
      <c r="H114" s="1323"/>
      <c r="I114" s="1323"/>
      <c r="J114" s="1323"/>
      <c r="K114" s="1323"/>
      <c r="L114" s="1323"/>
      <c r="M114" s="1323"/>
      <c r="N114" s="1323"/>
      <c r="O114" s="1325"/>
      <c r="P114" s="1323"/>
      <c r="Q114" s="1323"/>
    </row>
    <row r="115" spans="2:17">
      <c r="B115" s="1322"/>
      <c r="C115" s="1322"/>
      <c r="D115" s="1322"/>
      <c r="E115" s="1323"/>
      <c r="F115" s="1323"/>
      <c r="G115" s="1323"/>
      <c r="H115" s="1323"/>
      <c r="I115" s="1323"/>
      <c r="J115" s="1323"/>
      <c r="K115" s="1323"/>
      <c r="L115" s="1323"/>
      <c r="M115" s="1323"/>
      <c r="N115" s="1323"/>
      <c r="O115" s="1325"/>
      <c r="P115" s="1323"/>
      <c r="Q115" s="1323"/>
    </row>
    <row r="116" spans="2:17">
      <c r="B116" s="1322"/>
      <c r="C116" s="1322"/>
      <c r="D116" s="1322"/>
      <c r="E116" s="1323"/>
      <c r="F116" s="1323"/>
      <c r="G116" s="1323"/>
      <c r="H116" s="1323"/>
      <c r="I116" s="1323"/>
      <c r="J116" s="1323"/>
      <c r="K116" s="1323"/>
      <c r="L116" s="1323"/>
      <c r="M116" s="1323"/>
      <c r="N116" s="1323"/>
      <c r="O116" s="1325"/>
      <c r="P116" s="1323"/>
      <c r="Q116" s="1323"/>
    </row>
    <row r="117" spans="2:17">
      <c r="B117" s="1322"/>
      <c r="C117" s="1322"/>
      <c r="D117" s="1322"/>
      <c r="E117" s="1323"/>
      <c r="F117" s="1323"/>
      <c r="G117" s="1323"/>
      <c r="H117" s="1323"/>
      <c r="I117" s="1323"/>
      <c r="J117" s="1323"/>
      <c r="K117" s="1323"/>
      <c r="L117" s="1323"/>
      <c r="M117" s="1323"/>
      <c r="N117" s="1323"/>
      <c r="O117" s="1325"/>
      <c r="P117" s="1323"/>
      <c r="Q117" s="1323"/>
    </row>
    <row r="118" spans="2:17">
      <c r="B118" s="1322"/>
      <c r="C118" s="1322"/>
      <c r="D118" s="1322"/>
      <c r="E118" s="1323"/>
      <c r="F118" s="1323"/>
      <c r="G118" s="1323"/>
      <c r="H118" s="1323"/>
      <c r="I118" s="1323"/>
      <c r="J118" s="1323"/>
      <c r="K118" s="1323"/>
      <c r="L118" s="1323"/>
      <c r="M118" s="1323"/>
      <c r="N118" s="1323"/>
      <c r="O118" s="1325"/>
      <c r="P118" s="1323"/>
      <c r="Q118" s="1323"/>
    </row>
    <row r="119" spans="2:17">
      <c r="B119" s="1322"/>
      <c r="C119" s="1322"/>
      <c r="D119" s="1322"/>
      <c r="E119" s="1323"/>
      <c r="F119" s="1323"/>
      <c r="G119" s="1323"/>
      <c r="H119" s="1323"/>
      <c r="I119" s="1323"/>
      <c r="J119" s="1323"/>
      <c r="K119" s="1323"/>
      <c r="L119" s="1323"/>
      <c r="M119" s="1323"/>
      <c r="N119" s="1323"/>
      <c r="O119" s="1325"/>
      <c r="P119" s="1323"/>
      <c r="Q119" s="1323"/>
    </row>
    <row r="120" spans="2:17">
      <c r="B120" s="1322"/>
      <c r="C120" s="1322"/>
      <c r="D120" s="1322"/>
      <c r="E120" s="1323"/>
      <c r="F120" s="1323"/>
      <c r="G120" s="1323"/>
      <c r="H120" s="1323"/>
      <c r="I120" s="1323"/>
      <c r="J120" s="1323"/>
      <c r="K120" s="1323"/>
      <c r="L120" s="1323"/>
      <c r="M120" s="1323"/>
      <c r="N120" s="1323"/>
      <c r="O120" s="1325"/>
      <c r="P120" s="1323"/>
      <c r="Q120" s="1323"/>
    </row>
    <row r="121" spans="2:17">
      <c r="B121" s="1322"/>
      <c r="C121" s="1322"/>
      <c r="D121" s="1322"/>
      <c r="E121" s="1323"/>
      <c r="F121" s="1323"/>
      <c r="G121" s="1323"/>
      <c r="H121" s="1323"/>
      <c r="I121" s="1323"/>
      <c r="J121" s="1323"/>
      <c r="K121" s="1323"/>
      <c r="L121" s="1323"/>
      <c r="M121" s="1323"/>
      <c r="N121" s="1323"/>
      <c r="O121" s="1325"/>
      <c r="P121" s="1323"/>
      <c r="Q121" s="1323"/>
    </row>
    <row r="122" spans="2:17">
      <c r="B122" s="1322"/>
      <c r="C122" s="1322"/>
      <c r="D122" s="1322"/>
      <c r="E122" s="1323"/>
      <c r="F122" s="1323"/>
      <c r="G122" s="1323"/>
      <c r="H122" s="1323"/>
      <c r="I122" s="1323"/>
      <c r="J122" s="1323"/>
      <c r="K122" s="1323"/>
      <c r="L122" s="1323"/>
      <c r="M122" s="1323"/>
      <c r="N122" s="1323"/>
      <c r="O122" s="1325"/>
      <c r="P122" s="1323"/>
      <c r="Q122" s="1323"/>
    </row>
    <row r="123" spans="2:17">
      <c r="B123" s="1322"/>
      <c r="C123" s="1322"/>
      <c r="D123" s="1322"/>
      <c r="E123" s="1323"/>
      <c r="F123" s="1323"/>
      <c r="G123" s="1323"/>
      <c r="H123" s="1323"/>
      <c r="I123" s="1323"/>
      <c r="J123" s="1323"/>
      <c r="K123" s="1323"/>
      <c r="L123" s="1323"/>
      <c r="M123" s="1323"/>
      <c r="N123" s="1323"/>
      <c r="O123" s="1325"/>
      <c r="P123" s="1323"/>
      <c r="Q123" s="1323"/>
    </row>
    <row r="124" spans="2:17">
      <c r="B124" s="1322"/>
      <c r="C124" s="1322"/>
      <c r="D124" s="1322"/>
      <c r="E124" s="1323"/>
      <c r="F124" s="1323"/>
      <c r="G124" s="1323"/>
      <c r="H124" s="1323"/>
      <c r="I124" s="1323"/>
      <c r="J124" s="1323"/>
      <c r="K124" s="1323"/>
      <c r="L124" s="1323"/>
      <c r="M124" s="1323"/>
      <c r="N124" s="1323"/>
      <c r="O124" s="1325"/>
      <c r="P124" s="1323"/>
      <c r="Q124" s="1323"/>
    </row>
    <row r="125" spans="2:17">
      <c r="B125" s="1322"/>
      <c r="C125" s="1322"/>
      <c r="D125" s="1322"/>
      <c r="E125" s="1323"/>
      <c r="F125" s="1323"/>
      <c r="G125" s="1323"/>
      <c r="H125" s="1323"/>
      <c r="I125" s="1323"/>
      <c r="J125" s="1323"/>
      <c r="K125" s="1323"/>
      <c r="L125" s="1323"/>
      <c r="M125" s="1323"/>
      <c r="N125" s="1323"/>
      <c r="O125" s="1325"/>
      <c r="P125" s="1323"/>
      <c r="Q125" s="1323"/>
    </row>
    <row r="126" spans="2:17">
      <c r="B126" s="1322"/>
      <c r="C126" s="1322"/>
      <c r="D126" s="1322"/>
      <c r="E126" s="1323"/>
      <c r="F126" s="1323"/>
      <c r="G126" s="1323"/>
      <c r="H126" s="1323"/>
      <c r="I126" s="1323"/>
      <c r="J126" s="1323"/>
      <c r="K126" s="1323"/>
      <c r="L126" s="1323"/>
      <c r="M126" s="1323"/>
      <c r="N126" s="1323"/>
      <c r="O126" s="1325"/>
      <c r="P126" s="1323"/>
      <c r="Q126" s="1323"/>
    </row>
    <row r="127" spans="2:17">
      <c r="B127" s="1322"/>
      <c r="C127" s="1322"/>
      <c r="D127" s="1322"/>
      <c r="E127" s="1323"/>
      <c r="F127" s="1323"/>
      <c r="G127" s="1323"/>
      <c r="H127" s="1323"/>
      <c r="I127" s="1323"/>
      <c r="J127" s="1323"/>
      <c r="K127" s="1323"/>
      <c r="L127" s="1323"/>
      <c r="M127" s="1323"/>
      <c r="N127" s="1323"/>
      <c r="O127" s="1325"/>
      <c r="P127" s="1323"/>
      <c r="Q127" s="1323"/>
    </row>
    <row r="128" spans="2:17">
      <c r="B128" s="1322"/>
      <c r="C128" s="1322"/>
      <c r="D128" s="1322"/>
      <c r="E128" s="1323"/>
      <c r="F128" s="1323"/>
      <c r="G128" s="1323"/>
      <c r="H128" s="1323"/>
      <c r="I128" s="1323"/>
      <c r="J128" s="1323"/>
      <c r="K128" s="1323"/>
      <c r="L128" s="1323"/>
      <c r="M128" s="1323"/>
      <c r="N128" s="1323"/>
      <c r="O128" s="1325"/>
      <c r="P128" s="1323"/>
      <c r="Q128" s="1323"/>
    </row>
    <row r="129" spans="2:17">
      <c r="B129" s="1322"/>
      <c r="C129" s="1322"/>
      <c r="D129" s="1322"/>
      <c r="E129" s="1323"/>
      <c r="F129" s="1323"/>
      <c r="G129" s="1323"/>
      <c r="H129" s="1323"/>
      <c r="I129" s="1323"/>
      <c r="J129" s="1323"/>
      <c r="K129" s="1323"/>
      <c r="L129" s="1323"/>
      <c r="M129" s="1323"/>
      <c r="N129" s="1323"/>
      <c r="O129" s="1325"/>
      <c r="P129" s="1323"/>
      <c r="Q129" s="1323"/>
    </row>
    <row r="130" spans="2:17">
      <c r="B130" s="1322"/>
      <c r="C130" s="1322"/>
      <c r="D130" s="1322"/>
      <c r="E130" s="1323"/>
      <c r="F130" s="1323"/>
      <c r="G130" s="1323"/>
      <c r="H130" s="1323"/>
      <c r="I130" s="1323"/>
      <c r="J130" s="1323"/>
      <c r="K130" s="1323"/>
      <c r="L130" s="1323"/>
      <c r="M130" s="1323"/>
      <c r="N130" s="1323"/>
      <c r="O130" s="1325"/>
      <c r="P130" s="1323"/>
      <c r="Q130" s="1323"/>
    </row>
    <row r="131" spans="2:17">
      <c r="B131" s="1322"/>
      <c r="C131" s="1322"/>
      <c r="D131" s="1322"/>
      <c r="E131" s="1323"/>
      <c r="F131" s="1323"/>
      <c r="G131" s="1323"/>
      <c r="H131" s="1323"/>
      <c r="I131" s="1323"/>
      <c r="J131" s="1323"/>
      <c r="K131" s="1323"/>
      <c r="L131" s="1323"/>
      <c r="M131" s="1323"/>
      <c r="N131" s="1323"/>
      <c r="O131" s="1325"/>
      <c r="P131" s="1323"/>
      <c r="Q131" s="1323"/>
    </row>
    <row r="132" spans="2:17">
      <c r="B132" s="1322"/>
      <c r="C132" s="1322"/>
      <c r="D132" s="1322"/>
      <c r="E132" s="1323"/>
      <c r="F132" s="1323"/>
      <c r="G132" s="1323"/>
      <c r="H132" s="1323"/>
      <c r="I132" s="1323"/>
      <c r="J132" s="1323"/>
      <c r="K132" s="1323"/>
      <c r="L132" s="1323"/>
      <c r="M132" s="1323"/>
      <c r="N132" s="1323"/>
      <c r="O132" s="1325"/>
      <c r="P132" s="1323"/>
      <c r="Q132" s="1323"/>
    </row>
  </sheetData>
  <mergeCells count="160">
    <mergeCell ref="D22:E22"/>
    <mergeCell ref="D23:E23"/>
    <mergeCell ref="D24:E24"/>
    <mergeCell ref="D25:E25"/>
    <mergeCell ref="B10:G10"/>
    <mergeCell ref="B11:G11"/>
    <mergeCell ref="B12:G12"/>
    <mergeCell ref="B14:G14"/>
    <mergeCell ref="I14:O14"/>
    <mergeCell ref="K18:L18"/>
    <mergeCell ref="B16:E16"/>
    <mergeCell ref="F16:J16"/>
    <mergeCell ref="N17:P17"/>
    <mergeCell ref="N18:P18"/>
    <mergeCell ref="F27:G27"/>
    <mergeCell ref="I10:O10"/>
    <mergeCell ref="D17:E17"/>
    <mergeCell ref="D18:E18"/>
    <mergeCell ref="F21:G21"/>
    <mergeCell ref="K21:L21"/>
    <mergeCell ref="F17:G17"/>
    <mergeCell ref="K17:L17"/>
    <mergeCell ref="F18:G18"/>
    <mergeCell ref="D19:E19"/>
    <mergeCell ref="F26:G26"/>
    <mergeCell ref="N19:P19"/>
    <mergeCell ref="N20:P20"/>
    <mergeCell ref="I17:J17"/>
    <mergeCell ref="I18:J18"/>
    <mergeCell ref="D26:E26"/>
    <mergeCell ref="D27:E27"/>
    <mergeCell ref="K16:P16"/>
    <mergeCell ref="K24:L24"/>
    <mergeCell ref="D20:E20"/>
    <mergeCell ref="F22:G22"/>
    <mergeCell ref="F23:G23"/>
    <mergeCell ref="F24:G24"/>
    <mergeCell ref="F25:G25"/>
    <mergeCell ref="F47:G47"/>
    <mergeCell ref="F19:G19"/>
    <mergeCell ref="K19:L19"/>
    <mergeCell ref="F20:G20"/>
    <mergeCell ref="K20:L20"/>
    <mergeCell ref="K32:L32"/>
    <mergeCell ref="I19:J19"/>
    <mergeCell ref="I20:J20"/>
    <mergeCell ref="F34:G34"/>
    <mergeCell ref="I24:J24"/>
    <mergeCell ref="F28:G28"/>
    <mergeCell ref="F29:G29"/>
    <mergeCell ref="F30:G30"/>
    <mergeCell ref="I25:J25"/>
    <mergeCell ref="I26:J26"/>
    <mergeCell ref="I27:J27"/>
    <mergeCell ref="I28:J28"/>
    <mergeCell ref="I29:J29"/>
    <mergeCell ref="I30:J30"/>
    <mergeCell ref="I22:J22"/>
    <mergeCell ref="I23:J23"/>
    <mergeCell ref="I43:J43"/>
    <mergeCell ref="F45:G45"/>
    <mergeCell ref="F42:G42"/>
    <mergeCell ref="I45:J45"/>
    <mergeCell ref="I41:J41"/>
    <mergeCell ref="I42:J42"/>
    <mergeCell ref="D32:E32"/>
    <mergeCell ref="D33:E33"/>
    <mergeCell ref="F36:G36"/>
    <mergeCell ref="F37:G37"/>
    <mergeCell ref="D34:E34"/>
    <mergeCell ref="D35:E35"/>
    <mergeCell ref="D36:E36"/>
    <mergeCell ref="D37:E37"/>
    <mergeCell ref="F33:G33"/>
    <mergeCell ref="F32:G32"/>
    <mergeCell ref="K35:L35"/>
    <mergeCell ref="F31:G31"/>
    <mergeCell ref="F35:G35"/>
    <mergeCell ref="D31:E31"/>
    <mergeCell ref="F46:G46"/>
    <mergeCell ref="I44:J44"/>
    <mergeCell ref="I35:J35"/>
    <mergeCell ref="I36:J36"/>
    <mergeCell ref="I37:J37"/>
    <mergeCell ref="I38:J38"/>
    <mergeCell ref="I39:J39"/>
    <mergeCell ref="F43:G43"/>
    <mergeCell ref="F44:G44"/>
    <mergeCell ref="D40:E40"/>
    <mergeCell ref="I31:J31"/>
    <mergeCell ref="I32:J32"/>
    <mergeCell ref="I33:J33"/>
    <mergeCell ref="I34:J34"/>
    <mergeCell ref="D43:E43"/>
    <mergeCell ref="F41:G41"/>
    <mergeCell ref="I40:J40"/>
    <mergeCell ref="F40:G40"/>
    <mergeCell ref="D44:E44"/>
    <mergeCell ref="D45:E45"/>
    <mergeCell ref="D48:E48"/>
    <mergeCell ref="I48:J48"/>
    <mergeCell ref="F48:G48"/>
    <mergeCell ref="F49:G49"/>
    <mergeCell ref="D49:E49"/>
    <mergeCell ref="F50:G50"/>
    <mergeCell ref="K27:L27"/>
    <mergeCell ref="I46:J46"/>
    <mergeCell ref="D47:E47"/>
    <mergeCell ref="I47:J47"/>
    <mergeCell ref="K41:L41"/>
    <mergeCell ref="K42:L42"/>
    <mergeCell ref="D46:E46"/>
    <mergeCell ref="K30:L30"/>
    <mergeCell ref="K48:L48"/>
    <mergeCell ref="K46:L46"/>
    <mergeCell ref="K43:L43"/>
    <mergeCell ref="K44:L44"/>
    <mergeCell ref="D28:E28"/>
    <mergeCell ref="D29:E29"/>
    <mergeCell ref="D30:E30"/>
    <mergeCell ref="D39:E39"/>
    <mergeCell ref="F38:G38"/>
    <mergeCell ref="F39:G39"/>
    <mergeCell ref="K45:L45"/>
    <mergeCell ref="K36:L36"/>
    <mergeCell ref="K47:N47"/>
    <mergeCell ref="K40:L40"/>
    <mergeCell ref="K28:L28"/>
    <mergeCell ref="K29:L29"/>
    <mergeCell ref="B2:P2"/>
    <mergeCell ref="B4:P4"/>
    <mergeCell ref="B6:P6"/>
    <mergeCell ref="B5:P5"/>
    <mergeCell ref="B7:P7"/>
    <mergeCell ref="K22:L22"/>
    <mergeCell ref="K23:L23"/>
    <mergeCell ref="K26:L26"/>
    <mergeCell ref="D41:E41"/>
    <mergeCell ref="D42:E42"/>
    <mergeCell ref="K25:L25"/>
    <mergeCell ref="K37:L37"/>
    <mergeCell ref="K38:L38"/>
    <mergeCell ref="K39:L39"/>
    <mergeCell ref="D38:E38"/>
    <mergeCell ref="K31:L31"/>
    <mergeCell ref="K33:L33"/>
    <mergeCell ref="K34:L34"/>
    <mergeCell ref="P55:Q55"/>
    <mergeCell ref="P51:Q51"/>
    <mergeCell ref="B54:B56"/>
    <mergeCell ref="D55:E55"/>
    <mergeCell ref="I55:J55"/>
    <mergeCell ref="I49:J49"/>
    <mergeCell ref="K50:O50"/>
    <mergeCell ref="D50:E50"/>
    <mergeCell ref="L49:O49"/>
    <mergeCell ref="D51:E51"/>
    <mergeCell ref="F51:G51"/>
    <mergeCell ref="I50:J50"/>
    <mergeCell ref="I51:J51"/>
  </mergeCells>
  <pageMargins left="0.78749999999999998" right="0.78749999999999998" top="1.0249999999999999" bottom="1.0249999999999999" header="0.78749999999999998" footer="0.78749999999999998"/>
  <pageSetup paperSize="9" scale="58" orientation="portrait" useFirstPageNumber="1" horizontalDpi="300" verticalDpi="300" r:id="rId1"/>
  <headerFooter alignWithMargins="0">
    <oddHeader>&amp;CSeite &amp;P</oddHeader>
    <oddFooter>&amp;LDie Vorlage dieser Datei wurde zur Verfügung gestellt durch Rüdiger ADAMY, Hannover&amp;R&amp;D</oddFooter>
  </headerFooter>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186CB-067C-4B7D-835C-032298534409}">
  <dimension ref="B1:L33"/>
  <sheetViews>
    <sheetView workbookViewId="0">
      <selection activeCell="G3" sqref="G3"/>
    </sheetView>
  </sheetViews>
  <sheetFormatPr defaultRowHeight="12.75"/>
  <cols>
    <col min="1" max="1" width="11.42578125" customWidth="1"/>
    <col min="2" max="2" width="20" customWidth="1"/>
    <col min="3" max="3" width="11.42578125" customWidth="1"/>
    <col min="4" max="4" width="33.85546875" customWidth="1"/>
    <col min="5" max="5" width="24.42578125" customWidth="1"/>
    <col min="6" max="6" width="7.7109375" customWidth="1"/>
    <col min="7" max="7" width="33.28515625" customWidth="1"/>
    <col min="8" max="8" width="13.28515625" customWidth="1"/>
    <col min="9" max="256" width="11.42578125" customWidth="1"/>
  </cols>
  <sheetData>
    <row r="1" spans="2:12">
      <c r="F1" s="2612" t="s">
        <v>834</v>
      </c>
    </row>
    <row r="2" spans="2:12">
      <c r="F2" s="2612"/>
    </row>
    <row r="3" spans="2:12" ht="15">
      <c r="B3" s="1974" t="s">
        <v>835</v>
      </c>
      <c r="C3" s="1974"/>
      <c r="D3" s="1974"/>
      <c r="F3" s="2612"/>
    </row>
    <row r="4" spans="2:12">
      <c r="B4" t="s">
        <v>836</v>
      </c>
      <c r="F4" s="2612"/>
    </row>
    <row r="5" spans="2:12">
      <c r="F5" s="2612"/>
    </row>
    <row r="6" spans="2:12">
      <c r="F6" s="2612"/>
    </row>
    <row r="7" spans="2:12" ht="15.75" thickBot="1">
      <c r="E7" s="1975" t="s">
        <v>837</v>
      </c>
      <c r="F7" s="2613"/>
      <c r="G7" s="1975" t="s">
        <v>838</v>
      </c>
      <c r="H7" s="1975" t="s">
        <v>839</v>
      </c>
    </row>
    <row r="8" spans="2:12" ht="13.5" thickTop="1">
      <c r="B8" s="1976"/>
      <c r="C8" s="1977"/>
      <c r="D8" s="1977"/>
      <c r="E8" s="1977"/>
      <c r="F8" s="1977"/>
      <c r="G8" s="1977"/>
      <c r="H8" s="1977"/>
      <c r="I8" s="1977"/>
      <c r="J8" s="1978"/>
    </row>
    <row r="9" spans="2:12" ht="15">
      <c r="B9" s="1979" t="s">
        <v>840</v>
      </c>
      <c r="C9" s="1980" t="s">
        <v>841</v>
      </c>
      <c r="D9" s="1838" t="s">
        <v>842</v>
      </c>
      <c r="E9" s="1981" t="s">
        <v>843</v>
      </c>
      <c r="F9" s="1981"/>
      <c r="G9" s="1838"/>
      <c r="H9" s="1838"/>
      <c r="I9" s="1838"/>
      <c r="J9" s="1982"/>
    </row>
    <row r="10" spans="2:12" ht="13.5" thickBot="1">
      <c r="B10" s="1983"/>
      <c r="C10" s="1984" t="s">
        <v>841</v>
      </c>
      <c r="D10" s="1985" t="s">
        <v>844</v>
      </c>
      <c r="E10" s="1986" t="s">
        <v>845</v>
      </c>
      <c r="F10" s="1986"/>
      <c r="G10" s="1985"/>
      <c r="H10" s="1985"/>
      <c r="I10" s="1985" t="s">
        <v>846</v>
      </c>
      <c r="J10" s="1987"/>
    </row>
    <row r="11" spans="2:12" ht="14.25" thickTop="1" thickBot="1">
      <c r="C11" s="1988"/>
      <c r="E11" s="1989"/>
      <c r="F11" s="1989"/>
      <c r="H11" s="1990"/>
    </row>
    <row r="12" spans="2:12" ht="15.75" thickTop="1">
      <c r="B12" s="1991" t="s">
        <v>847</v>
      </c>
      <c r="C12" s="1992" t="s">
        <v>841</v>
      </c>
      <c r="D12" s="1977" t="s">
        <v>848</v>
      </c>
      <c r="E12" s="1993" t="s">
        <v>849</v>
      </c>
      <c r="F12" s="1993"/>
      <c r="G12" s="1977"/>
      <c r="H12" s="1994"/>
      <c r="I12" s="1977" t="s">
        <v>850</v>
      </c>
      <c r="J12" s="1977"/>
      <c r="K12" s="1977"/>
      <c r="L12" s="1978"/>
    </row>
    <row r="13" spans="2:12">
      <c r="B13" s="1995" t="s">
        <v>851</v>
      </c>
      <c r="C13" s="1980" t="s">
        <v>841</v>
      </c>
      <c r="D13" s="1838" t="s">
        <v>852</v>
      </c>
      <c r="E13" s="1996">
        <v>0.6</v>
      </c>
      <c r="F13" s="1996"/>
      <c r="G13" s="1838"/>
      <c r="H13" s="1981"/>
      <c r="I13" s="1838"/>
      <c r="J13" s="1838"/>
      <c r="K13" s="1838"/>
      <c r="L13" s="1982"/>
    </row>
    <row r="14" spans="2:12">
      <c r="B14" s="1995"/>
      <c r="C14" s="1980" t="s">
        <v>841</v>
      </c>
      <c r="D14" s="1838" t="s">
        <v>853</v>
      </c>
      <c r="E14" s="1981" t="s">
        <v>854</v>
      </c>
      <c r="F14" s="1981"/>
      <c r="G14" s="1838"/>
      <c r="H14" s="1981"/>
      <c r="I14" s="1838" t="s">
        <v>855</v>
      </c>
      <c r="J14" s="1838"/>
      <c r="K14" s="1838"/>
      <c r="L14" s="1982"/>
    </row>
    <row r="15" spans="2:12">
      <c r="B15" s="1995"/>
      <c r="C15" s="1980" t="s">
        <v>841</v>
      </c>
      <c r="D15" s="1838" t="s">
        <v>856</v>
      </c>
      <c r="E15" s="1981">
        <v>0.2</v>
      </c>
      <c r="F15" s="1981"/>
      <c r="G15" s="1838"/>
      <c r="H15" s="1981"/>
      <c r="I15" s="1838" t="s">
        <v>857</v>
      </c>
      <c r="J15" s="1838"/>
      <c r="K15" s="1838"/>
      <c r="L15" s="1982"/>
    </row>
    <row r="16" spans="2:12">
      <c r="B16" s="1995"/>
      <c r="C16" s="1980" t="s">
        <v>841</v>
      </c>
      <c r="D16" s="1838" t="s">
        <v>858</v>
      </c>
      <c r="E16" s="1996" t="s">
        <v>854</v>
      </c>
      <c r="F16" s="1996"/>
      <c r="G16" s="1838"/>
      <c r="H16" s="1981"/>
      <c r="I16" s="1838" t="s">
        <v>859</v>
      </c>
      <c r="J16" s="1838"/>
      <c r="K16" s="1838"/>
      <c r="L16" s="1982"/>
    </row>
    <row r="17" spans="2:12">
      <c r="B17" s="1995"/>
      <c r="C17" s="1980" t="s">
        <v>841</v>
      </c>
      <c r="D17" s="1838" t="s">
        <v>860</v>
      </c>
      <c r="E17" s="1996"/>
      <c r="F17" s="1996"/>
      <c r="G17" s="1838"/>
      <c r="H17" s="1981" t="s">
        <v>861</v>
      </c>
      <c r="I17" s="1838" t="s">
        <v>862</v>
      </c>
      <c r="J17" s="1838"/>
      <c r="K17" s="1838"/>
      <c r="L17" s="1982"/>
    </row>
    <row r="18" spans="2:12">
      <c r="B18" s="1995"/>
      <c r="C18" s="1980" t="s">
        <v>841</v>
      </c>
      <c r="D18" s="1838" t="s">
        <v>863</v>
      </c>
      <c r="E18" s="1997"/>
      <c r="F18" s="1997"/>
      <c r="G18" s="1838"/>
      <c r="H18" s="1981" t="s">
        <v>864</v>
      </c>
      <c r="I18" s="2347" t="s">
        <v>865</v>
      </c>
      <c r="J18" s="2347"/>
      <c r="K18" s="2347"/>
      <c r="L18" s="2614"/>
    </row>
    <row r="19" spans="2:12" ht="13.5" thickBot="1">
      <c r="B19" s="1983"/>
      <c r="C19" s="1984"/>
      <c r="D19" s="1985"/>
      <c r="E19" s="1998"/>
      <c r="F19" s="1998"/>
      <c r="G19" s="1985"/>
      <c r="H19" s="1986"/>
      <c r="I19" s="2615"/>
      <c r="J19" s="2615"/>
      <c r="K19" s="2615"/>
      <c r="L19" s="2616"/>
    </row>
    <row r="20" spans="2:12" ht="14.25" thickTop="1" thickBot="1">
      <c r="B20" s="1838"/>
      <c r="C20" s="1980"/>
      <c r="D20" s="1838"/>
      <c r="E20" s="1996"/>
      <c r="F20" s="1996"/>
      <c r="G20" s="1838"/>
      <c r="H20" s="1981"/>
      <c r="I20" s="2054"/>
      <c r="J20" s="2054"/>
      <c r="K20" s="2054"/>
      <c r="L20" s="2054"/>
    </row>
    <row r="21" spans="2:12" ht="13.5" thickTop="1">
      <c r="B21" s="1999" t="s">
        <v>866</v>
      </c>
      <c r="C21" s="2000" t="s">
        <v>841</v>
      </c>
      <c r="D21" s="2001" t="s">
        <v>867</v>
      </c>
      <c r="E21" s="2001"/>
      <c r="F21" s="2001"/>
      <c r="G21" s="2002" t="s">
        <v>868</v>
      </c>
      <c r="H21" s="2001"/>
      <c r="I21" s="2001"/>
      <c r="J21" s="2001"/>
      <c r="K21" s="2001"/>
      <c r="L21" s="2003"/>
    </row>
    <row r="22" spans="2:12">
      <c r="B22" s="2004"/>
      <c r="C22" s="1980" t="s">
        <v>841</v>
      </c>
      <c r="D22" s="1838" t="s">
        <v>869</v>
      </c>
      <c r="E22" s="1838"/>
      <c r="F22" s="1838"/>
      <c r="G22" s="1981" t="s">
        <v>870</v>
      </c>
      <c r="H22" s="1838"/>
      <c r="I22" s="1838" t="s">
        <v>871</v>
      </c>
      <c r="J22" s="1838"/>
      <c r="K22" s="1838"/>
      <c r="L22" s="2005"/>
    </row>
    <row r="23" spans="2:12">
      <c r="B23" s="2004"/>
      <c r="C23" s="1980" t="s">
        <v>841</v>
      </c>
      <c r="D23" s="1838" t="s">
        <v>872</v>
      </c>
      <c r="E23" s="1838"/>
      <c r="F23" s="1838"/>
      <c r="G23" s="1981">
        <v>40</v>
      </c>
      <c r="H23" s="1838"/>
      <c r="I23" s="1838"/>
      <c r="J23" s="1838"/>
      <c r="K23" s="1838"/>
      <c r="L23" s="2005"/>
    </row>
    <row r="24" spans="2:12">
      <c r="B24" s="2004"/>
      <c r="C24" s="1980" t="s">
        <v>841</v>
      </c>
      <c r="D24" s="1838" t="s">
        <v>873</v>
      </c>
      <c r="E24" s="1838"/>
      <c r="F24" s="1838"/>
      <c r="G24" s="1981">
        <v>200</v>
      </c>
      <c r="H24" s="1838"/>
      <c r="I24" s="1838"/>
      <c r="J24" s="1838"/>
      <c r="K24" s="1838"/>
      <c r="L24" s="2005"/>
    </row>
    <row r="25" spans="2:12">
      <c r="B25" s="2004"/>
      <c r="C25" s="1980"/>
      <c r="D25" s="1838"/>
      <c r="E25" s="1838"/>
      <c r="F25" s="1838"/>
      <c r="G25" s="1838"/>
      <c r="H25" s="1838"/>
      <c r="I25" s="1838"/>
      <c r="J25" s="1838"/>
      <c r="K25" s="1838"/>
      <c r="L25" s="2005"/>
    </row>
    <row r="26" spans="2:12">
      <c r="B26" s="2004"/>
      <c r="C26" s="1980" t="s">
        <v>841</v>
      </c>
      <c r="D26" s="1838"/>
      <c r="E26" s="1996"/>
      <c r="F26" s="1996"/>
      <c r="G26" s="1838"/>
      <c r="H26" s="1838"/>
      <c r="I26" s="1838"/>
      <c r="J26" s="1838"/>
      <c r="K26" s="1838"/>
      <c r="L26" s="2005"/>
    </row>
    <row r="27" spans="2:12">
      <c r="B27" s="2004"/>
      <c r="C27" s="1980" t="s">
        <v>841</v>
      </c>
      <c r="D27" s="1838" t="s">
        <v>874</v>
      </c>
      <c r="E27" s="1996"/>
      <c r="F27" s="1996"/>
      <c r="G27" s="1838" t="s">
        <v>875</v>
      </c>
      <c r="H27" s="1981"/>
      <c r="I27" s="2347" t="s">
        <v>876</v>
      </c>
      <c r="J27" s="2162"/>
      <c r="K27" s="2162"/>
      <c r="L27" s="2617"/>
    </row>
    <row r="28" spans="2:12">
      <c r="B28" s="2004"/>
      <c r="C28" s="1980"/>
      <c r="D28" s="1838"/>
      <c r="E28" s="1996"/>
      <c r="F28" s="1996"/>
      <c r="G28" s="1838"/>
      <c r="H28" s="1981"/>
      <c r="I28" s="2162"/>
      <c r="J28" s="2162"/>
      <c r="K28" s="2162"/>
      <c r="L28" s="2617"/>
    </row>
    <row r="29" spans="2:12">
      <c r="B29" s="2004"/>
      <c r="C29" s="1980" t="s">
        <v>841</v>
      </c>
      <c r="D29" s="1838" t="s">
        <v>877</v>
      </c>
      <c r="E29" s="1838"/>
      <c r="F29" s="1838"/>
      <c r="G29" s="1996">
        <v>40</v>
      </c>
      <c r="H29" s="1981"/>
      <c r="I29" s="1838"/>
      <c r="J29" s="1838"/>
      <c r="K29" s="1838"/>
      <c r="L29" s="2005"/>
    </row>
    <row r="30" spans="2:12">
      <c r="B30" s="2004"/>
      <c r="C30" s="1980"/>
      <c r="D30" s="1838"/>
      <c r="E30" s="1838"/>
      <c r="F30" s="1838"/>
      <c r="G30" s="1996"/>
      <c r="H30" s="1981"/>
      <c r="I30" s="1838"/>
      <c r="J30" s="1838"/>
      <c r="K30" s="1838"/>
      <c r="L30" s="2005"/>
    </row>
    <row r="31" spans="2:12" ht="25.5">
      <c r="B31" s="2004"/>
      <c r="C31" s="1980" t="s">
        <v>841</v>
      </c>
      <c r="D31" s="1838" t="s">
        <v>878</v>
      </c>
      <c r="E31" s="2006" t="s">
        <v>879</v>
      </c>
      <c r="F31" s="2006"/>
      <c r="G31" s="1838"/>
      <c r="H31" s="1981"/>
      <c r="I31" s="1838"/>
      <c r="J31" s="1838"/>
      <c r="K31" s="1838"/>
      <c r="L31" s="2005"/>
    </row>
    <row r="32" spans="2:12" ht="13.5" thickBot="1">
      <c r="B32" s="2007"/>
      <c r="C32" s="2008" t="s">
        <v>841</v>
      </c>
      <c r="D32" s="2009" t="s">
        <v>880</v>
      </c>
      <c r="E32" s="2010" t="s">
        <v>881</v>
      </c>
      <c r="F32" s="2010"/>
      <c r="G32" s="2009" t="s">
        <v>882</v>
      </c>
      <c r="H32" s="2009"/>
      <c r="I32" s="2009"/>
      <c r="J32" s="2009"/>
      <c r="K32" s="2009"/>
      <c r="L32" s="2011"/>
    </row>
    <row r="33" ht="13.5" thickTop="1"/>
  </sheetData>
  <mergeCells count="3">
    <mergeCell ref="F1:F7"/>
    <mergeCell ref="I18:L19"/>
    <mergeCell ref="I27:L28"/>
  </mergeCells>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7249-0D0F-4577-AB82-2ED25DD4438E}">
  <sheetPr>
    <tabColor rgb="FFFFC000"/>
  </sheetPr>
  <dimension ref="A1:AA98"/>
  <sheetViews>
    <sheetView zoomScaleNormal="100" workbookViewId="0">
      <selection activeCell="B1" sqref="B1:K1"/>
    </sheetView>
  </sheetViews>
  <sheetFormatPr defaultColWidth="11.42578125" defaultRowHeight="12.75"/>
  <cols>
    <col min="1" max="1" width="1.5703125" style="1517" customWidth="1"/>
    <col min="2" max="3" width="5.28515625" style="1517" customWidth="1"/>
    <col min="4" max="4" width="27.7109375" style="1517" customWidth="1"/>
    <col min="5" max="5" width="39.28515625" style="1517" customWidth="1"/>
    <col min="6" max="6" width="12.85546875" style="1542" customWidth="1"/>
    <col min="7" max="7" width="8.85546875" style="1517" customWidth="1"/>
    <col min="8" max="8" width="11.7109375" style="1517" customWidth="1"/>
    <col min="9" max="9" width="11.42578125" style="1517"/>
    <col min="10" max="10" width="13.42578125" style="1517" customWidth="1"/>
    <col min="11" max="16384" width="11.42578125" style="1517"/>
  </cols>
  <sheetData>
    <row r="1" spans="1:27" ht="36" customHeight="1">
      <c r="A1" s="1515"/>
      <c r="B1" s="2618" t="s">
        <v>883</v>
      </c>
      <c r="C1" s="2618"/>
      <c r="D1" s="2618"/>
      <c r="E1" s="2618"/>
      <c r="F1" s="2619"/>
      <c r="G1" s="2619"/>
      <c r="H1" s="2619"/>
      <c r="I1" s="2619"/>
      <c r="J1" s="2619"/>
      <c r="K1" s="2619"/>
      <c r="L1" s="1516"/>
      <c r="M1" s="1516"/>
      <c r="N1" s="1516"/>
      <c r="O1" s="1516"/>
      <c r="P1" s="1516"/>
      <c r="Q1" s="1516"/>
      <c r="R1" s="1516"/>
      <c r="S1" s="1516"/>
      <c r="T1" s="1516"/>
      <c r="U1" s="1516"/>
      <c r="V1" s="1516"/>
      <c r="W1" s="1516"/>
      <c r="X1" s="1516"/>
      <c r="Y1" s="1516"/>
      <c r="Z1" s="1516"/>
      <c r="AA1" s="1516"/>
    </row>
    <row r="2" spans="1:27" ht="36" customHeight="1">
      <c r="A2" s="1515"/>
      <c r="B2" s="2620" t="s">
        <v>884</v>
      </c>
      <c r="C2" s="2620"/>
      <c r="D2" s="2620"/>
      <c r="E2" s="2620"/>
      <c r="F2" s="2620"/>
      <c r="G2" s="2621"/>
      <c r="H2" s="2621"/>
      <c r="I2" s="2090" t="s">
        <v>885</v>
      </c>
      <c r="J2" s="2090" t="s">
        <v>886</v>
      </c>
      <c r="K2" s="1518"/>
      <c r="L2" s="1519"/>
      <c r="M2" s="1519"/>
      <c r="N2" s="1520"/>
      <c r="O2" s="1520"/>
      <c r="P2" s="1516"/>
      <c r="Q2" s="1516"/>
      <c r="R2" s="1516"/>
      <c r="S2" s="1516"/>
      <c r="T2" s="1516"/>
      <c r="U2" s="1516"/>
      <c r="V2" s="1516"/>
      <c r="W2" s="1516"/>
      <c r="X2" s="1516"/>
      <c r="Y2" s="1516"/>
      <c r="Z2" s="1516"/>
      <c r="AA2" s="1516"/>
    </row>
    <row r="3" spans="1:27" ht="19.5" customHeight="1">
      <c r="A3" s="1515"/>
      <c r="B3" s="1521"/>
      <c r="C3" s="1522" t="s">
        <v>887</v>
      </c>
      <c r="D3" s="1522"/>
      <c r="E3" s="1522"/>
      <c r="F3" s="1523" t="s">
        <v>888</v>
      </c>
      <c r="G3" s="1521"/>
      <c r="H3" s="1521" t="s">
        <v>889</v>
      </c>
      <c r="I3" s="1521"/>
      <c r="J3" s="1521"/>
      <c r="K3" s="1516"/>
      <c r="L3" s="1516"/>
      <c r="M3" s="1516"/>
      <c r="N3" s="1516"/>
      <c r="O3" s="1516"/>
      <c r="P3" s="1516"/>
      <c r="Q3" s="1516"/>
      <c r="R3" s="1516"/>
      <c r="S3" s="1516"/>
      <c r="T3" s="1516"/>
      <c r="U3" s="1516"/>
      <c r="V3" s="1516"/>
      <c r="W3" s="1516"/>
      <c r="X3" s="1516"/>
      <c r="Y3" s="1516"/>
      <c r="Z3" s="1516"/>
      <c r="AA3" s="1516"/>
    </row>
    <row r="4" spans="1:27" ht="14.25">
      <c r="A4" s="1515"/>
      <c r="B4" s="1522" t="s">
        <v>890</v>
      </c>
      <c r="C4" s="1521"/>
      <c r="D4" s="1521" t="s">
        <v>891</v>
      </c>
      <c r="E4" s="1521"/>
      <c r="F4" s="1524"/>
      <c r="G4" s="1521"/>
      <c r="H4" s="1521"/>
      <c r="I4" s="1521"/>
      <c r="J4" s="1521"/>
      <c r="K4" s="1516"/>
      <c r="L4" s="1516"/>
      <c r="M4" s="1516"/>
      <c r="N4" s="1516"/>
      <c r="O4" s="1516"/>
      <c r="P4" s="1516"/>
      <c r="Q4" s="1516"/>
      <c r="R4" s="1516"/>
      <c r="S4" s="1516"/>
      <c r="T4" s="1516"/>
      <c r="U4" s="1516"/>
      <c r="V4" s="1516"/>
      <c r="W4" s="1516"/>
      <c r="X4" s="1516"/>
      <c r="Y4" s="1516"/>
      <c r="Z4" s="1516"/>
      <c r="AA4" s="1516"/>
    </row>
    <row r="5" spans="1:27" ht="14.25">
      <c r="A5" s="1515"/>
      <c r="B5" s="1522"/>
      <c r="C5" s="1521">
        <v>1</v>
      </c>
      <c r="D5" s="1521" t="s">
        <v>892</v>
      </c>
      <c r="E5" s="1521"/>
      <c r="F5" s="1524">
        <v>0</v>
      </c>
      <c r="G5" s="1521"/>
      <c r="H5" s="1525">
        <f>F5*1.19</f>
        <v>0</v>
      </c>
      <c r="I5" s="1526">
        <v>6.6699999999999995E-2</v>
      </c>
      <c r="J5" s="1521">
        <f t="shared" ref="J5:J68" si="0">F5*I5</f>
        <v>0</v>
      </c>
      <c r="K5" s="1516"/>
      <c r="L5" s="1516"/>
      <c r="M5" s="1516"/>
      <c r="N5" s="1516"/>
      <c r="O5" s="1516"/>
      <c r="P5" s="1516"/>
      <c r="Q5" s="1516"/>
      <c r="R5" s="1516"/>
      <c r="S5" s="1516"/>
      <c r="T5" s="1516"/>
      <c r="U5" s="1516"/>
      <c r="V5" s="1516"/>
      <c r="W5" s="1516"/>
      <c r="X5" s="1516"/>
      <c r="Y5" s="1516"/>
      <c r="Z5" s="1516"/>
      <c r="AA5" s="1516"/>
    </row>
    <row r="6" spans="1:27" ht="14.25">
      <c r="A6" s="1515"/>
      <c r="B6" s="1522"/>
      <c r="C6" s="1521">
        <v>2</v>
      </c>
      <c r="D6" s="1521"/>
      <c r="E6" s="1521"/>
      <c r="F6" s="1524"/>
      <c r="G6" s="1521"/>
      <c r="H6" s="1525">
        <f>F6*1.19</f>
        <v>0</v>
      </c>
      <c r="I6" s="1521"/>
      <c r="J6" s="1521">
        <f t="shared" si="0"/>
        <v>0</v>
      </c>
      <c r="K6" s="1516"/>
      <c r="L6" s="1516"/>
      <c r="M6" s="1516"/>
      <c r="N6" s="1516"/>
      <c r="O6" s="1516"/>
      <c r="P6" s="1516"/>
      <c r="Q6" s="1516"/>
      <c r="R6" s="1516"/>
      <c r="S6" s="1516"/>
      <c r="T6" s="1516"/>
      <c r="U6" s="1516"/>
      <c r="V6" s="1516"/>
      <c r="W6" s="1516"/>
      <c r="X6" s="1516"/>
      <c r="Y6" s="1516"/>
      <c r="Z6" s="1516"/>
      <c r="AA6" s="1516"/>
    </row>
    <row r="7" spans="1:27" ht="14.25">
      <c r="A7" s="1515"/>
      <c r="B7" s="1522"/>
      <c r="C7" s="1521">
        <v>3</v>
      </c>
      <c r="D7" s="1521"/>
      <c r="E7" s="1521"/>
      <c r="F7" s="1524"/>
      <c r="G7" s="1521"/>
      <c r="H7" s="1525">
        <f>F7*1.19</f>
        <v>0</v>
      </c>
      <c r="I7" s="1521"/>
      <c r="J7" s="1521">
        <f t="shared" si="0"/>
        <v>0</v>
      </c>
      <c r="K7" s="1516"/>
      <c r="L7" s="1516"/>
      <c r="M7" s="1516"/>
      <c r="N7" s="1516"/>
      <c r="O7" s="1516"/>
      <c r="P7" s="1516"/>
      <c r="Q7" s="1516"/>
      <c r="R7" s="1516"/>
      <c r="S7" s="1516"/>
      <c r="T7" s="1516"/>
      <c r="U7" s="1516"/>
      <c r="V7" s="1516"/>
      <c r="W7" s="1516"/>
      <c r="X7" s="1516"/>
      <c r="Y7" s="1516"/>
      <c r="Z7" s="1516"/>
      <c r="AA7" s="1516"/>
    </row>
    <row r="8" spans="1:27" ht="14.25">
      <c r="A8" s="1515"/>
      <c r="B8" s="1522"/>
      <c r="C8" s="1521">
        <v>4</v>
      </c>
      <c r="D8" s="1521"/>
      <c r="E8" s="1521"/>
      <c r="F8" s="1524"/>
      <c r="G8" s="1521"/>
      <c r="H8" s="1525">
        <f>F8*1.19</f>
        <v>0</v>
      </c>
      <c r="I8" s="1521"/>
      <c r="J8" s="1521">
        <f t="shared" si="0"/>
        <v>0</v>
      </c>
      <c r="K8" s="1516"/>
      <c r="L8" s="1516"/>
      <c r="M8" s="1516"/>
      <c r="N8" s="1516"/>
      <c r="O8" s="1516"/>
      <c r="P8" s="1516"/>
      <c r="Q8" s="1516"/>
      <c r="R8" s="1516"/>
      <c r="S8" s="1516"/>
      <c r="T8" s="1516"/>
      <c r="U8" s="1516"/>
      <c r="V8" s="1516"/>
      <c r="W8" s="1516"/>
      <c r="X8" s="1516"/>
      <c r="Y8" s="1516"/>
      <c r="Z8" s="1516"/>
      <c r="AA8" s="1516"/>
    </row>
    <row r="9" spans="1:27" ht="14.25">
      <c r="A9" s="1515"/>
      <c r="B9" s="1522"/>
      <c r="C9" s="1521">
        <v>5</v>
      </c>
      <c r="D9" s="1521"/>
      <c r="E9" s="1521"/>
      <c r="F9" s="1524"/>
      <c r="G9" s="1521"/>
      <c r="H9" s="1525">
        <f>F9*1.19</f>
        <v>0</v>
      </c>
      <c r="I9" s="1521"/>
      <c r="J9" s="1521">
        <f t="shared" si="0"/>
        <v>0</v>
      </c>
      <c r="K9" s="1516"/>
      <c r="L9" s="1516"/>
      <c r="M9" s="1516"/>
      <c r="N9" s="1516"/>
      <c r="O9" s="1516"/>
      <c r="P9" s="1516"/>
      <c r="Q9" s="1516"/>
      <c r="R9" s="1516"/>
      <c r="S9" s="1516"/>
      <c r="T9" s="1516"/>
      <c r="U9" s="1516"/>
      <c r="V9" s="1516"/>
      <c r="W9" s="1516"/>
      <c r="X9" s="1516"/>
      <c r="Y9" s="1516"/>
      <c r="Z9" s="1516"/>
      <c r="AA9" s="1516"/>
    </row>
    <row r="10" spans="1:27" ht="26.25" customHeight="1">
      <c r="A10" s="1515"/>
      <c r="B10" s="1527"/>
      <c r="C10" s="1528"/>
      <c r="D10" s="1528" t="s">
        <v>404</v>
      </c>
      <c r="E10" s="1528"/>
      <c r="F10" s="1529">
        <f>SUM(F5:F9)</f>
        <v>0</v>
      </c>
      <c r="G10" s="1528"/>
      <c r="H10" s="1530">
        <f>SUM(H5:H9)</f>
        <v>0</v>
      </c>
      <c r="I10" s="1521"/>
      <c r="J10" s="1521">
        <f t="shared" si="0"/>
        <v>0</v>
      </c>
      <c r="K10" s="1516"/>
      <c r="L10" s="1516"/>
      <c r="M10" s="1516"/>
      <c r="N10" s="1516"/>
      <c r="O10" s="1516"/>
      <c r="P10" s="1516"/>
      <c r="Q10" s="1516"/>
      <c r="R10" s="1516"/>
      <c r="S10" s="1516"/>
      <c r="T10" s="1516"/>
      <c r="U10" s="1516"/>
      <c r="V10" s="1516"/>
      <c r="W10" s="1516"/>
      <c r="X10" s="1516"/>
      <c r="Y10" s="1516"/>
      <c r="Z10" s="1516"/>
      <c r="AA10" s="1516"/>
    </row>
    <row r="11" spans="1:27" ht="20.25" customHeight="1">
      <c r="A11" s="1515"/>
      <c r="B11" s="1522" t="s">
        <v>893</v>
      </c>
      <c r="C11" s="1521"/>
      <c r="D11" s="1522" t="s">
        <v>894</v>
      </c>
      <c r="E11" s="1522"/>
      <c r="F11" s="1524"/>
      <c r="G11" s="1521"/>
      <c r="H11" s="1521"/>
      <c r="I11" s="1521"/>
      <c r="J11" s="1521">
        <f t="shared" si="0"/>
        <v>0</v>
      </c>
      <c r="K11" s="1516"/>
      <c r="L11" s="1516"/>
      <c r="M11" s="1516"/>
      <c r="N11" s="1516"/>
      <c r="O11" s="1516"/>
      <c r="P11" s="1516"/>
      <c r="Q11" s="1516"/>
      <c r="R11" s="1516"/>
      <c r="S11" s="1516"/>
      <c r="T11" s="1516"/>
      <c r="U11" s="1516"/>
      <c r="V11" s="1516"/>
      <c r="W11" s="1516"/>
      <c r="X11" s="1516"/>
      <c r="Y11" s="1516"/>
      <c r="Z11" s="1516"/>
      <c r="AA11" s="1516"/>
    </row>
    <row r="12" spans="1:27" ht="14.25">
      <c r="A12" s="1515"/>
      <c r="B12" s="1522" t="s">
        <v>895</v>
      </c>
      <c r="C12" s="1521"/>
      <c r="D12" s="1521" t="s">
        <v>896</v>
      </c>
      <c r="E12" s="1521"/>
      <c r="F12" s="1524"/>
      <c r="G12" s="1521"/>
      <c r="H12" s="1521"/>
      <c r="I12" s="1521"/>
      <c r="J12" s="1521">
        <f t="shared" si="0"/>
        <v>0</v>
      </c>
      <c r="K12" s="1516"/>
      <c r="L12" s="1516"/>
      <c r="M12" s="1516"/>
      <c r="N12" s="1516"/>
      <c r="O12" s="1516"/>
      <c r="P12" s="1516"/>
      <c r="Q12" s="1516"/>
      <c r="R12" s="1516"/>
      <c r="S12" s="1516"/>
      <c r="T12" s="1516"/>
      <c r="U12" s="1516"/>
      <c r="V12" s="1516"/>
      <c r="W12" s="1516"/>
      <c r="X12" s="1516"/>
      <c r="Y12" s="1516"/>
      <c r="Z12" s="1516"/>
      <c r="AA12" s="1516"/>
    </row>
    <row r="13" spans="1:27" ht="14.25">
      <c r="A13" s="1515"/>
      <c r="B13" s="1522"/>
      <c r="C13" s="1521">
        <v>1</v>
      </c>
      <c r="D13" s="1521" t="s">
        <v>897</v>
      </c>
      <c r="E13" s="1521"/>
      <c r="F13" s="1524">
        <v>0</v>
      </c>
      <c r="G13" s="1521"/>
      <c r="H13" s="1525">
        <f>F13*1.19</f>
        <v>0</v>
      </c>
      <c r="I13" s="1526">
        <v>6.6699999999999995E-2</v>
      </c>
      <c r="J13" s="1521">
        <f t="shared" si="0"/>
        <v>0</v>
      </c>
      <c r="K13" s="1516"/>
      <c r="L13" s="1516"/>
      <c r="M13" s="1516"/>
      <c r="N13" s="1516"/>
      <c r="O13" s="1516"/>
      <c r="P13" s="1516"/>
      <c r="Q13" s="1516"/>
      <c r="R13" s="1516"/>
      <c r="S13" s="1516"/>
      <c r="T13" s="1516"/>
      <c r="U13" s="1516"/>
      <c r="V13" s="1516"/>
      <c r="W13" s="1516"/>
      <c r="X13" s="1516"/>
      <c r="Y13" s="1516"/>
      <c r="Z13" s="1516"/>
      <c r="AA13" s="1516"/>
    </row>
    <row r="14" spans="1:27" ht="14.25">
      <c r="A14" s="1515"/>
      <c r="B14" s="1522"/>
      <c r="C14" s="1521">
        <v>2</v>
      </c>
      <c r="D14" s="1521" t="s">
        <v>898</v>
      </c>
      <c r="E14" s="1521"/>
      <c r="F14" s="1524"/>
      <c r="G14" s="1521"/>
      <c r="H14" s="1525">
        <f>F14*1.19</f>
        <v>0</v>
      </c>
      <c r="I14" s="1526">
        <v>6.6699999999999995E-2</v>
      </c>
      <c r="J14" s="1521">
        <f t="shared" si="0"/>
        <v>0</v>
      </c>
      <c r="K14" s="1516"/>
      <c r="L14" s="1516"/>
      <c r="M14" s="1516"/>
      <c r="N14" s="1516"/>
      <c r="O14" s="1516"/>
      <c r="P14" s="1516"/>
      <c r="Q14" s="1516"/>
      <c r="R14" s="1516"/>
      <c r="S14" s="1516"/>
      <c r="T14" s="1516"/>
      <c r="U14" s="1516"/>
      <c r="V14" s="1516"/>
      <c r="W14" s="1516"/>
      <c r="X14" s="1516"/>
      <c r="Y14" s="1516"/>
      <c r="Z14" s="1516"/>
      <c r="AA14" s="1516"/>
    </row>
    <row r="15" spans="1:27" ht="14.25">
      <c r="A15" s="1515"/>
      <c r="B15" s="1522"/>
      <c r="C15" s="1521">
        <v>3</v>
      </c>
      <c r="D15" s="1521" t="s">
        <v>899</v>
      </c>
      <c r="E15" s="1521"/>
      <c r="F15" s="1524"/>
      <c r="G15" s="1521"/>
      <c r="H15" s="1525">
        <f>F15*1.19</f>
        <v>0</v>
      </c>
      <c r="I15" s="1521"/>
      <c r="J15" s="1521">
        <f t="shared" si="0"/>
        <v>0</v>
      </c>
      <c r="K15" s="1516"/>
      <c r="L15" s="1516"/>
      <c r="M15" s="1516"/>
      <c r="N15" s="1516"/>
      <c r="O15" s="1516"/>
      <c r="P15" s="1516"/>
      <c r="Q15" s="1516"/>
      <c r="R15" s="1516"/>
      <c r="S15" s="1516"/>
      <c r="T15" s="1516"/>
      <c r="U15" s="1516"/>
      <c r="V15" s="1516"/>
      <c r="W15" s="1516"/>
      <c r="X15" s="1516"/>
      <c r="Y15" s="1516"/>
      <c r="Z15" s="1516"/>
      <c r="AA15" s="1516"/>
    </row>
    <row r="16" spans="1:27" ht="14.25">
      <c r="A16" s="1515"/>
      <c r="B16" s="1527"/>
      <c r="C16" s="1528"/>
      <c r="D16" s="1528" t="s">
        <v>404</v>
      </c>
      <c r="E16" s="1528"/>
      <c r="F16" s="1529">
        <f>SUM(F13:F15)</f>
        <v>0</v>
      </c>
      <c r="G16" s="1528"/>
      <c r="H16" s="1530">
        <f>SUM(H13:H15)</f>
        <v>0</v>
      </c>
      <c r="I16" s="1521"/>
      <c r="J16" s="1521">
        <f t="shared" si="0"/>
        <v>0</v>
      </c>
      <c r="K16" s="1516"/>
      <c r="L16" s="1516"/>
      <c r="M16" s="1516"/>
      <c r="N16" s="1516"/>
      <c r="O16" s="1516"/>
      <c r="P16" s="1516"/>
      <c r="Q16" s="1516"/>
      <c r="R16" s="1516"/>
      <c r="S16" s="1516"/>
      <c r="T16" s="1516"/>
      <c r="U16" s="1516"/>
      <c r="V16" s="1516"/>
      <c r="W16" s="1516"/>
      <c r="X16" s="1516"/>
      <c r="Y16" s="1516"/>
      <c r="Z16" s="1516"/>
      <c r="AA16" s="1516"/>
    </row>
    <row r="17" spans="1:27" ht="14.25">
      <c r="A17" s="1515"/>
      <c r="B17" s="1522" t="s">
        <v>509</v>
      </c>
      <c r="C17" s="1521"/>
      <c r="D17" s="1522" t="s">
        <v>900</v>
      </c>
      <c r="E17" s="1521"/>
      <c r="F17" s="1524"/>
      <c r="G17" s="1521"/>
      <c r="H17" s="1521"/>
      <c r="I17" s="1521"/>
      <c r="J17" s="1521">
        <f t="shared" si="0"/>
        <v>0</v>
      </c>
      <c r="K17" s="1516"/>
      <c r="L17" s="1516"/>
      <c r="M17" s="1516"/>
      <c r="N17" s="1516"/>
      <c r="O17" s="1516"/>
      <c r="P17" s="1516"/>
      <c r="Q17" s="1516"/>
      <c r="R17" s="1516"/>
      <c r="S17" s="1516"/>
      <c r="T17" s="1516"/>
      <c r="U17" s="1516"/>
      <c r="V17" s="1516"/>
      <c r="W17" s="1516"/>
      <c r="X17" s="1516"/>
      <c r="Y17" s="1516"/>
      <c r="Z17" s="1516"/>
      <c r="AA17" s="1516"/>
    </row>
    <row r="18" spans="1:27" ht="14.25">
      <c r="A18" s="1515"/>
      <c r="B18" s="1522"/>
      <c r="C18" s="1521">
        <v>1</v>
      </c>
      <c r="D18" s="1521" t="s">
        <v>901</v>
      </c>
      <c r="E18" s="1521"/>
      <c r="F18" s="1524">
        <v>0</v>
      </c>
      <c r="G18" s="1521"/>
      <c r="H18" s="1521">
        <f t="shared" ref="H18:H30" si="1">F18*1.19</f>
        <v>0</v>
      </c>
      <c r="I18" s="1521"/>
      <c r="J18" s="1521">
        <f t="shared" si="0"/>
        <v>0</v>
      </c>
      <c r="K18" s="1516"/>
      <c r="L18" s="1516"/>
      <c r="M18" s="1516"/>
      <c r="N18" s="1516"/>
      <c r="O18" s="1516"/>
      <c r="P18" s="1516"/>
      <c r="Q18" s="1516"/>
      <c r="R18" s="1516"/>
      <c r="S18" s="1516"/>
      <c r="T18" s="1516"/>
      <c r="U18" s="1516"/>
      <c r="V18" s="1516"/>
      <c r="W18" s="1516"/>
      <c r="X18" s="1516"/>
      <c r="Y18" s="1516"/>
      <c r="Z18" s="1516"/>
      <c r="AA18" s="1516"/>
    </row>
    <row r="19" spans="1:27" ht="14.25">
      <c r="A19" s="1515"/>
      <c r="B19" s="1522"/>
      <c r="C19" s="1521">
        <v>2</v>
      </c>
      <c r="D19" s="1521" t="s">
        <v>902</v>
      </c>
      <c r="E19" s="1521"/>
      <c r="F19" s="1524"/>
      <c r="G19" s="1521"/>
      <c r="H19" s="1521">
        <f t="shared" si="1"/>
        <v>0</v>
      </c>
      <c r="I19" s="1521"/>
      <c r="J19" s="1521">
        <f t="shared" si="0"/>
        <v>0</v>
      </c>
      <c r="K19" s="1516"/>
      <c r="L19" s="1516"/>
      <c r="M19" s="1516"/>
      <c r="N19" s="1516"/>
      <c r="O19" s="1516"/>
      <c r="P19" s="1516"/>
      <c r="Q19" s="1516"/>
      <c r="R19" s="1516"/>
      <c r="S19" s="1516"/>
      <c r="T19" s="1516"/>
      <c r="U19" s="1516"/>
      <c r="V19" s="1516"/>
      <c r="W19" s="1516"/>
      <c r="X19" s="1516"/>
      <c r="Y19" s="1516"/>
      <c r="Z19" s="1516"/>
      <c r="AA19" s="1516"/>
    </row>
    <row r="20" spans="1:27" ht="14.25">
      <c r="A20" s="1515"/>
      <c r="B20" s="1522"/>
      <c r="C20" s="1521">
        <v>3</v>
      </c>
      <c r="D20" s="1521" t="s">
        <v>380</v>
      </c>
      <c r="E20" s="1521"/>
      <c r="F20" s="1524"/>
      <c r="G20" s="1521"/>
      <c r="H20" s="1521">
        <f t="shared" si="1"/>
        <v>0</v>
      </c>
      <c r="I20" s="1526">
        <v>0.02</v>
      </c>
      <c r="J20" s="1521">
        <f t="shared" si="0"/>
        <v>0</v>
      </c>
      <c r="K20" s="1516"/>
      <c r="L20" s="1516"/>
      <c r="M20" s="1516"/>
      <c r="N20" s="1516"/>
      <c r="O20" s="1516"/>
      <c r="P20" s="1516"/>
      <c r="Q20" s="1516"/>
      <c r="R20" s="1516"/>
      <c r="S20" s="1516"/>
      <c r="T20" s="1516"/>
      <c r="U20" s="1516"/>
      <c r="V20" s="1516"/>
      <c r="W20" s="1516"/>
      <c r="X20" s="1516"/>
      <c r="Y20" s="1516"/>
      <c r="Z20" s="1516"/>
      <c r="AA20" s="1516"/>
    </row>
    <row r="21" spans="1:27" ht="14.25">
      <c r="A21" s="1515"/>
      <c r="B21" s="1522"/>
      <c r="C21" s="1521">
        <v>4</v>
      </c>
      <c r="D21" s="1521" t="s">
        <v>903</v>
      </c>
      <c r="E21" s="1521"/>
      <c r="F21" s="1524">
        <v>0</v>
      </c>
      <c r="G21" s="1521"/>
      <c r="H21" s="1521">
        <f t="shared" si="1"/>
        <v>0</v>
      </c>
      <c r="I21" s="1526">
        <v>0.2</v>
      </c>
      <c r="J21" s="1521">
        <f t="shared" si="0"/>
        <v>0</v>
      </c>
      <c r="K21" s="1516"/>
      <c r="L21" s="1516"/>
      <c r="M21" s="1516"/>
      <c r="N21" s="1516"/>
      <c r="O21" s="1516"/>
      <c r="P21" s="1516"/>
      <c r="Q21" s="1516"/>
      <c r="R21" s="1516"/>
      <c r="S21" s="1516"/>
      <c r="T21" s="1516"/>
      <c r="U21" s="1516"/>
      <c r="V21" s="1516"/>
      <c r="W21" s="1516"/>
      <c r="X21" s="1516"/>
      <c r="Y21" s="1516"/>
      <c r="Z21" s="1516"/>
      <c r="AA21" s="1516"/>
    </row>
    <row r="22" spans="1:27" ht="14.25">
      <c r="A22" s="1515"/>
      <c r="B22" s="1522"/>
      <c r="C22" s="1521">
        <v>5</v>
      </c>
      <c r="D22" s="1521" t="s">
        <v>904</v>
      </c>
      <c r="E22" s="1521"/>
      <c r="F22" s="1524"/>
      <c r="G22" s="1521"/>
      <c r="H22" s="1521">
        <f t="shared" si="1"/>
        <v>0</v>
      </c>
      <c r="I22" s="1521"/>
      <c r="J22" s="1521">
        <f t="shared" si="0"/>
        <v>0</v>
      </c>
      <c r="K22" s="1516"/>
      <c r="L22" s="1516"/>
      <c r="M22" s="1516"/>
      <c r="N22" s="1516"/>
      <c r="O22" s="1516"/>
      <c r="P22" s="1516"/>
      <c r="Q22" s="1516"/>
      <c r="R22" s="1516"/>
      <c r="S22" s="1516"/>
      <c r="T22" s="1516"/>
      <c r="U22" s="1516"/>
      <c r="V22" s="1516"/>
      <c r="W22" s="1516"/>
      <c r="X22" s="1516"/>
      <c r="Y22" s="1516"/>
      <c r="Z22" s="1516"/>
      <c r="AA22" s="1516"/>
    </row>
    <row r="23" spans="1:27" ht="14.25">
      <c r="A23" s="1515"/>
      <c r="B23" s="1522"/>
      <c r="C23" s="1521">
        <v>6</v>
      </c>
      <c r="D23" s="1521" t="s">
        <v>905</v>
      </c>
      <c r="E23" s="1521"/>
      <c r="F23" s="1524"/>
      <c r="G23" s="1521"/>
      <c r="H23" s="1521">
        <f t="shared" si="1"/>
        <v>0</v>
      </c>
      <c r="I23" s="1521"/>
      <c r="J23" s="1521">
        <f t="shared" si="0"/>
        <v>0</v>
      </c>
      <c r="K23" s="1516"/>
      <c r="L23" s="1516"/>
      <c r="M23" s="1516"/>
      <c r="N23" s="1516"/>
      <c r="O23" s="1516"/>
      <c r="P23" s="1516"/>
      <c r="Q23" s="1516"/>
      <c r="R23" s="1516"/>
      <c r="S23" s="1516"/>
      <c r="T23" s="1516"/>
      <c r="U23" s="1516"/>
      <c r="V23" s="1516"/>
      <c r="W23" s="1516"/>
      <c r="X23" s="1516"/>
      <c r="Y23" s="1516"/>
      <c r="Z23" s="1516"/>
      <c r="AA23" s="1516"/>
    </row>
    <row r="24" spans="1:27" ht="14.25">
      <c r="A24" s="1515"/>
      <c r="B24" s="1522"/>
      <c r="C24" s="1521"/>
      <c r="D24" s="1521" t="s">
        <v>906</v>
      </c>
      <c r="E24" s="1521"/>
      <c r="F24" s="1524"/>
      <c r="G24" s="1521"/>
      <c r="H24" s="1521">
        <f t="shared" si="1"/>
        <v>0</v>
      </c>
      <c r="I24" s="1521"/>
      <c r="J24" s="1521">
        <f t="shared" si="0"/>
        <v>0</v>
      </c>
      <c r="K24" s="1516"/>
      <c r="L24" s="1516"/>
      <c r="M24" s="1516"/>
      <c r="N24" s="1516"/>
      <c r="O24" s="1516"/>
      <c r="P24" s="1516"/>
      <c r="Q24" s="1516"/>
      <c r="R24" s="1516"/>
      <c r="S24" s="1516"/>
      <c r="T24" s="1516"/>
      <c r="U24" s="1516"/>
      <c r="V24" s="1516"/>
      <c r="W24" s="1516"/>
      <c r="X24" s="1516"/>
      <c r="Y24" s="1516"/>
      <c r="Z24" s="1516"/>
      <c r="AA24" s="1516"/>
    </row>
    <row r="25" spans="1:27" ht="14.25">
      <c r="A25" s="1515"/>
      <c r="B25" s="1522"/>
      <c r="C25" s="1521">
        <v>7</v>
      </c>
      <c r="D25" s="1521" t="s">
        <v>907</v>
      </c>
      <c r="E25" s="1521"/>
      <c r="F25" s="1524"/>
      <c r="G25" s="1521"/>
      <c r="H25" s="1521">
        <f t="shared" si="1"/>
        <v>0</v>
      </c>
      <c r="I25" s="1521"/>
      <c r="J25" s="1521">
        <f t="shared" si="0"/>
        <v>0</v>
      </c>
      <c r="K25" s="1516"/>
      <c r="L25" s="1516"/>
      <c r="M25" s="1516"/>
      <c r="N25" s="1516"/>
      <c r="O25" s="1516"/>
      <c r="P25" s="1516"/>
      <c r="Q25" s="1516"/>
      <c r="R25" s="1516"/>
      <c r="S25" s="1516"/>
      <c r="T25" s="1516"/>
      <c r="U25" s="1516"/>
      <c r="V25" s="1516"/>
      <c r="W25" s="1516"/>
      <c r="X25" s="1516"/>
      <c r="Y25" s="1516"/>
      <c r="Z25" s="1516"/>
      <c r="AA25" s="1516"/>
    </row>
    <row r="26" spans="1:27" ht="14.25">
      <c r="A26" s="1515"/>
      <c r="B26" s="1522"/>
      <c r="C26" s="1521">
        <v>8</v>
      </c>
      <c r="D26" s="1521" t="s">
        <v>908</v>
      </c>
      <c r="E26" s="1521"/>
      <c r="F26" s="1524"/>
      <c r="G26" s="1521"/>
      <c r="H26" s="1521">
        <f t="shared" si="1"/>
        <v>0</v>
      </c>
      <c r="I26" s="1521"/>
      <c r="J26" s="1521">
        <f t="shared" si="0"/>
        <v>0</v>
      </c>
      <c r="K26" s="1516"/>
      <c r="L26" s="1516"/>
      <c r="M26" s="1516"/>
      <c r="N26" s="1516"/>
      <c r="O26" s="1516"/>
      <c r="P26" s="1516"/>
      <c r="Q26" s="1516"/>
      <c r="R26" s="1516"/>
      <c r="S26" s="1516"/>
      <c r="T26" s="1516"/>
      <c r="U26" s="1516"/>
      <c r="V26" s="1516"/>
      <c r="W26" s="1516"/>
      <c r="X26" s="1516"/>
      <c r="Y26" s="1516"/>
      <c r="Z26" s="1516"/>
      <c r="AA26" s="1516"/>
    </row>
    <row r="27" spans="1:27" ht="14.25">
      <c r="A27" s="1515"/>
      <c r="B27" s="1522"/>
      <c r="C27" s="1521">
        <v>9</v>
      </c>
      <c r="D27" s="1521" t="s">
        <v>909</v>
      </c>
      <c r="E27" s="1521"/>
      <c r="F27" s="1524"/>
      <c r="G27" s="1521"/>
      <c r="H27" s="1521">
        <f t="shared" si="1"/>
        <v>0</v>
      </c>
      <c r="I27" s="1521"/>
      <c r="J27" s="1521">
        <f t="shared" si="0"/>
        <v>0</v>
      </c>
      <c r="K27" s="1516"/>
      <c r="L27" s="1516"/>
      <c r="M27" s="1516"/>
      <c r="N27" s="1516"/>
      <c r="O27" s="1516"/>
      <c r="P27" s="1516"/>
      <c r="Q27" s="1516"/>
      <c r="R27" s="1516"/>
      <c r="S27" s="1516"/>
      <c r="T27" s="1516"/>
      <c r="U27" s="1516"/>
      <c r="V27" s="1516"/>
      <c r="W27" s="1516"/>
      <c r="X27" s="1516"/>
      <c r="Y27" s="1516"/>
      <c r="Z27" s="1516"/>
      <c r="AA27" s="1516"/>
    </row>
    <row r="28" spans="1:27" ht="14.25">
      <c r="A28" s="1515"/>
      <c r="B28" s="1522"/>
      <c r="C28" s="1521">
        <v>10</v>
      </c>
      <c r="D28" s="1521" t="s">
        <v>910</v>
      </c>
      <c r="E28" s="1521"/>
      <c r="F28" s="1524"/>
      <c r="G28" s="1521"/>
      <c r="H28" s="1521">
        <f t="shared" si="1"/>
        <v>0</v>
      </c>
      <c r="I28" s="1521"/>
      <c r="J28" s="1521">
        <f t="shared" si="0"/>
        <v>0</v>
      </c>
      <c r="K28" s="1516"/>
      <c r="L28" s="1516"/>
      <c r="M28" s="1516"/>
      <c r="N28" s="1516"/>
      <c r="O28" s="1516"/>
      <c r="P28" s="1516"/>
      <c r="Q28" s="1516"/>
      <c r="R28" s="1516"/>
      <c r="S28" s="1516"/>
      <c r="T28" s="1516"/>
      <c r="U28" s="1516"/>
      <c r="V28" s="1516"/>
      <c r="W28" s="1516"/>
      <c r="X28" s="1516"/>
      <c r="Y28" s="1516"/>
      <c r="Z28" s="1516"/>
      <c r="AA28" s="1516"/>
    </row>
    <row r="29" spans="1:27" ht="14.25">
      <c r="A29" s="1515"/>
      <c r="B29" s="1522"/>
      <c r="C29" s="1521">
        <v>11</v>
      </c>
      <c r="D29" s="1521" t="s">
        <v>911</v>
      </c>
      <c r="E29" s="1521"/>
      <c r="F29" s="1524"/>
      <c r="G29" s="1521"/>
      <c r="H29" s="1521">
        <f t="shared" si="1"/>
        <v>0</v>
      </c>
      <c r="I29" s="1521"/>
      <c r="J29" s="1521">
        <f t="shared" si="0"/>
        <v>0</v>
      </c>
      <c r="K29" s="1516"/>
      <c r="L29" s="1516"/>
      <c r="M29" s="1516"/>
      <c r="N29" s="1516"/>
      <c r="O29" s="1516"/>
      <c r="P29" s="1516"/>
      <c r="Q29" s="1516"/>
      <c r="R29" s="1516"/>
      <c r="S29" s="1516"/>
      <c r="T29" s="1516"/>
      <c r="U29" s="1516"/>
      <c r="V29" s="1516"/>
      <c r="W29" s="1516"/>
      <c r="X29" s="1516"/>
      <c r="Y29" s="1516"/>
      <c r="Z29" s="1516"/>
      <c r="AA29" s="1516"/>
    </row>
    <row r="30" spans="1:27" ht="14.25">
      <c r="A30" s="1515"/>
      <c r="B30" s="1522"/>
      <c r="C30" s="1521">
        <v>12</v>
      </c>
      <c r="D30" s="1521" t="s">
        <v>912</v>
      </c>
      <c r="E30" s="1521"/>
      <c r="F30" s="1524"/>
      <c r="G30" s="1521"/>
      <c r="H30" s="1521">
        <f t="shared" si="1"/>
        <v>0</v>
      </c>
      <c r="I30" s="1521"/>
      <c r="J30" s="1521">
        <f t="shared" si="0"/>
        <v>0</v>
      </c>
      <c r="K30" s="1516"/>
      <c r="L30" s="1516"/>
      <c r="M30" s="1516"/>
      <c r="N30" s="1516"/>
      <c r="O30" s="1516"/>
      <c r="P30" s="1516"/>
      <c r="Q30" s="1516"/>
      <c r="R30" s="1516"/>
      <c r="S30" s="1516"/>
      <c r="T30" s="1516"/>
      <c r="U30" s="1516"/>
      <c r="V30" s="1516"/>
      <c r="W30" s="1516"/>
      <c r="X30" s="1516"/>
      <c r="Y30" s="1516"/>
      <c r="Z30" s="1516"/>
      <c r="AA30" s="1516"/>
    </row>
    <row r="31" spans="1:27" ht="21" customHeight="1">
      <c r="A31" s="1515"/>
      <c r="B31" s="1527"/>
      <c r="C31" s="1528"/>
      <c r="D31" s="1528" t="s">
        <v>404</v>
      </c>
      <c r="E31" s="1528"/>
      <c r="F31" s="1529">
        <f>SUM(F18:F30)</f>
        <v>0</v>
      </c>
      <c r="G31" s="1528"/>
      <c r="H31" s="1530">
        <f>SUM(H18:H30)</f>
        <v>0</v>
      </c>
      <c r="I31" s="1521"/>
      <c r="J31" s="1521">
        <f t="shared" si="0"/>
        <v>0</v>
      </c>
      <c r="K31" s="1516"/>
      <c r="L31" s="1516"/>
      <c r="M31" s="1516"/>
      <c r="N31" s="1516"/>
      <c r="O31" s="1516"/>
      <c r="P31" s="1516"/>
      <c r="Q31" s="1516"/>
      <c r="R31" s="1516"/>
      <c r="S31" s="1516"/>
      <c r="T31" s="1516"/>
      <c r="U31" s="1516"/>
      <c r="V31" s="1516"/>
      <c r="W31" s="1516"/>
      <c r="X31" s="1516"/>
      <c r="Y31" s="1516"/>
      <c r="Z31" s="1516"/>
      <c r="AA31" s="1516"/>
    </row>
    <row r="32" spans="1:27" ht="14.25">
      <c r="A32" s="1515"/>
      <c r="B32" s="1522" t="s">
        <v>521</v>
      </c>
      <c r="C32" s="1521"/>
      <c r="D32" s="1522" t="s">
        <v>913</v>
      </c>
      <c r="E32" s="1521"/>
      <c r="F32" s="1524"/>
      <c r="G32" s="1521"/>
      <c r="H32" s="1521"/>
      <c r="I32" s="1521"/>
      <c r="J32" s="1521">
        <f t="shared" si="0"/>
        <v>0</v>
      </c>
      <c r="K32" s="1516"/>
      <c r="L32" s="1516"/>
      <c r="M32" s="1516"/>
      <c r="N32" s="1516"/>
      <c r="O32" s="1516"/>
      <c r="P32" s="1516"/>
      <c r="Q32" s="1516"/>
      <c r="R32" s="1516"/>
      <c r="S32" s="1516"/>
      <c r="T32" s="1516"/>
      <c r="U32" s="1516"/>
      <c r="V32" s="1516"/>
      <c r="W32" s="1516"/>
      <c r="X32" s="1516"/>
      <c r="Y32" s="1516"/>
      <c r="Z32" s="1516"/>
      <c r="AA32" s="1516"/>
    </row>
    <row r="33" spans="1:27" ht="14.25">
      <c r="A33" s="1515"/>
      <c r="B33" s="1522"/>
      <c r="C33" s="1521">
        <v>1</v>
      </c>
      <c r="D33" s="1521" t="s">
        <v>914</v>
      </c>
      <c r="E33" s="1521"/>
      <c r="F33" s="1524">
        <v>0</v>
      </c>
      <c r="G33" s="1521"/>
      <c r="H33" s="1525">
        <f t="shared" ref="H33:H38" si="2">F33*1.19</f>
        <v>0</v>
      </c>
      <c r="I33" s="1526">
        <v>0.1</v>
      </c>
      <c r="J33" s="1521">
        <f t="shared" si="0"/>
        <v>0</v>
      </c>
      <c r="K33" s="1516"/>
      <c r="L33" s="1516"/>
      <c r="M33" s="1516"/>
      <c r="N33" s="1516"/>
      <c r="O33" s="1516"/>
      <c r="P33" s="1516"/>
      <c r="Q33" s="1516"/>
      <c r="R33" s="1516"/>
      <c r="S33" s="1516"/>
      <c r="T33" s="1516"/>
      <c r="U33" s="1516"/>
      <c r="V33" s="1516"/>
      <c r="W33" s="1516"/>
      <c r="X33" s="1516"/>
      <c r="Y33" s="1516"/>
      <c r="Z33" s="1516"/>
      <c r="AA33" s="1516"/>
    </row>
    <row r="34" spans="1:27" ht="14.25">
      <c r="A34" s="1515"/>
      <c r="B34" s="1522"/>
      <c r="C34" s="1521">
        <v>2</v>
      </c>
      <c r="D34" s="1521" t="s">
        <v>915</v>
      </c>
      <c r="E34" s="1521"/>
      <c r="F34" s="1524"/>
      <c r="G34" s="1521"/>
      <c r="H34" s="1525">
        <f t="shared" si="2"/>
        <v>0</v>
      </c>
      <c r="I34" s="1526">
        <v>0.1</v>
      </c>
      <c r="J34" s="1521">
        <f t="shared" si="0"/>
        <v>0</v>
      </c>
      <c r="K34" s="1516"/>
      <c r="L34" s="1516"/>
      <c r="M34" s="1516"/>
      <c r="N34" s="1516"/>
      <c r="O34" s="1516"/>
      <c r="P34" s="1516"/>
      <c r="Q34" s="1516"/>
      <c r="R34" s="1516"/>
      <c r="S34" s="1516"/>
      <c r="T34" s="1516"/>
      <c r="U34" s="1516"/>
      <c r="V34" s="1516"/>
      <c r="W34" s="1516"/>
      <c r="X34" s="1516"/>
      <c r="Y34" s="1516"/>
      <c r="Z34" s="1516"/>
      <c r="AA34" s="1516"/>
    </row>
    <row r="35" spans="1:27" ht="14.25">
      <c r="A35" s="1515"/>
      <c r="B35" s="1522"/>
      <c r="C35" s="1521">
        <v>3</v>
      </c>
      <c r="D35" s="1521" t="s">
        <v>916</v>
      </c>
      <c r="E35" s="1521"/>
      <c r="F35" s="1524">
        <v>0</v>
      </c>
      <c r="G35" s="1521"/>
      <c r="H35" s="1525">
        <f t="shared" si="2"/>
        <v>0</v>
      </c>
      <c r="I35" s="1526">
        <v>7.1999999999999995E-2</v>
      </c>
      <c r="J35" s="1521">
        <f t="shared" si="0"/>
        <v>0</v>
      </c>
      <c r="K35" s="1516"/>
      <c r="L35" s="1516"/>
      <c r="M35" s="1516"/>
      <c r="N35" s="1516"/>
      <c r="O35" s="1516"/>
      <c r="P35" s="1516"/>
      <c r="Q35" s="1516"/>
      <c r="R35" s="1516"/>
      <c r="S35" s="1516"/>
      <c r="T35" s="1516"/>
      <c r="U35" s="1516"/>
      <c r="V35" s="1516"/>
      <c r="W35" s="1516"/>
      <c r="X35" s="1516"/>
      <c r="Y35" s="1516"/>
      <c r="Z35" s="1516"/>
      <c r="AA35" s="1516"/>
    </row>
    <row r="36" spans="1:27" ht="14.25">
      <c r="A36" s="1515"/>
      <c r="B36" s="1522"/>
      <c r="C36" s="1521">
        <v>4</v>
      </c>
      <c r="D36" s="1521" t="s">
        <v>917</v>
      </c>
      <c r="E36" s="1521"/>
      <c r="F36" s="1524"/>
      <c r="G36" s="1521"/>
      <c r="H36" s="1525">
        <f t="shared" si="2"/>
        <v>0</v>
      </c>
      <c r="I36" s="1521"/>
      <c r="J36" s="1521">
        <f t="shared" si="0"/>
        <v>0</v>
      </c>
      <c r="K36" s="1516"/>
      <c r="L36" s="1516"/>
      <c r="M36" s="1516"/>
      <c r="N36" s="1516"/>
      <c r="O36" s="1516"/>
      <c r="P36" s="1516"/>
      <c r="Q36" s="1516"/>
      <c r="R36" s="1516"/>
      <c r="S36" s="1516"/>
      <c r="T36" s="1516"/>
      <c r="U36" s="1516"/>
      <c r="V36" s="1516"/>
      <c r="W36" s="1516"/>
      <c r="X36" s="1516"/>
      <c r="Y36" s="1516"/>
      <c r="Z36" s="1516"/>
      <c r="AA36" s="1516"/>
    </row>
    <row r="37" spans="1:27" ht="14.25">
      <c r="A37" s="1515"/>
      <c r="B37" s="1522"/>
      <c r="C37" s="1521">
        <v>5</v>
      </c>
      <c r="D37" s="1521" t="s">
        <v>918</v>
      </c>
      <c r="E37" s="1521"/>
      <c r="F37" s="1524"/>
      <c r="G37" s="1521"/>
      <c r="H37" s="1525">
        <f t="shared" si="2"/>
        <v>0</v>
      </c>
      <c r="I37" s="1526">
        <v>0.16669999999999999</v>
      </c>
      <c r="J37" s="1521">
        <f t="shared" si="0"/>
        <v>0</v>
      </c>
      <c r="K37" s="1516"/>
      <c r="L37" s="1516"/>
      <c r="M37" s="1516"/>
      <c r="N37" s="1516"/>
      <c r="O37" s="1516"/>
      <c r="P37" s="1516"/>
      <c r="Q37" s="1516"/>
      <c r="R37" s="1516"/>
      <c r="S37" s="1516"/>
      <c r="T37" s="1516"/>
      <c r="U37" s="1516"/>
      <c r="V37" s="1516"/>
      <c r="W37" s="1516"/>
      <c r="X37" s="1516"/>
      <c r="Y37" s="1516"/>
      <c r="Z37" s="1516"/>
      <c r="AA37" s="1516"/>
    </row>
    <row r="38" spans="1:27" ht="14.25">
      <c r="A38" s="1515"/>
      <c r="B38" s="1522"/>
      <c r="C38" s="1521">
        <v>6</v>
      </c>
      <c r="D38" s="1521" t="s">
        <v>919</v>
      </c>
      <c r="E38" s="1521"/>
      <c r="F38" s="1524"/>
      <c r="G38" s="1521"/>
      <c r="H38" s="1525">
        <f t="shared" si="2"/>
        <v>0</v>
      </c>
      <c r="I38" s="1521"/>
      <c r="J38" s="1521">
        <f t="shared" si="0"/>
        <v>0</v>
      </c>
      <c r="K38" s="1516"/>
      <c r="L38" s="1516"/>
      <c r="M38" s="1516"/>
      <c r="N38" s="1516"/>
      <c r="O38" s="1516"/>
      <c r="P38" s="1516"/>
      <c r="Q38" s="1516"/>
      <c r="R38" s="1516"/>
      <c r="S38" s="1516"/>
      <c r="T38" s="1516"/>
      <c r="U38" s="1516"/>
      <c r="V38" s="1516"/>
      <c r="W38" s="1516"/>
      <c r="X38" s="1516"/>
      <c r="Y38" s="1516"/>
      <c r="Z38" s="1516"/>
      <c r="AA38" s="1516"/>
    </row>
    <row r="39" spans="1:27" ht="14.25">
      <c r="A39" s="1515"/>
      <c r="B39" s="1527"/>
      <c r="C39" s="1528"/>
      <c r="D39" s="1528" t="s">
        <v>404</v>
      </c>
      <c r="E39" s="1528"/>
      <c r="F39" s="1529">
        <f>SUM(F33:F38)</f>
        <v>0</v>
      </c>
      <c r="G39" s="1528"/>
      <c r="H39" s="1530">
        <f>SUM(H33:H38)</f>
        <v>0</v>
      </c>
      <c r="I39" s="1521"/>
      <c r="J39" s="1521">
        <f t="shared" si="0"/>
        <v>0</v>
      </c>
      <c r="K39" s="1516"/>
      <c r="L39" s="1516"/>
      <c r="M39" s="1516"/>
      <c r="N39" s="1516"/>
      <c r="O39" s="1516"/>
      <c r="P39" s="1516"/>
      <c r="Q39" s="1516"/>
      <c r="R39" s="1516"/>
      <c r="S39" s="1516"/>
      <c r="T39" s="1516"/>
      <c r="U39" s="1516"/>
      <c r="V39" s="1516"/>
      <c r="W39" s="1516"/>
      <c r="X39" s="1516"/>
      <c r="Y39" s="1516"/>
      <c r="Z39" s="1516"/>
      <c r="AA39" s="1516"/>
    </row>
    <row r="40" spans="1:27" ht="14.25">
      <c r="A40" s="1515"/>
      <c r="B40" s="1522" t="s">
        <v>539</v>
      </c>
      <c r="C40" s="1521"/>
      <c r="D40" s="1522" t="s">
        <v>920</v>
      </c>
      <c r="E40" s="1521"/>
      <c r="F40" s="1524"/>
      <c r="G40" s="1521"/>
      <c r="H40" s="1521"/>
      <c r="I40" s="1521"/>
      <c r="J40" s="1521">
        <f t="shared" si="0"/>
        <v>0</v>
      </c>
      <c r="K40" s="1516"/>
      <c r="L40" s="1516"/>
      <c r="M40" s="1516"/>
      <c r="N40" s="1516"/>
      <c r="O40" s="1516"/>
      <c r="P40" s="1516"/>
      <c r="Q40" s="1516"/>
      <c r="R40" s="1516"/>
      <c r="S40" s="1516"/>
      <c r="T40" s="1516"/>
      <c r="U40" s="1516"/>
      <c r="V40" s="1516"/>
      <c r="W40" s="1516"/>
      <c r="X40" s="1516"/>
      <c r="Y40" s="1516"/>
      <c r="Z40" s="1516"/>
      <c r="AA40" s="1516"/>
    </row>
    <row r="41" spans="1:27" ht="14.25">
      <c r="A41" s="1515"/>
      <c r="B41" s="1522"/>
      <c r="C41" s="1521">
        <v>1</v>
      </c>
      <c r="D41" s="1521" t="s">
        <v>921</v>
      </c>
      <c r="E41" s="1521"/>
      <c r="F41" s="1524">
        <v>0</v>
      </c>
      <c r="G41" s="1521"/>
      <c r="H41" s="1521">
        <f t="shared" ref="H41:H47" si="3">F41*1.19</f>
        <v>0</v>
      </c>
      <c r="I41" s="1526">
        <v>0.125</v>
      </c>
      <c r="J41" s="1521">
        <f t="shared" si="0"/>
        <v>0</v>
      </c>
      <c r="K41" s="1516"/>
      <c r="L41" s="1516"/>
      <c r="M41" s="1516"/>
      <c r="N41" s="1516"/>
      <c r="O41" s="1516"/>
      <c r="P41" s="1516"/>
      <c r="Q41" s="1516"/>
      <c r="R41" s="1516"/>
      <c r="S41" s="1516"/>
      <c r="T41" s="1516"/>
      <c r="U41" s="1516"/>
      <c r="V41" s="1516"/>
      <c r="W41" s="1516"/>
      <c r="X41" s="1516"/>
      <c r="Y41" s="1516"/>
      <c r="Z41" s="1516"/>
      <c r="AA41" s="1516"/>
    </row>
    <row r="42" spans="1:27" ht="14.25">
      <c r="A42" s="1515"/>
      <c r="B42" s="1522"/>
      <c r="C42" s="1521">
        <v>2</v>
      </c>
      <c r="D42" s="1521" t="s">
        <v>922</v>
      </c>
      <c r="E42" s="1521"/>
      <c r="F42" s="1524"/>
      <c r="G42" s="1521"/>
      <c r="H42" s="1521">
        <f t="shared" si="3"/>
        <v>0</v>
      </c>
      <c r="I42" s="1521"/>
      <c r="J42" s="1521">
        <f t="shared" si="0"/>
        <v>0</v>
      </c>
      <c r="K42" s="1516"/>
      <c r="L42" s="1516"/>
      <c r="M42" s="1516"/>
      <c r="N42" s="1516"/>
      <c r="O42" s="1516"/>
      <c r="P42" s="1516"/>
      <c r="Q42" s="1516"/>
      <c r="R42" s="1516"/>
      <c r="S42" s="1516"/>
      <c r="T42" s="1516"/>
      <c r="U42" s="1516"/>
      <c r="V42" s="1516"/>
      <c r="W42" s="1516"/>
      <c r="X42" s="1516"/>
      <c r="Y42" s="1516"/>
      <c r="Z42" s="1516"/>
      <c r="AA42" s="1516"/>
    </row>
    <row r="43" spans="1:27" ht="14.25">
      <c r="A43" s="1515"/>
      <c r="B43" s="1522"/>
      <c r="C43" s="1521">
        <v>3</v>
      </c>
      <c r="D43" s="1521" t="s">
        <v>923</v>
      </c>
      <c r="E43" s="1521"/>
      <c r="F43" s="1524"/>
      <c r="G43" s="1521"/>
      <c r="H43" s="1521">
        <f t="shared" si="3"/>
        <v>0</v>
      </c>
      <c r="I43" s="1521"/>
      <c r="J43" s="1521">
        <f t="shared" si="0"/>
        <v>0</v>
      </c>
      <c r="K43" s="1516"/>
      <c r="L43" s="1516"/>
      <c r="M43" s="1516"/>
      <c r="N43" s="1516"/>
      <c r="O43" s="1516"/>
      <c r="P43" s="1516"/>
      <c r="Q43" s="1516"/>
      <c r="R43" s="1516"/>
      <c r="S43" s="1516"/>
      <c r="T43" s="1516"/>
      <c r="U43" s="1516"/>
      <c r="V43" s="1516"/>
      <c r="W43" s="1516"/>
      <c r="X43" s="1516"/>
      <c r="Y43" s="1516"/>
      <c r="Z43" s="1516"/>
      <c r="AA43" s="1516"/>
    </row>
    <row r="44" spans="1:27" ht="14.25">
      <c r="A44" s="1515"/>
      <c r="B44" s="1522"/>
      <c r="C44" s="1521"/>
      <c r="D44" s="1521" t="s">
        <v>404</v>
      </c>
      <c r="E44" s="1521"/>
      <c r="F44" s="1524">
        <v>0</v>
      </c>
      <c r="G44" s="1521"/>
      <c r="H44" s="1521">
        <f t="shared" si="3"/>
        <v>0</v>
      </c>
      <c r="I44" s="1521"/>
      <c r="J44" s="1521">
        <f t="shared" si="0"/>
        <v>0</v>
      </c>
      <c r="K44" s="1516"/>
      <c r="L44" s="1516"/>
      <c r="M44" s="1516"/>
      <c r="N44" s="1516"/>
      <c r="O44" s="1516"/>
      <c r="P44" s="1516"/>
      <c r="Q44" s="1516"/>
      <c r="R44" s="1516"/>
      <c r="S44" s="1516"/>
      <c r="T44" s="1516"/>
      <c r="U44" s="1516"/>
      <c r="V44" s="1516"/>
      <c r="W44" s="1516"/>
      <c r="X44" s="1516"/>
      <c r="Y44" s="1516"/>
      <c r="Z44" s="1516"/>
      <c r="AA44" s="1516"/>
    </row>
    <row r="45" spans="1:27" ht="14.25">
      <c r="A45" s="1515"/>
      <c r="B45" s="1522" t="s">
        <v>553</v>
      </c>
      <c r="C45" s="1521"/>
      <c r="D45" s="1521" t="s">
        <v>924</v>
      </c>
      <c r="E45" s="1521"/>
      <c r="F45" s="1524"/>
      <c r="G45" s="1521"/>
      <c r="H45" s="1521">
        <f t="shared" si="3"/>
        <v>0</v>
      </c>
      <c r="I45" s="1521"/>
      <c r="J45" s="1521">
        <f t="shared" si="0"/>
        <v>0</v>
      </c>
      <c r="K45" s="1516"/>
      <c r="L45" s="1516"/>
      <c r="M45" s="1516"/>
      <c r="N45" s="1516"/>
      <c r="O45" s="1516"/>
      <c r="P45" s="1516"/>
      <c r="Q45" s="1516"/>
      <c r="R45" s="1516"/>
      <c r="S45" s="1516"/>
      <c r="T45" s="1516"/>
      <c r="U45" s="1516"/>
      <c r="V45" s="1516"/>
      <c r="W45" s="1516"/>
      <c r="X45" s="1516"/>
      <c r="Y45" s="1516"/>
      <c r="Z45" s="1516"/>
      <c r="AA45" s="1516"/>
    </row>
    <row r="46" spans="1:27" ht="14.25">
      <c r="A46" s="1515"/>
      <c r="B46" s="1522"/>
      <c r="C46" s="1521">
        <v>1</v>
      </c>
      <c r="D46" s="1521"/>
      <c r="E46" s="1521"/>
      <c r="F46" s="1524"/>
      <c r="G46" s="1521"/>
      <c r="H46" s="1521">
        <f t="shared" si="3"/>
        <v>0</v>
      </c>
      <c r="I46" s="1521"/>
      <c r="J46" s="1521">
        <f t="shared" si="0"/>
        <v>0</v>
      </c>
      <c r="K46" s="1516"/>
      <c r="L46" s="1516"/>
      <c r="M46" s="1516"/>
      <c r="N46" s="1516"/>
      <c r="O46" s="1516"/>
      <c r="P46" s="1516"/>
      <c r="Q46" s="1516"/>
      <c r="R46" s="1516"/>
      <c r="S46" s="1516"/>
      <c r="T46" s="1516"/>
      <c r="U46" s="1516"/>
      <c r="V46" s="1516"/>
      <c r="W46" s="1516"/>
      <c r="X46" s="1516"/>
      <c r="Y46" s="1516"/>
      <c r="Z46" s="1516"/>
      <c r="AA46" s="1516"/>
    </row>
    <row r="47" spans="1:27" ht="14.25">
      <c r="A47" s="1515"/>
      <c r="B47" s="1522"/>
      <c r="C47" s="1521">
        <v>2</v>
      </c>
      <c r="D47" s="1521"/>
      <c r="E47" s="1521"/>
      <c r="F47" s="1524"/>
      <c r="G47" s="1521"/>
      <c r="H47" s="1521">
        <f t="shared" si="3"/>
        <v>0</v>
      </c>
      <c r="I47" s="1521"/>
      <c r="J47" s="1521">
        <f t="shared" si="0"/>
        <v>0</v>
      </c>
    </row>
    <row r="48" spans="1:27" ht="14.25">
      <c r="A48" s="1515"/>
      <c r="B48" s="1527"/>
      <c r="C48" s="1528"/>
      <c r="D48" s="1528" t="s">
        <v>404</v>
      </c>
      <c r="E48" s="1528"/>
      <c r="F48" s="1529">
        <f>SUM(F41:F47)</f>
        <v>0</v>
      </c>
      <c r="G48" s="1528"/>
      <c r="H48" s="1528">
        <f>SUM(H41:H47)</f>
        <v>0</v>
      </c>
      <c r="I48" s="1521"/>
      <c r="J48" s="1521">
        <f t="shared" si="0"/>
        <v>0</v>
      </c>
    </row>
    <row r="49" spans="1:10" ht="14.25">
      <c r="A49" s="1515"/>
      <c r="B49" s="1522" t="s">
        <v>925</v>
      </c>
      <c r="C49" s="1521"/>
      <c r="D49" s="1522" t="s">
        <v>926</v>
      </c>
      <c r="E49" s="1521"/>
      <c r="F49" s="1524"/>
      <c r="G49" s="1521"/>
      <c r="H49" s="1521"/>
      <c r="I49" s="1521"/>
      <c r="J49" s="1521">
        <f t="shared" si="0"/>
        <v>0</v>
      </c>
    </row>
    <row r="50" spans="1:10" ht="14.25">
      <c r="A50" s="1515"/>
      <c r="B50" s="1522"/>
      <c r="C50" s="1521">
        <v>1</v>
      </c>
      <c r="D50" s="1521" t="s">
        <v>927</v>
      </c>
      <c r="E50" s="1521"/>
      <c r="F50" s="1524">
        <v>0</v>
      </c>
      <c r="G50" s="1521"/>
      <c r="H50" s="1521">
        <f>F50*1.19</f>
        <v>0</v>
      </c>
      <c r="I50" s="1521"/>
      <c r="J50" s="1521">
        <f t="shared" si="0"/>
        <v>0</v>
      </c>
    </row>
    <row r="51" spans="1:10" ht="14.25">
      <c r="A51" s="1515"/>
      <c r="B51" s="1522"/>
      <c r="C51" s="1521">
        <v>2</v>
      </c>
      <c r="D51" s="1521" t="s">
        <v>928</v>
      </c>
      <c r="E51" s="1521"/>
      <c r="F51" s="1524"/>
      <c r="G51" s="1521"/>
      <c r="H51" s="1521">
        <f>F51*1.19</f>
        <v>0</v>
      </c>
      <c r="I51" s="1521"/>
      <c r="J51" s="1521">
        <f t="shared" si="0"/>
        <v>0</v>
      </c>
    </row>
    <row r="52" spans="1:10" ht="14.25">
      <c r="A52" s="1515"/>
      <c r="B52" s="1522"/>
      <c r="C52" s="1521">
        <v>3</v>
      </c>
      <c r="D52" s="1521" t="s">
        <v>929</v>
      </c>
      <c r="E52" s="1521"/>
      <c r="F52" s="1524"/>
      <c r="G52" s="1521"/>
      <c r="H52" s="1521">
        <f>F52*1.19</f>
        <v>0</v>
      </c>
      <c r="I52" s="1521"/>
      <c r="J52" s="1521">
        <f t="shared" si="0"/>
        <v>0</v>
      </c>
    </row>
    <row r="53" spans="1:10" ht="14.25">
      <c r="A53" s="1515"/>
      <c r="B53" s="1522"/>
      <c r="C53" s="1521">
        <v>4</v>
      </c>
      <c r="D53" s="1521" t="s">
        <v>930</v>
      </c>
      <c r="E53" s="1521"/>
      <c r="F53" s="1524">
        <v>0</v>
      </c>
      <c r="G53" s="1521"/>
      <c r="H53" s="1521">
        <f>F53*1.19</f>
        <v>0</v>
      </c>
      <c r="I53" s="1521"/>
      <c r="J53" s="1521">
        <f t="shared" si="0"/>
        <v>0</v>
      </c>
    </row>
    <row r="54" spans="1:10" ht="14.25">
      <c r="A54" s="1515"/>
      <c r="B54" s="1522"/>
      <c r="C54" s="1521">
        <v>5</v>
      </c>
      <c r="D54" s="1521" t="s">
        <v>931</v>
      </c>
      <c r="E54" s="1521"/>
      <c r="F54" s="1524"/>
      <c r="G54" s="1521"/>
      <c r="H54" s="1521">
        <f>F54*1.19</f>
        <v>0</v>
      </c>
      <c r="I54" s="1521"/>
      <c r="J54" s="1521">
        <f t="shared" si="0"/>
        <v>0</v>
      </c>
    </row>
    <row r="55" spans="1:10" ht="14.25">
      <c r="A55" s="1515"/>
      <c r="B55" s="1527"/>
      <c r="C55" s="1528"/>
      <c r="D55" s="1528" t="s">
        <v>404</v>
      </c>
      <c r="E55" s="1528"/>
      <c r="F55" s="1529">
        <f>SUM(F50:F54)</f>
        <v>0</v>
      </c>
      <c r="G55" s="1528"/>
      <c r="H55" s="1528">
        <f>SUM(H50:H54)</f>
        <v>0</v>
      </c>
      <c r="I55" s="1521"/>
      <c r="J55" s="1521">
        <f t="shared" si="0"/>
        <v>0</v>
      </c>
    </row>
    <row r="56" spans="1:10" ht="14.25">
      <c r="A56" s="1515"/>
      <c r="B56" s="1522" t="s">
        <v>932</v>
      </c>
      <c r="C56" s="1521"/>
      <c r="D56" s="1522" t="s">
        <v>933</v>
      </c>
      <c r="E56" s="1522"/>
      <c r="F56" s="1524"/>
      <c r="G56" s="1521"/>
      <c r="H56" s="1521"/>
      <c r="I56" s="1521"/>
      <c r="J56" s="1521">
        <f t="shared" si="0"/>
        <v>0</v>
      </c>
    </row>
    <row r="57" spans="1:10" ht="14.25">
      <c r="A57" s="1515"/>
      <c r="B57" s="1522"/>
      <c r="C57" s="1521">
        <v>1</v>
      </c>
      <c r="D57" s="1521" t="s">
        <v>934</v>
      </c>
      <c r="E57" s="1521"/>
      <c r="F57" s="1524">
        <v>0</v>
      </c>
      <c r="G57" s="1521"/>
      <c r="H57" s="1521">
        <f t="shared" ref="H57:H64" si="4">F57*1.19</f>
        <v>0</v>
      </c>
      <c r="I57" s="1521"/>
      <c r="J57" s="1521">
        <f t="shared" si="0"/>
        <v>0</v>
      </c>
    </row>
    <row r="58" spans="1:10" ht="14.25">
      <c r="A58" s="1515"/>
      <c r="B58" s="1522"/>
      <c r="C58" s="1521">
        <v>2</v>
      </c>
      <c r="D58" s="1521" t="s">
        <v>935</v>
      </c>
      <c r="E58" s="1521"/>
      <c r="F58" s="1524"/>
      <c r="G58" s="1521"/>
      <c r="H58" s="1521">
        <f t="shared" si="4"/>
        <v>0</v>
      </c>
      <c r="I58" s="1521"/>
      <c r="J58" s="1521">
        <f t="shared" si="0"/>
        <v>0</v>
      </c>
    </row>
    <row r="59" spans="1:10" ht="14.25">
      <c r="A59" s="1515"/>
      <c r="B59" s="1522"/>
      <c r="C59" s="1521">
        <v>3</v>
      </c>
      <c r="D59" s="1521" t="s">
        <v>936</v>
      </c>
      <c r="E59" s="1521"/>
      <c r="F59" s="1524"/>
      <c r="G59" s="1521"/>
      <c r="H59" s="1521">
        <f t="shared" si="4"/>
        <v>0</v>
      </c>
      <c r="I59" s="1521"/>
      <c r="J59" s="1521">
        <f t="shared" si="0"/>
        <v>0</v>
      </c>
    </row>
    <row r="60" spans="1:10" ht="14.25">
      <c r="A60" s="1515"/>
      <c r="B60" s="1522"/>
      <c r="C60" s="1521">
        <v>4</v>
      </c>
      <c r="D60" s="1521" t="s">
        <v>937</v>
      </c>
      <c r="E60" s="1521"/>
      <c r="F60" s="1524"/>
      <c r="G60" s="1521"/>
      <c r="H60" s="1521">
        <f t="shared" si="4"/>
        <v>0</v>
      </c>
      <c r="I60" s="1521"/>
      <c r="J60" s="1521">
        <f t="shared" si="0"/>
        <v>0</v>
      </c>
    </row>
    <row r="61" spans="1:10" ht="14.25">
      <c r="A61" s="1515"/>
      <c r="B61" s="1522"/>
      <c r="C61" s="1521">
        <v>5</v>
      </c>
      <c r="D61" s="1521" t="s">
        <v>462</v>
      </c>
      <c r="E61" s="1521"/>
      <c r="F61" s="1524"/>
      <c r="G61" s="1521"/>
      <c r="H61" s="1521">
        <f t="shared" si="4"/>
        <v>0</v>
      </c>
      <c r="I61" s="1521"/>
      <c r="J61" s="1521">
        <f t="shared" si="0"/>
        <v>0</v>
      </c>
    </row>
    <row r="62" spans="1:10" ht="14.25">
      <c r="A62" s="1515"/>
      <c r="B62" s="1522"/>
      <c r="C62" s="1521">
        <v>6</v>
      </c>
      <c r="D62" s="1521" t="s">
        <v>938</v>
      </c>
      <c r="E62" s="1521"/>
      <c r="F62" s="1524"/>
      <c r="G62" s="1521"/>
      <c r="H62" s="1521">
        <f t="shared" si="4"/>
        <v>0</v>
      </c>
      <c r="I62" s="1521"/>
      <c r="J62" s="1521">
        <f t="shared" si="0"/>
        <v>0</v>
      </c>
    </row>
    <row r="63" spans="1:10" ht="14.25">
      <c r="A63" s="1515"/>
      <c r="B63" s="1522"/>
      <c r="C63" s="1521">
        <v>7</v>
      </c>
      <c r="D63" s="1521"/>
      <c r="E63" s="1521"/>
      <c r="F63" s="1524"/>
      <c r="G63" s="1521"/>
      <c r="H63" s="1521">
        <f t="shared" si="4"/>
        <v>0</v>
      </c>
      <c r="I63" s="1521"/>
      <c r="J63" s="1521">
        <f t="shared" si="0"/>
        <v>0</v>
      </c>
    </row>
    <row r="64" spans="1:10" ht="14.25">
      <c r="A64" s="1515"/>
      <c r="B64" s="1522"/>
      <c r="C64" s="1521">
        <v>8</v>
      </c>
      <c r="D64" s="1521" t="s">
        <v>939</v>
      </c>
      <c r="E64" s="1521"/>
      <c r="F64" s="1524">
        <v>0</v>
      </c>
      <c r="G64" s="1521"/>
      <c r="H64" s="1521">
        <f t="shared" si="4"/>
        <v>0</v>
      </c>
      <c r="I64" s="1521"/>
      <c r="J64" s="1521">
        <f t="shared" si="0"/>
        <v>0</v>
      </c>
    </row>
    <row r="65" spans="1:10" ht="14.25">
      <c r="A65" s="1515"/>
      <c r="B65" s="1527"/>
      <c r="C65" s="1528"/>
      <c r="D65" s="1528" t="s">
        <v>404</v>
      </c>
      <c r="E65" s="1528"/>
      <c r="F65" s="1529">
        <f>SUM(F57:F64)</f>
        <v>0</v>
      </c>
      <c r="G65" s="1528"/>
      <c r="H65" s="1528">
        <f>SUM(H57:H64)</f>
        <v>0</v>
      </c>
      <c r="I65" s="1521"/>
      <c r="J65" s="1521">
        <f t="shared" si="0"/>
        <v>0</v>
      </c>
    </row>
    <row r="66" spans="1:10" ht="14.25">
      <c r="A66" s="1515"/>
      <c r="B66" s="1522" t="s">
        <v>940</v>
      </c>
      <c r="C66" s="1521"/>
      <c r="D66" s="1522" t="s">
        <v>394</v>
      </c>
      <c r="E66" s="1521"/>
      <c r="F66" s="1524"/>
      <c r="G66" s="1521"/>
      <c r="H66" s="1521"/>
      <c r="I66" s="1521"/>
      <c r="J66" s="1521">
        <f t="shared" si="0"/>
        <v>0</v>
      </c>
    </row>
    <row r="67" spans="1:10" ht="14.25">
      <c r="A67" s="1515"/>
      <c r="B67" s="1521"/>
      <c r="C67" s="1521">
        <v>1</v>
      </c>
      <c r="D67" s="1521" t="s">
        <v>941</v>
      </c>
      <c r="E67" s="1521"/>
      <c r="F67" s="1524">
        <v>0</v>
      </c>
      <c r="G67" s="1521"/>
      <c r="H67" s="1521">
        <f t="shared" ref="H67:H73" si="5">F67*1.19</f>
        <v>0</v>
      </c>
      <c r="I67" s="1521"/>
      <c r="J67" s="1521">
        <f t="shared" si="0"/>
        <v>0</v>
      </c>
    </row>
    <row r="68" spans="1:10" ht="14.25">
      <c r="A68" s="1515"/>
      <c r="B68" s="1521"/>
      <c r="C68" s="1521">
        <v>2</v>
      </c>
      <c r="D68" s="1521" t="s">
        <v>942</v>
      </c>
      <c r="E68" s="1521"/>
      <c r="F68" s="1524"/>
      <c r="G68" s="1521"/>
      <c r="H68" s="1521">
        <f t="shared" si="5"/>
        <v>0</v>
      </c>
      <c r="I68" s="1521"/>
      <c r="J68" s="1521">
        <f t="shared" si="0"/>
        <v>0</v>
      </c>
    </row>
    <row r="69" spans="1:10" ht="14.25">
      <c r="A69" s="1515"/>
      <c r="B69" s="1521"/>
      <c r="C69" s="1521">
        <v>3</v>
      </c>
      <c r="D69" s="1521" t="s">
        <v>943</v>
      </c>
      <c r="E69" s="1521"/>
      <c r="F69" s="1524"/>
      <c r="G69" s="1521"/>
      <c r="H69" s="1521">
        <f t="shared" si="5"/>
        <v>0</v>
      </c>
      <c r="I69" s="1521"/>
      <c r="J69" s="1521">
        <f t="shared" ref="J69:J78" si="6">F69*I69</f>
        <v>0</v>
      </c>
    </row>
    <row r="70" spans="1:10" ht="14.25">
      <c r="A70" s="1515"/>
      <c r="B70" s="1521"/>
      <c r="C70" s="1521">
        <v>4</v>
      </c>
      <c r="D70" s="1521" t="s">
        <v>944</v>
      </c>
      <c r="E70" s="1521"/>
      <c r="F70" s="1524"/>
      <c r="G70" s="1521"/>
      <c r="H70" s="1521">
        <f t="shared" si="5"/>
        <v>0</v>
      </c>
      <c r="I70" s="1521"/>
      <c r="J70" s="1521">
        <f t="shared" si="6"/>
        <v>0</v>
      </c>
    </row>
    <row r="71" spans="1:10" ht="14.25">
      <c r="A71" s="1515"/>
      <c r="B71" s="1521"/>
      <c r="C71" s="1521">
        <v>5</v>
      </c>
      <c r="D71" s="1521" t="s">
        <v>945</v>
      </c>
      <c r="E71" s="1521"/>
      <c r="F71" s="1524"/>
      <c r="G71" s="1521"/>
      <c r="H71" s="1521">
        <f t="shared" si="5"/>
        <v>0</v>
      </c>
      <c r="I71" s="1521"/>
      <c r="J71" s="1521">
        <f t="shared" si="6"/>
        <v>0</v>
      </c>
    </row>
    <row r="72" spans="1:10" ht="14.25">
      <c r="A72" s="1515"/>
      <c r="B72" s="1521"/>
      <c r="C72" s="1521">
        <v>6</v>
      </c>
      <c r="D72" s="1521" t="s">
        <v>946</v>
      </c>
      <c r="E72" s="1521"/>
      <c r="F72" s="1524"/>
      <c r="G72" s="1521"/>
      <c r="H72" s="1521">
        <f t="shared" si="5"/>
        <v>0</v>
      </c>
      <c r="I72" s="1521"/>
      <c r="J72" s="1521">
        <f t="shared" si="6"/>
        <v>0</v>
      </c>
    </row>
    <row r="73" spans="1:10" ht="14.25">
      <c r="A73" s="1515"/>
      <c r="B73" s="1521"/>
      <c r="C73" s="1521">
        <v>7</v>
      </c>
      <c r="D73" s="1521" t="s">
        <v>947</v>
      </c>
      <c r="E73" s="1521"/>
      <c r="F73" s="1524"/>
      <c r="G73" s="1521"/>
      <c r="H73" s="1521">
        <f t="shared" si="5"/>
        <v>0</v>
      </c>
      <c r="I73" s="1521"/>
      <c r="J73" s="1521">
        <f t="shared" si="6"/>
        <v>0</v>
      </c>
    </row>
    <row r="74" spans="1:10" ht="14.25">
      <c r="A74" s="1515"/>
      <c r="B74" s="1528"/>
      <c r="C74" s="1528"/>
      <c r="D74" s="1528" t="s">
        <v>404</v>
      </c>
      <c r="E74" s="1528"/>
      <c r="F74" s="1529">
        <f>SUM(F67:F73)</f>
        <v>0</v>
      </c>
      <c r="G74" s="1528"/>
      <c r="H74" s="1528">
        <f>SUM(H67:H73)</f>
        <v>0</v>
      </c>
      <c r="I74" s="1521"/>
      <c r="J74" s="1521">
        <f t="shared" si="6"/>
        <v>0</v>
      </c>
    </row>
    <row r="75" spans="1:10" ht="24.75" customHeight="1">
      <c r="A75" s="1515"/>
      <c r="B75" s="1531"/>
      <c r="C75" s="1531"/>
      <c r="D75" s="1531" t="s">
        <v>948</v>
      </c>
      <c r="E75" s="1531"/>
      <c r="F75" s="1532">
        <f>F10+F16+F31+F39+F48</f>
        <v>0</v>
      </c>
      <c r="G75" s="1531"/>
      <c r="H75" s="1533">
        <f>H10+H16+H31+H39+H48</f>
        <v>0</v>
      </c>
      <c r="I75" s="1521"/>
      <c r="J75" s="1521">
        <f t="shared" si="6"/>
        <v>0</v>
      </c>
    </row>
    <row r="76" spans="1:10" ht="21" customHeight="1">
      <c r="A76" s="1515"/>
      <c r="B76" s="1531"/>
      <c r="C76" s="1531"/>
      <c r="D76" s="1531" t="s">
        <v>949</v>
      </c>
      <c r="E76" s="1531"/>
      <c r="F76" s="1532">
        <f>F55+F65+F74</f>
        <v>0</v>
      </c>
      <c r="G76" s="1531"/>
      <c r="H76" s="1531">
        <f>H55+H65+H74</f>
        <v>0</v>
      </c>
      <c r="I76" s="1521"/>
      <c r="J76" s="1521">
        <f t="shared" si="6"/>
        <v>0</v>
      </c>
    </row>
    <row r="77" spans="1:10" ht="14.25">
      <c r="A77" s="1515"/>
      <c r="B77" s="1521"/>
      <c r="C77" s="1521"/>
      <c r="D77" s="1521"/>
      <c r="E77" s="1521"/>
      <c r="F77" s="1524"/>
      <c r="G77" s="1521"/>
      <c r="H77" s="1521"/>
      <c r="I77" s="1521"/>
      <c r="J77" s="1521">
        <f t="shared" si="6"/>
        <v>0</v>
      </c>
    </row>
    <row r="78" spans="1:10" ht="14.25">
      <c r="A78" s="1515"/>
      <c r="B78" s="1521"/>
      <c r="C78" s="1521"/>
      <c r="D78" s="1521"/>
      <c r="E78" s="1521"/>
      <c r="F78" s="1524"/>
      <c r="G78" s="1521"/>
      <c r="H78" s="1521"/>
      <c r="I78" s="1521"/>
      <c r="J78" s="1521">
        <f t="shared" si="6"/>
        <v>0</v>
      </c>
    </row>
    <row r="79" spans="1:10" ht="26.25" customHeight="1">
      <c r="A79" s="1515"/>
      <c r="B79" s="1528"/>
      <c r="C79" s="1528"/>
      <c r="D79" s="2622" t="s">
        <v>950</v>
      </c>
      <c r="E79" s="2623"/>
      <c r="F79" s="1534">
        <f>F75+F76</f>
        <v>0</v>
      </c>
      <c r="G79" s="1528"/>
      <c r="H79" s="1528"/>
      <c r="I79" s="1521" t="s">
        <v>951</v>
      </c>
      <c r="J79" s="1521">
        <f>SUM(J5:J78)</f>
        <v>0</v>
      </c>
    </row>
    <row r="80" spans="1:10" ht="14.25">
      <c r="A80" s="1515"/>
      <c r="B80" s="1521"/>
      <c r="C80" s="1521"/>
      <c r="D80" s="1521"/>
      <c r="E80" s="1521"/>
      <c r="F80" s="1524"/>
      <c r="G80" s="1521"/>
      <c r="H80" s="1521"/>
      <c r="I80" s="1521" t="s">
        <v>952</v>
      </c>
      <c r="J80" s="1535">
        <f>J79/12</f>
        <v>0</v>
      </c>
    </row>
    <row r="81" spans="1:11" ht="14.25">
      <c r="A81" s="1515"/>
      <c r="B81" s="1521"/>
      <c r="C81" s="1521"/>
      <c r="D81" s="1521"/>
      <c r="E81" s="1521"/>
      <c r="F81" s="1524"/>
      <c r="G81" s="1521"/>
      <c r="H81" s="1521"/>
      <c r="I81" s="1521"/>
      <c r="J81" s="1521"/>
    </row>
    <row r="82" spans="1:11" ht="24.75" customHeight="1">
      <c r="A82" s="1515"/>
      <c r="B82" s="2624" t="s">
        <v>953</v>
      </c>
      <c r="C82" s="2625"/>
      <c r="D82" s="2625"/>
      <c r="E82" s="1536"/>
      <c r="F82" s="1537" t="s">
        <v>954</v>
      </c>
      <c r="G82" s="1536" t="s">
        <v>955</v>
      </c>
      <c r="H82" s="1538" t="s">
        <v>956</v>
      </c>
      <c r="I82" s="1538" t="s">
        <v>957</v>
      </c>
      <c r="J82" s="1536"/>
      <c r="K82" s="1539"/>
    </row>
    <row r="83" spans="1:11" ht="24.75" customHeight="1">
      <c r="A83" s="1515"/>
      <c r="B83" s="2624" t="s">
        <v>404</v>
      </c>
      <c r="C83" s="2625"/>
      <c r="D83" s="2625"/>
      <c r="E83" s="1536"/>
      <c r="F83" s="1540">
        <f>F90+F98</f>
        <v>69350</v>
      </c>
      <c r="G83" s="1536"/>
      <c r="H83" s="1536">
        <f>H86+H98</f>
        <v>4520</v>
      </c>
      <c r="I83" s="1536">
        <f>I86+I98</f>
        <v>5600</v>
      </c>
      <c r="J83" s="1536"/>
      <c r="K83" s="1539"/>
    </row>
    <row r="84" spans="1:11" ht="14.25">
      <c r="A84" s="1515"/>
      <c r="B84" s="1521" t="s">
        <v>958</v>
      </c>
      <c r="C84" s="1521">
        <v>1</v>
      </c>
      <c r="D84" s="1521" t="s">
        <v>959</v>
      </c>
      <c r="E84" s="1521"/>
      <c r="F84" s="1524">
        <v>5350</v>
      </c>
      <c r="G84" s="1521"/>
      <c r="H84" s="1521"/>
      <c r="I84" s="1521"/>
      <c r="J84" s="1521"/>
    </row>
    <row r="85" spans="1:11" ht="14.25">
      <c r="A85" s="1515"/>
      <c r="B85" s="1521"/>
      <c r="C85" s="1521">
        <v>2</v>
      </c>
      <c r="D85" s="1521" t="s">
        <v>960</v>
      </c>
      <c r="E85" s="1521"/>
      <c r="F85" s="1524">
        <v>8000</v>
      </c>
      <c r="G85" s="1521"/>
      <c r="H85" s="1521"/>
      <c r="I85" s="1521"/>
      <c r="J85" s="1521"/>
    </row>
    <row r="86" spans="1:11" ht="14.25">
      <c r="A86" s="1515"/>
      <c r="B86" s="1521"/>
      <c r="C86" s="1521">
        <v>3</v>
      </c>
      <c r="D86" s="1521" t="s">
        <v>961</v>
      </c>
      <c r="E86" s="1521"/>
      <c r="F86" s="1524"/>
      <c r="G86" s="1521"/>
      <c r="H86" s="1521">
        <f>F86*G86</f>
        <v>0</v>
      </c>
      <c r="I86" s="1521"/>
      <c r="J86" s="1521"/>
    </row>
    <row r="87" spans="1:11" ht="14.25">
      <c r="A87" s="1515"/>
      <c r="B87" s="1521"/>
      <c r="C87" s="1521">
        <v>4</v>
      </c>
      <c r="D87" s="1521" t="s">
        <v>213</v>
      </c>
      <c r="E87" s="1521"/>
      <c r="F87" s="1524">
        <v>3000</v>
      </c>
      <c r="G87" s="1521"/>
      <c r="H87" s="1521"/>
      <c r="I87" s="1521"/>
      <c r="J87" s="1521"/>
    </row>
    <row r="88" spans="1:11" ht="14.25">
      <c r="A88" s="1515"/>
      <c r="B88" s="1521"/>
      <c r="C88" s="1521"/>
      <c r="D88" s="1521"/>
      <c r="E88" s="1521"/>
      <c r="F88" s="1524"/>
      <c r="G88" s="1521"/>
      <c r="H88" s="1521"/>
      <c r="I88" s="1521"/>
      <c r="J88" s="1521"/>
    </row>
    <row r="89" spans="1:11" ht="14.25">
      <c r="A89" s="1515"/>
      <c r="B89" s="1521"/>
      <c r="C89" s="1521"/>
      <c r="D89" s="1521"/>
      <c r="E89" s="1521"/>
      <c r="F89" s="1524"/>
      <c r="G89" s="1521"/>
      <c r="H89" s="1521"/>
      <c r="I89" s="1521"/>
      <c r="J89" s="1521"/>
    </row>
    <row r="90" spans="1:11" ht="14.25">
      <c r="A90" s="1515"/>
      <c r="B90" s="1528"/>
      <c r="C90" s="1528"/>
      <c r="D90" s="1528" t="s">
        <v>962</v>
      </c>
      <c r="E90" s="1528"/>
      <c r="F90" s="1529">
        <f>SUM(F84:F89)</f>
        <v>16350</v>
      </c>
      <c r="G90" s="1528"/>
      <c r="H90" s="1528"/>
      <c r="I90" s="1528"/>
      <c r="J90" s="1521"/>
    </row>
    <row r="91" spans="1:11" ht="14.25">
      <c r="A91" s="1515"/>
      <c r="B91" s="1521"/>
      <c r="C91" s="1521"/>
      <c r="D91" s="1521"/>
      <c r="E91" s="1521"/>
      <c r="F91" s="1524"/>
      <c r="G91" s="1521"/>
      <c r="H91" s="1521"/>
      <c r="I91" s="1521"/>
      <c r="J91" s="1521"/>
    </row>
    <row r="92" spans="1:11" ht="14.25">
      <c r="A92" s="1515"/>
      <c r="B92" s="1521" t="s">
        <v>963</v>
      </c>
      <c r="C92" s="1521">
        <v>1</v>
      </c>
      <c r="D92" s="1521" t="s">
        <v>964</v>
      </c>
      <c r="E92" s="1521"/>
      <c r="F92" s="1524">
        <v>15000</v>
      </c>
      <c r="G92" s="1526">
        <v>6.5000000000000002E-2</v>
      </c>
      <c r="H92" s="1521">
        <f t="shared" ref="H92:H97" si="7">F92*G92</f>
        <v>975</v>
      </c>
      <c r="I92" s="1521">
        <v>1500</v>
      </c>
      <c r="J92" s="1521"/>
    </row>
    <row r="93" spans="1:11" ht="14.25">
      <c r="A93" s="1515"/>
      <c r="B93" s="1521"/>
      <c r="C93" s="1521">
        <v>2</v>
      </c>
      <c r="D93" s="1521" t="s">
        <v>965</v>
      </c>
      <c r="E93" s="1521"/>
      <c r="F93" s="1524">
        <v>15000</v>
      </c>
      <c r="G93" s="1526">
        <v>8.5000000000000006E-2</v>
      </c>
      <c r="H93" s="1521">
        <f t="shared" si="7"/>
        <v>1275</v>
      </c>
      <c r="I93" s="1521">
        <v>1500</v>
      </c>
      <c r="J93" s="1521"/>
    </row>
    <row r="94" spans="1:11" ht="14.25">
      <c r="A94" s="1515"/>
      <c r="B94" s="1521"/>
      <c r="C94" s="1521">
        <v>3</v>
      </c>
      <c r="D94" s="1521" t="s">
        <v>966</v>
      </c>
      <c r="E94" s="1521"/>
      <c r="F94" s="1524">
        <v>13000</v>
      </c>
      <c r="G94" s="1526">
        <v>0.09</v>
      </c>
      <c r="H94" s="1521">
        <f t="shared" si="7"/>
        <v>1170</v>
      </c>
      <c r="I94" s="1521">
        <v>2600</v>
      </c>
      <c r="J94" s="1521"/>
    </row>
    <row r="95" spans="1:11" ht="14.25">
      <c r="A95" s="1515"/>
      <c r="B95" s="1521"/>
      <c r="C95" s="1521">
        <v>4</v>
      </c>
      <c r="D95" s="1521" t="s">
        <v>967</v>
      </c>
      <c r="E95" s="1521"/>
      <c r="F95" s="1524"/>
      <c r="G95" s="1526">
        <v>0.04</v>
      </c>
      <c r="H95" s="1521">
        <f t="shared" si="7"/>
        <v>0</v>
      </c>
      <c r="I95" s="1521"/>
      <c r="J95" s="1521"/>
    </row>
    <row r="96" spans="1:11" ht="14.25">
      <c r="A96" s="1515"/>
      <c r="B96" s="1521"/>
      <c r="C96" s="1521">
        <v>5</v>
      </c>
      <c r="D96" s="1521" t="s">
        <v>417</v>
      </c>
      <c r="E96" s="1521"/>
      <c r="F96" s="1524">
        <v>10000</v>
      </c>
      <c r="G96" s="1526">
        <v>0.11</v>
      </c>
      <c r="H96" s="1521">
        <f t="shared" si="7"/>
        <v>1100</v>
      </c>
      <c r="I96" s="1521"/>
      <c r="J96" s="1521"/>
    </row>
    <row r="97" spans="1:10" ht="14.25">
      <c r="A97" s="1515"/>
      <c r="B97" s="1521"/>
      <c r="C97" s="1521">
        <v>6</v>
      </c>
      <c r="D97" s="1521" t="s">
        <v>213</v>
      </c>
      <c r="E97" s="1521"/>
      <c r="F97" s="1524"/>
      <c r="G97" s="1526">
        <v>6.5000000000000002E-2</v>
      </c>
      <c r="H97" s="1521">
        <f t="shared" si="7"/>
        <v>0</v>
      </c>
      <c r="I97" s="1521"/>
      <c r="J97" s="1521"/>
    </row>
    <row r="98" spans="1:10" ht="19.899999999999999" customHeight="1">
      <c r="A98" s="1515"/>
      <c r="B98" s="1527"/>
      <c r="C98" s="1527"/>
      <c r="D98" s="1527" t="s">
        <v>968</v>
      </c>
      <c r="E98" s="1527"/>
      <c r="F98" s="1534">
        <f>SUM(F92:F97)</f>
        <v>53000</v>
      </c>
      <c r="G98" s="1541">
        <f>H98/F98</f>
        <v>8.5283018867924526E-2</v>
      </c>
      <c r="H98" s="1527">
        <f>SUM(H92:H97)</f>
        <v>4520</v>
      </c>
      <c r="I98" s="1527">
        <f>SUM(I92:I97)</f>
        <v>5600</v>
      </c>
      <c r="J98" s="1521"/>
    </row>
  </sheetData>
  <mergeCells count="5">
    <mergeCell ref="B1:K1"/>
    <mergeCell ref="B2:H2"/>
    <mergeCell ref="D79:E79"/>
    <mergeCell ref="B82:D82"/>
    <mergeCell ref="B83:D83"/>
  </mergeCells>
  <pageMargins left="0.78740157499999996" right="0.78740157499999996" top="0.984251969" bottom="0.984251969" header="0.4921259845" footer="0.4921259845"/>
  <pageSetup paperSize="9" orientation="portrait" horizontalDpi="4294967293" verticalDpi="96" r:id="rId1"/>
  <headerFooter alignWithMargins="0">
    <oddHeader>&amp;L&amp;F&amp;R&amp;A</oddHeader>
    <oddFooter>&amp;LZur Verfügung gestellt durch Rüdiger ADAMY, Hannover&amp;R&amp;D</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E3119-705C-40B4-BB50-F11875C7A684}">
  <dimension ref="A2:G26"/>
  <sheetViews>
    <sheetView topLeftCell="A7" zoomScaleNormal="100" workbookViewId="0">
      <selection activeCell="D20" sqref="D20"/>
    </sheetView>
  </sheetViews>
  <sheetFormatPr defaultRowHeight="12.75"/>
  <cols>
    <col min="1" max="1" width="17.42578125" customWidth="1"/>
    <col min="2" max="6" width="11.42578125" customWidth="1"/>
    <col min="7" max="7" width="3.28515625" customWidth="1"/>
    <col min="8" max="256" width="11.42578125" customWidth="1"/>
  </cols>
  <sheetData>
    <row r="2" spans="1:7">
      <c r="A2" s="2628" t="s">
        <v>969</v>
      </c>
      <c r="B2" s="2629"/>
      <c r="C2" s="2629"/>
      <c r="D2" s="2629"/>
      <c r="E2" s="2629"/>
      <c r="F2" s="2629"/>
      <c r="G2" s="2629"/>
    </row>
    <row r="3" spans="1:7" ht="13.5" thickBot="1">
      <c r="G3" s="1766"/>
    </row>
    <row r="4" spans="1:7" ht="13.5" thickBot="1">
      <c r="A4" s="1767"/>
      <c r="B4" s="1767"/>
      <c r="C4" s="1768"/>
      <c r="D4" s="1769" t="s">
        <v>970</v>
      </c>
      <c r="E4" s="1768"/>
      <c r="G4" s="1766"/>
    </row>
    <row r="5" spans="1:7" ht="13.5" thickBot="1">
      <c r="A5" s="1767"/>
      <c r="B5" s="1767"/>
      <c r="C5" s="1768"/>
      <c r="D5" s="1768"/>
      <c r="E5" s="1768"/>
      <c r="G5" s="1766"/>
    </row>
    <row r="6" spans="1:7" ht="13.5" thickBot="1">
      <c r="A6" s="1770" t="s">
        <v>971</v>
      </c>
      <c r="B6" s="1767"/>
      <c r="C6" s="1771">
        <f>'Ertragsv. 2027'!O23</f>
        <v>0</v>
      </c>
      <c r="D6" s="1768"/>
      <c r="E6" s="1771">
        <f>'Ertragsv. 2027'!O23</f>
        <v>0</v>
      </c>
      <c r="G6" s="1766"/>
    </row>
    <row r="7" spans="1:7" ht="13.5" thickBot="1">
      <c r="A7" s="1770" t="s">
        <v>972</v>
      </c>
      <c r="B7" s="1767"/>
      <c r="C7" s="1768"/>
      <c r="D7" s="1768"/>
      <c r="E7" s="1768"/>
      <c r="G7" s="1766"/>
    </row>
    <row r="8" spans="1:7" ht="13.5" thickBot="1">
      <c r="A8" s="1770" t="s">
        <v>973</v>
      </c>
      <c r="B8" s="1767"/>
      <c r="C8" s="1768"/>
      <c r="D8" s="1768"/>
      <c r="E8" s="1768"/>
      <c r="G8" s="1766"/>
    </row>
    <row r="9" spans="1:7" ht="13.5" thickBot="1">
      <c r="A9" s="2630" t="s">
        <v>974</v>
      </c>
      <c r="B9" s="2631"/>
      <c r="C9" s="1768"/>
      <c r="D9" s="1768"/>
      <c r="E9" s="1768"/>
      <c r="G9" s="1766"/>
    </row>
    <row r="10" spans="1:7" ht="13.5" thickBot="1">
      <c r="A10" s="2630" t="s">
        <v>975</v>
      </c>
      <c r="B10" s="2631"/>
      <c r="C10" s="1768"/>
      <c r="D10" s="1768"/>
      <c r="E10" s="1768"/>
      <c r="G10" s="1766"/>
    </row>
    <row r="11" spans="1:7" ht="13.5" thickBot="1">
      <c r="A11" s="1770" t="s">
        <v>976</v>
      </c>
      <c r="B11" s="1767"/>
      <c r="D11" s="1768"/>
      <c r="E11" s="1768"/>
      <c r="G11" s="1766"/>
    </row>
    <row r="12" spans="1:7" ht="13.5" thickBot="1">
      <c r="A12" s="1767"/>
      <c r="B12" s="1767"/>
      <c r="C12" s="1768"/>
      <c r="D12" s="1768"/>
      <c r="E12" s="1768"/>
      <c r="G12" s="1766"/>
    </row>
    <row r="13" spans="1:7" ht="13.5" thickBot="1">
      <c r="A13" s="1770" t="s">
        <v>977</v>
      </c>
      <c r="B13" s="1767"/>
      <c r="C13" s="1768">
        <v>24500</v>
      </c>
      <c r="D13" s="1768"/>
      <c r="E13" s="1768"/>
      <c r="G13" s="1766"/>
    </row>
    <row r="14" spans="1:7" ht="13.5" thickBot="1">
      <c r="A14" s="1767"/>
      <c r="B14" s="1767"/>
      <c r="C14" s="1768"/>
      <c r="D14" s="1768"/>
      <c r="E14" s="1768"/>
      <c r="G14" s="1766"/>
    </row>
    <row r="15" spans="1:7" ht="13.5" thickBot="1">
      <c r="A15" s="2630" t="s">
        <v>978</v>
      </c>
      <c r="B15" s="2631"/>
      <c r="C15" s="1771">
        <f>C6-C13</f>
        <v>-24500</v>
      </c>
      <c r="D15" s="1772"/>
      <c r="E15" s="1771">
        <f>E6</f>
        <v>0</v>
      </c>
      <c r="G15" s="1766"/>
    </row>
    <row r="16" spans="1:7" ht="13.5" thickBot="1">
      <c r="A16" s="1767"/>
      <c r="B16" s="1767"/>
      <c r="C16" s="1768"/>
      <c r="D16" s="1772"/>
      <c r="E16" s="1768"/>
      <c r="G16" s="1766"/>
    </row>
    <row r="17" spans="1:7" ht="13.5" thickBot="1">
      <c r="A17" s="2630" t="s">
        <v>979</v>
      </c>
      <c r="B17" s="2631"/>
      <c r="C17" s="1773">
        <f>C15*D17</f>
        <v>-857.50000000000011</v>
      </c>
      <c r="D17" s="1774">
        <v>3.5000000000000003E-2</v>
      </c>
      <c r="E17" s="1773">
        <f>E15*D17</f>
        <v>0</v>
      </c>
      <c r="G17" s="1766"/>
    </row>
    <row r="18" spans="1:7" ht="13.5" thickBot="1">
      <c r="A18" s="1767"/>
      <c r="B18" s="1767"/>
      <c r="C18" s="1773"/>
      <c r="D18" s="1772"/>
      <c r="E18" s="1773"/>
      <c r="G18" s="1766"/>
    </row>
    <row r="19" spans="1:7" ht="13.5" thickBot="1">
      <c r="A19" s="2630" t="s">
        <v>980</v>
      </c>
      <c r="B19" s="2631"/>
      <c r="C19" s="1773">
        <f>C17*D19</f>
        <v>-4116</v>
      </c>
      <c r="D19" s="1775">
        <v>4.8</v>
      </c>
      <c r="E19" s="1773">
        <f>E17*D19</f>
        <v>0</v>
      </c>
      <c r="G19" s="1766"/>
    </row>
    <row r="20" spans="1:7" ht="13.5" thickBot="1">
      <c r="A20" s="1767"/>
      <c r="B20" s="1767"/>
      <c r="C20" s="1768"/>
      <c r="D20" s="1772"/>
      <c r="E20" s="1768"/>
      <c r="G20" s="1766"/>
    </row>
    <row r="21" spans="1:7" ht="13.5" thickBot="1">
      <c r="A21" s="2626" t="s">
        <v>981</v>
      </c>
      <c r="B21" s="2627"/>
      <c r="C21" s="1768"/>
      <c r="D21" s="1772"/>
      <c r="E21" s="1768"/>
      <c r="G21" s="1766"/>
    </row>
    <row r="22" spans="1:7" ht="13.5" thickBot="1">
      <c r="A22" s="2627"/>
      <c r="B22" s="2627"/>
      <c r="C22" s="1768"/>
      <c r="D22" s="1772"/>
      <c r="E22" s="1768"/>
      <c r="G22" s="1766"/>
    </row>
    <row r="23" spans="1:7" ht="13.5" thickBot="1">
      <c r="A23" s="2627"/>
      <c r="B23" s="2627"/>
      <c r="C23" s="1776">
        <f>C17*D23</f>
        <v>-3258.5000000000005</v>
      </c>
      <c r="D23" s="1772">
        <v>3.8</v>
      </c>
      <c r="E23" s="1768"/>
      <c r="F23" s="1602"/>
      <c r="G23" s="1766"/>
    </row>
    <row r="24" spans="1:7" ht="13.5" thickBot="1">
      <c r="A24" s="1767"/>
      <c r="B24" s="1767"/>
      <c r="C24" s="1768"/>
      <c r="D24" s="1772"/>
      <c r="E24" s="1768"/>
      <c r="G24" s="1766"/>
    </row>
    <row r="25" spans="1:7" ht="16.5" thickBot="1">
      <c r="A25" s="1777" t="s">
        <v>982</v>
      </c>
      <c r="B25" s="1777"/>
      <c r="C25" s="1778">
        <f>C19-C23</f>
        <v>-857.49999999999955</v>
      </c>
      <c r="D25" s="1779"/>
      <c r="E25" s="1779">
        <f>E19-E23</f>
        <v>0</v>
      </c>
      <c r="G25" s="1766"/>
    </row>
    <row r="26" spans="1:7">
      <c r="A26" s="1766"/>
      <c r="B26" s="1766"/>
      <c r="C26" s="1780" t="e">
        <f>C25/C6</f>
        <v>#DIV/0!</v>
      </c>
      <c r="D26" s="1766"/>
      <c r="E26" s="1780" t="e">
        <f>E25/E6</f>
        <v>#DIV/0!</v>
      </c>
      <c r="F26" s="1766"/>
      <c r="G26" s="1766"/>
    </row>
  </sheetData>
  <mergeCells count="7">
    <mergeCell ref="A21:B23"/>
    <mergeCell ref="A2:G2"/>
    <mergeCell ref="A9:B9"/>
    <mergeCell ref="A10:B10"/>
    <mergeCell ref="A15:B15"/>
    <mergeCell ref="A17:B17"/>
    <mergeCell ref="A19:B19"/>
  </mergeCells>
  <pageMargins left="0.7" right="0.7" top="0.78740157499999996" bottom="0.78740157499999996" header="0.3" footer="0.3"/>
  <pageSetup paperSize="9" orientation="portrait" verticalDpi="0" r:id="rId1"/>
  <headerFooter>
    <oddHeader>&amp;L&amp;F&amp;R&amp;A</oddHeader>
    <oddFooter>&amp;LZur Verfügung gestellt durch Rüdiger ADAMY, Hannover&amp;R&amp;D</oddFooter>
  </headerFooter>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819AF-432C-4D9D-B7AF-35CB0B4A16A2}">
  <dimension ref="A3:K30"/>
  <sheetViews>
    <sheetView workbookViewId="0">
      <selection activeCell="K18" sqref="K18"/>
    </sheetView>
  </sheetViews>
  <sheetFormatPr defaultColWidth="11.5703125" defaultRowHeight="15"/>
  <cols>
    <col min="1" max="1" width="9.7109375" style="1863" customWidth="1"/>
    <col min="2" max="16384" width="11.5703125" style="1863"/>
  </cols>
  <sheetData>
    <row r="3" spans="1:10">
      <c r="B3" s="2157" t="s">
        <v>80</v>
      </c>
      <c r="C3" s="2158"/>
      <c r="D3" s="2158"/>
      <c r="E3" s="2158"/>
      <c r="F3" s="2158"/>
      <c r="G3" s="2158"/>
      <c r="H3" s="2158"/>
      <c r="I3" s="2158"/>
      <c r="J3" s="2158"/>
    </row>
    <row r="4" spans="1:10">
      <c r="B4" s="2158"/>
      <c r="C4" s="2158"/>
      <c r="D4" s="2158"/>
      <c r="E4" s="2158"/>
      <c r="F4" s="2158"/>
      <c r="G4" s="2158"/>
      <c r="H4" s="2158"/>
      <c r="I4" s="2158"/>
      <c r="J4" s="2158"/>
    </row>
    <row r="7" spans="1:10">
      <c r="B7" s="2156" t="s">
        <v>81</v>
      </c>
      <c r="C7" s="2156"/>
      <c r="D7" s="2156"/>
      <c r="E7" s="2156"/>
      <c r="F7" s="2156"/>
      <c r="G7" s="2156"/>
      <c r="H7" s="2156"/>
      <c r="I7" s="2156"/>
      <c r="J7" s="2156"/>
    </row>
    <row r="8" spans="1:10">
      <c r="A8" s="1864" t="s">
        <v>82</v>
      </c>
      <c r="B8" s="2156"/>
      <c r="C8" s="2156"/>
      <c r="D8" s="2156"/>
      <c r="E8" s="2156"/>
      <c r="F8" s="2156"/>
      <c r="G8" s="2156"/>
      <c r="H8" s="2156"/>
      <c r="I8" s="2156"/>
      <c r="J8" s="2156"/>
    </row>
    <row r="9" spans="1:10">
      <c r="B9" s="2156"/>
      <c r="C9" s="2156"/>
      <c r="D9" s="2156"/>
      <c r="E9" s="2156"/>
      <c r="F9" s="2156"/>
      <c r="G9" s="2156"/>
      <c r="H9" s="2156"/>
      <c r="I9" s="2156"/>
      <c r="J9" s="2156"/>
    </row>
    <row r="10" spans="1:10">
      <c r="B10" s="2156"/>
      <c r="C10" s="2156"/>
      <c r="D10" s="2156"/>
      <c r="E10" s="2156"/>
      <c r="F10" s="2156"/>
      <c r="G10" s="2156"/>
      <c r="H10" s="2156"/>
      <c r="I10" s="2156"/>
      <c r="J10" s="2156"/>
    </row>
    <row r="11" spans="1:10">
      <c r="B11" s="1865"/>
      <c r="C11" s="1865"/>
      <c r="D11" s="1865"/>
      <c r="E11" s="1865"/>
      <c r="F11" s="1865"/>
      <c r="G11" s="1865"/>
      <c r="H11" s="1865"/>
      <c r="I11" s="1865"/>
      <c r="J11" s="1865"/>
    </row>
    <row r="12" spans="1:10">
      <c r="A12" s="1864" t="s">
        <v>83</v>
      </c>
      <c r="B12" s="2156" t="s">
        <v>84</v>
      </c>
      <c r="C12" s="2156"/>
      <c r="D12" s="2156"/>
      <c r="E12" s="2156"/>
      <c r="F12" s="2156"/>
      <c r="G12" s="2156"/>
      <c r="H12" s="2156"/>
      <c r="I12" s="2156"/>
      <c r="J12" s="2156"/>
    </row>
    <row r="13" spans="1:10">
      <c r="B13" s="2156"/>
      <c r="C13" s="2156"/>
      <c r="D13" s="2156"/>
      <c r="E13" s="2156"/>
      <c r="F13" s="2156"/>
      <c r="G13" s="2156"/>
      <c r="H13" s="2156"/>
      <c r="I13" s="2156"/>
      <c r="J13" s="2156"/>
    </row>
    <row r="14" spans="1:10">
      <c r="B14" s="2156"/>
      <c r="C14" s="2156"/>
      <c r="D14" s="2156"/>
      <c r="E14" s="2156"/>
      <c r="F14" s="2156"/>
      <c r="G14" s="2156"/>
      <c r="H14" s="2156"/>
      <c r="I14" s="2156"/>
      <c r="J14" s="2156"/>
    </row>
    <row r="15" spans="1:10">
      <c r="B15" s="2156"/>
      <c r="C15" s="2156"/>
      <c r="D15" s="2156"/>
      <c r="E15" s="2156"/>
      <c r="F15" s="2156"/>
      <c r="G15" s="2156"/>
      <c r="H15" s="2156"/>
      <c r="I15" s="2156"/>
      <c r="J15" s="2156"/>
    </row>
    <row r="16" spans="1:10">
      <c r="B16" s="1865"/>
      <c r="C16" s="1865"/>
      <c r="D16" s="1865"/>
      <c r="E16" s="1865"/>
      <c r="F16" s="1865"/>
      <c r="G16" s="1865"/>
      <c r="H16" s="1865"/>
      <c r="I16" s="1865"/>
      <c r="J16" s="1865"/>
    </row>
    <row r="17" spans="1:11">
      <c r="B17" s="2156" t="s">
        <v>85</v>
      </c>
      <c r="C17" s="2156"/>
      <c r="D17" s="2156"/>
      <c r="E17" s="2156"/>
      <c r="F17" s="2156"/>
      <c r="G17" s="2156"/>
      <c r="H17" s="2156"/>
      <c r="I17" s="2156"/>
      <c r="J17" s="2156"/>
    </row>
    <row r="18" spans="1:11">
      <c r="A18" s="1864" t="s">
        <v>86</v>
      </c>
      <c r="B18" s="2156"/>
      <c r="C18" s="2156"/>
      <c r="D18" s="2156"/>
      <c r="E18" s="2156"/>
      <c r="F18" s="2156"/>
      <c r="G18" s="2156"/>
      <c r="H18" s="2156"/>
      <c r="I18" s="2156"/>
      <c r="J18" s="2156"/>
      <c r="K18" s="1866" t="s">
        <v>983</v>
      </c>
    </row>
    <row r="19" spans="1:11">
      <c r="B19" s="2156"/>
      <c r="C19" s="2156"/>
      <c r="D19" s="2156"/>
      <c r="E19" s="2156"/>
      <c r="F19" s="2156"/>
      <c r="G19" s="2156"/>
      <c r="H19" s="2156"/>
      <c r="I19" s="2156"/>
      <c r="J19" s="2156"/>
    </row>
    <row r="20" spans="1:11">
      <c r="B20" s="2156"/>
      <c r="C20" s="2156"/>
      <c r="D20" s="2156"/>
      <c r="E20" s="2156"/>
      <c r="F20" s="2156"/>
      <c r="G20" s="2156"/>
      <c r="H20" s="2156"/>
      <c r="I20" s="2156"/>
      <c r="J20" s="2156"/>
    </row>
    <row r="22" spans="1:11" ht="14.45" customHeight="1">
      <c r="B22" s="2156" t="s">
        <v>984</v>
      </c>
      <c r="C22" s="2156"/>
      <c r="D22" s="2156"/>
      <c r="E22" s="2156"/>
      <c r="F22" s="2156"/>
      <c r="G22" s="2156"/>
      <c r="H22" s="2156"/>
      <c r="I22" s="2156"/>
      <c r="J22" s="2156"/>
    </row>
    <row r="23" spans="1:11" ht="14.45" customHeight="1">
      <c r="B23" s="2156"/>
      <c r="C23" s="2156"/>
      <c r="D23" s="2156"/>
      <c r="E23" s="2156"/>
      <c r="F23" s="2156"/>
      <c r="G23" s="2156"/>
      <c r="H23" s="2156"/>
      <c r="I23" s="2156"/>
      <c r="J23" s="2156"/>
    </row>
    <row r="24" spans="1:11" ht="14.45" customHeight="1">
      <c r="A24" s="1864" t="s">
        <v>88</v>
      </c>
      <c r="B24" s="2156"/>
      <c r="C24" s="2156"/>
      <c r="D24" s="2156"/>
      <c r="E24" s="2156"/>
      <c r="F24" s="2156"/>
      <c r="G24" s="2156"/>
      <c r="H24" s="2156"/>
      <c r="I24" s="2156"/>
      <c r="J24" s="2156"/>
    </row>
    <row r="25" spans="1:11" ht="14.45" customHeight="1">
      <c r="B25" s="2156"/>
      <c r="C25" s="2156"/>
      <c r="D25" s="2156"/>
      <c r="E25" s="2156"/>
      <c r="F25" s="2156"/>
      <c r="G25" s="2156"/>
      <c r="H25" s="2156"/>
      <c r="I25" s="2156"/>
      <c r="J25" s="2156"/>
    </row>
    <row r="27" spans="1:11">
      <c r="B27" s="2156" t="s">
        <v>89</v>
      </c>
      <c r="C27" s="2156"/>
      <c r="D27" s="2156"/>
      <c r="E27" s="2156"/>
      <c r="F27" s="2156"/>
      <c r="G27" s="2156"/>
      <c r="H27" s="2156"/>
      <c r="I27" s="2156"/>
      <c r="J27" s="2156"/>
    </row>
    <row r="28" spans="1:11">
      <c r="B28" s="2156"/>
      <c r="C28" s="2156"/>
      <c r="D28" s="2156"/>
      <c r="E28" s="2156"/>
      <c r="F28" s="2156"/>
      <c r="G28" s="2156"/>
      <c r="H28" s="2156"/>
      <c r="I28" s="2156"/>
      <c r="J28" s="2156"/>
    </row>
    <row r="29" spans="1:11">
      <c r="A29" s="1864" t="s">
        <v>90</v>
      </c>
      <c r="B29" s="2156"/>
      <c r="C29" s="2156"/>
      <c r="D29" s="2156"/>
      <c r="E29" s="2156"/>
      <c r="F29" s="2156"/>
      <c r="G29" s="2156"/>
      <c r="H29" s="2156"/>
      <c r="I29" s="2156"/>
      <c r="J29" s="2156"/>
    </row>
    <row r="30" spans="1:11">
      <c r="B30" s="2156"/>
      <c r="C30" s="2156"/>
      <c r="D30" s="2156"/>
      <c r="E30" s="2156"/>
      <c r="F30" s="2156"/>
      <c r="G30" s="2156"/>
      <c r="H30" s="2156"/>
      <c r="I30" s="2156"/>
      <c r="J30" s="2156"/>
    </row>
  </sheetData>
  <mergeCells count="6">
    <mergeCell ref="B27:J30"/>
    <mergeCell ref="B3:J4"/>
    <mergeCell ref="B7:J10"/>
    <mergeCell ref="B12:J15"/>
    <mergeCell ref="B17:J20"/>
    <mergeCell ref="B22:J25"/>
  </mergeCells>
  <hyperlinks>
    <hyperlink ref="K18" location="Telef.Akquiese!A1" display="Telef.Akquiese!A1" xr:uid="{26186E05-1E7E-4412-8E37-8428EEBD21E4}"/>
  </hyperlinks>
  <pageMargins left="0.7" right="0.7" top="0.78740157499999996" bottom="0.78740157499999996"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F80AA-E0B7-4239-BA08-CEAACAF4D828}">
  <dimension ref="A1:M43"/>
  <sheetViews>
    <sheetView workbookViewId="0">
      <selection sqref="A1:J1"/>
    </sheetView>
  </sheetViews>
  <sheetFormatPr defaultColWidth="11.5703125" defaultRowHeight="12.75"/>
  <cols>
    <col min="1" max="5" width="11.5703125" style="1517"/>
    <col min="6" max="6" width="12.7109375" style="1517" customWidth="1"/>
    <col min="7" max="16384" width="11.5703125" style="1517"/>
  </cols>
  <sheetData>
    <row r="1" spans="1:10" ht="25.5" customHeight="1">
      <c r="A1" s="2635" t="s">
        <v>985</v>
      </c>
      <c r="B1" s="2635"/>
      <c r="C1" s="2635"/>
      <c r="D1" s="2635"/>
      <c r="E1" s="2635"/>
      <c r="F1" s="2635"/>
      <c r="G1" s="2635"/>
      <c r="H1" s="2635"/>
      <c r="I1" s="2636"/>
      <c r="J1" s="2636"/>
    </row>
    <row r="3" spans="1:10" ht="15">
      <c r="A3" s="2637" t="s">
        <v>986</v>
      </c>
      <c r="B3" s="2637"/>
      <c r="C3" s="2637"/>
      <c r="D3" s="2637"/>
      <c r="E3" s="2637"/>
      <c r="F3" s="2637"/>
      <c r="I3" s="1515"/>
      <c r="J3" s="1515"/>
    </row>
    <row r="4" spans="1:10" ht="13.5" thickBot="1">
      <c r="I4" s="1515"/>
      <c r="J4" s="1515"/>
    </row>
    <row r="5" spans="1:10" ht="13.5" thickBot="1">
      <c r="B5" s="2632" t="s">
        <v>987</v>
      </c>
      <c r="C5" s="2632"/>
      <c r="D5" s="2632"/>
      <c r="E5" s="2632"/>
      <c r="F5" s="2632"/>
      <c r="I5" s="1867">
        <v>3000</v>
      </c>
      <c r="J5" s="1515"/>
    </row>
    <row r="6" spans="1:10" ht="13.5" thickBot="1">
      <c r="I6" s="1515"/>
      <c r="J6" s="1515"/>
    </row>
    <row r="7" spans="1:10" ht="13.5" thickBot="1">
      <c r="B7" s="2632" t="s">
        <v>988</v>
      </c>
      <c r="C7" s="2632"/>
      <c r="D7" s="2632"/>
      <c r="E7" s="2632"/>
      <c r="F7" s="2632"/>
      <c r="I7" s="1867">
        <v>300</v>
      </c>
      <c r="J7" s="1515"/>
    </row>
    <row r="8" spans="1:10">
      <c r="I8" s="1515"/>
      <c r="J8" s="1515"/>
    </row>
    <row r="9" spans="1:10">
      <c r="B9" s="2632" t="s">
        <v>989</v>
      </c>
      <c r="C9" s="2632"/>
      <c r="D9" s="2632"/>
      <c r="E9" s="2632"/>
      <c r="F9" s="2632"/>
      <c r="I9" s="1868">
        <f>I5/I7</f>
        <v>10</v>
      </c>
      <c r="J9" s="1515"/>
    </row>
    <row r="10" spans="1:10">
      <c r="I10" s="1515"/>
      <c r="J10" s="1515"/>
    </row>
    <row r="11" spans="1:10">
      <c r="I11" s="1515"/>
      <c r="J11" s="1515"/>
    </row>
    <row r="12" spans="1:10" ht="15">
      <c r="A12" s="2637" t="s">
        <v>990</v>
      </c>
      <c r="B12" s="2637"/>
      <c r="C12" s="2637"/>
      <c r="D12" s="2637"/>
      <c r="E12" s="2637"/>
      <c r="F12" s="2637"/>
      <c r="I12" s="1515"/>
      <c r="J12" s="1515"/>
    </row>
    <row r="13" spans="1:10" ht="13.5" thickBot="1">
      <c r="I13" s="1515"/>
      <c r="J13" s="1515"/>
    </row>
    <row r="14" spans="1:10" ht="14.25" customHeight="1" thickBot="1">
      <c r="B14" s="2632" t="s">
        <v>991</v>
      </c>
      <c r="C14" s="2632"/>
      <c r="D14" s="2632"/>
      <c r="E14" s="2632"/>
      <c r="F14" s="2632"/>
      <c r="I14" s="1867">
        <v>5</v>
      </c>
      <c r="J14" s="1515"/>
    </row>
    <row r="15" spans="1:10" ht="19.5" customHeight="1">
      <c r="B15" s="2632" t="s">
        <v>992</v>
      </c>
      <c r="C15" s="2632"/>
      <c r="D15" s="2632"/>
      <c r="E15" s="2632"/>
      <c r="F15" s="2632"/>
      <c r="I15" s="1515"/>
      <c r="J15" s="1515"/>
    </row>
    <row r="16" spans="1:10" ht="13.5" thickBot="1">
      <c r="I16" s="1515"/>
      <c r="J16" s="1515"/>
    </row>
    <row r="17" spans="1:13" ht="33" customHeight="1" thickBot="1">
      <c r="B17" s="2638" t="s">
        <v>993</v>
      </c>
      <c r="C17" s="2638"/>
      <c r="D17" s="2638"/>
      <c r="E17" s="2638"/>
      <c r="F17" s="2638"/>
      <c r="I17" s="1867">
        <v>5</v>
      </c>
      <c r="J17" s="1515"/>
    </row>
    <row r="18" spans="1:13" ht="13.5" thickBot="1">
      <c r="I18" s="1515"/>
      <c r="J18" s="1515"/>
    </row>
    <row r="19" spans="1:13" ht="13.15" customHeight="1" thickBot="1">
      <c r="B19" s="2638" t="s">
        <v>994</v>
      </c>
      <c r="C19" s="2638"/>
      <c r="D19" s="2638"/>
      <c r="E19" s="2638"/>
      <c r="F19" s="2638"/>
      <c r="I19" s="1867">
        <v>5</v>
      </c>
      <c r="J19" s="1515"/>
      <c r="L19" s="2639" t="s">
        <v>995</v>
      </c>
      <c r="M19" s="2640"/>
    </row>
    <row r="20" spans="1:13">
      <c r="B20" s="2638"/>
      <c r="C20" s="2638"/>
      <c r="D20" s="2638"/>
      <c r="E20" s="2638"/>
      <c r="F20" s="2638"/>
      <c r="I20" s="1515"/>
      <c r="J20" s="1515"/>
      <c r="L20" s="2640"/>
      <c r="M20" s="2640"/>
    </row>
    <row r="21" spans="1:13" ht="13.5" thickBot="1">
      <c r="I21" s="1515"/>
      <c r="J21" s="1515"/>
      <c r="L21" s="2640"/>
      <c r="M21" s="2640"/>
    </row>
    <row r="22" spans="1:13" ht="13.5" thickBot="1">
      <c r="B22" s="2632" t="s">
        <v>996</v>
      </c>
      <c r="C22" s="2632"/>
      <c r="D22" s="2632"/>
      <c r="E22" s="2632"/>
      <c r="F22" s="2632"/>
      <c r="I22" s="1869">
        <f>I19*I17*I14*I9</f>
        <v>1250</v>
      </c>
      <c r="J22" s="1515"/>
      <c r="L22" s="2633">
        <v>0</v>
      </c>
      <c r="M22" s="2634"/>
    </row>
    <row r="23" spans="1:13">
      <c r="I23" s="1515"/>
      <c r="J23" s="1515"/>
    </row>
    <row r="24" spans="1:13" ht="15">
      <c r="A24" s="2637" t="s">
        <v>997</v>
      </c>
      <c r="B24" s="2637"/>
      <c r="C24" s="2637"/>
      <c r="D24" s="2637"/>
      <c r="E24" s="2637"/>
      <c r="F24" s="2637"/>
      <c r="I24" s="1515"/>
      <c r="J24" s="1515"/>
    </row>
    <row r="25" spans="1:13">
      <c r="I25" s="1515"/>
      <c r="J25" s="1515"/>
    </row>
    <row r="26" spans="1:13" ht="13.5" thickBot="1">
      <c r="B26" s="2632" t="s">
        <v>998</v>
      </c>
      <c r="C26" s="2632"/>
      <c r="D26" s="2632"/>
      <c r="E26" s="2632"/>
      <c r="F26" s="2632"/>
      <c r="I26" s="1515"/>
      <c r="J26" s="1515"/>
    </row>
    <row r="27" spans="1:13" ht="13.5" thickBot="1">
      <c r="B27" s="2632" t="s">
        <v>999</v>
      </c>
      <c r="C27" s="2632"/>
      <c r="D27" s="2632"/>
      <c r="E27" s="2632"/>
      <c r="F27" s="2632"/>
      <c r="I27" s="1869">
        <f>I22/20</f>
        <v>62.5</v>
      </c>
      <c r="J27" s="1515"/>
    </row>
    <row r="28" spans="1:13">
      <c r="I28" s="1515"/>
      <c r="J28" s="1515"/>
    </row>
    <row r="29" spans="1:13">
      <c r="I29" s="1515"/>
      <c r="J29" s="1515"/>
    </row>
    <row r="30" spans="1:13">
      <c r="I30" s="1515"/>
      <c r="J30" s="1515"/>
    </row>
    <row r="31" spans="1:13" ht="15" customHeight="1">
      <c r="A31" s="2641" t="s">
        <v>1000</v>
      </c>
      <c r="B31" s="2641"/>
      <c r="C31" s="2641"/>
      <c r="D31" s="2641"/>
      <c r="E31" s="2641"/>
      <c r="F31" s="2641"/>
      <c r="I31" s="1515"/>
      <c r="J31" s="1515"/>
    </row>
    <row r="32" spans="1:13" ht="13.5" thickBot="1">
      <c r="I32" s="1515"/>
      <c r="J32" s="1515"/>
    </row>
    <row r="33" spans="1:10" ht="13.5" thickBot="1">
      <c r="B33" s="1870" t="s">
        <v>1001</v>
      </c>
      <c r="C33" s="1870"/>
      <c r="D33" s="1871">
        <f>SUM(L22)</f>
        <v>0</v>
      </c>
      <c r="E33" s="1870" t="s">
        <v>1002</v>
      </c>
      <c r="F33" s="1870"/>
      <c r="I33" s="1869">
        <f>SUM(I27-(D33/20))</f>
        <v>62.5</v>
      </c>
      <c r="J33" s="1515"/>
    </row>
    <row r="34" spans="1:10">
      <c r="B34" s="1870" t="s">
        <v>1003</v>
      </c>
      <c r="C34" s="1870"/>
      <c r="D34" s="1870"/>
      <c r="E34" s="1870"/>
      <c r="F34" s="1870"/>
      <c r="I34" s="1515"/>
      <c r="J34" s="1515"/>
    </row>
    <row r="35" spans="1:10">
      <c r="B35" s="1870" t="s">
        <v>1004</v>
      </c>
      <c r="C35" s="1870"/>
      <c r="D35" s="1870"/>
      <c r="E35" s="1870"/>
      <c r="F35" s="1870"/>
      <c r="I35" s="1515"/>
      <c r="J35" s="1515"/>
    </row>
    <row r="36" spans="1:10">
      <c r="I36" s="1515"/>
      <c r="J36" s="1515"/>
    </row>
    <row r="37" spans="1:10">
      <c r="I37" s="1515"/>
      <c r="J37" s="1515"/>
    </row>
    <row r="38" spans="1:10">
      <c r="A38" s="2641" t="s">
        <v>1005</v>
      </c>
      <c r="B38" s="2641"/>
      <c r="C38" s="2641"/>
      <c r="D38" s="2641"/>
      <c r="E38" s="2641"/>
      <c r="F38" s="2641"/>
      <c r="I38" s="1515"/>
      <c r="J38" s="1515"/>
    </row>
    <row r="39" spans="1:10" ht="13.5" thickBot="1">
      <c r="I39" s="1515"/>
      <c r="J39" s="1515"/>
    </row>
    <row r="40" spans="1:10" ht="13.5" thickTop="1">
      <c r="B40" s="1870" t="s">
        <v>1006</v>
      </c>
      <c r="C40" s="1870"/>
      <c r="D40" s="1870"/>
      <c r="E40" s="1870"/>
      <c r="F40" s="1870"/>
      <c r="I40" s="1872"/>
      <c r="J40" s="1873"/>
    </row>
    <row r="41" spans="1:10">
      <c r="B41" s="1870" t="s">
        <v>1007</v>
      </c>
      <c r="C41" s="1870"/>
      <c r="D41" s="1870"/>
      <c r="E41" s="1870"/>
      <c r="F41" s="1870"/>
      <c r="I41" s="1874">
        <f>SUM(I33)*10</f>
        <v>625</v>
      </c>
      <c r="J41" s="1875" t="s">
        <v>1008</v>
      </c>
    </row>
    <row r="42" spans="1:10" ht="13.5" thickBot="1">
      <c r="I42" s="1876"/>
      <c r="J42" s="1877"/>
    </row>
    <row r="43" spans="1:10" ht="13.5" thickTop="1">
      <c r="I43" s="1515"/>
      <c r="J43" s="1515"/>
    </row>
  </sheetData>
  <mergeCells count="18">
    <mergeCell ref="A24:F24"/>
    <mergeCell ref="B26:F26"/>
    <mergeCell ref="B27:F27"/>
    <mergeCell ref="A31:F31"/>
    <mergeCell ref="A38:F38"/>
    <mergeCell ref="B22:F22"/>
    <mergeCell ref="L22:M22"/>
    <mergeCell ref="A1:J1"/>
    <mergeCell ref="A3:F3"/>
    <mergeCell ref="B5:F5"/>
    <mergeCell ref="B7:F7"/>
    <mergeCell ref="B9:F9"/>
    <mergeCell ref="A12:F12"/>
    <mergeCell ref="B14:F14"/>
    <mergeCell ref="B15:F15"/>
    <mergeCell ref="B17:F17"/>
    <mergeCell ref="B19:F20"/>
    <mergeCell ref="L19:M21"/>
  </mergeCells>
  <pageMargins left="0.78740157499999996" right="0.78740157499999996" top="0.984251969" bottom="0.984251969" header="0.4921259845" footer="0.4921259845"/>
  <pageSetup paperSize="9" orientation="portrait" verticalDpi="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19B72-CC80-4749-948E-4DCE44C06452}">
  <dimension ref="B3:H27"/>
  <sheetViews>
    <sheetView zoomScaleNormal="100" workbookViewId="0">
      <selection activeCell="G14" sqref="G14"/>
    </sheetView>
  </sheetViews>
  <sheetFormatPr defaultRowHeight="12.75"/>
  <cols>
    <col min="1" max="1" width="11.42578125" customWidth="1"/>
    <col min="2" max="2" width="21.7109375" customWidth="1"/>
    <col min="3" max="3" width="31" customWidth="1"/>
    <col min="4" max="4" width="23.5703125" customWidth="1"/>
    <col min="5" max="5" width="13.7109375" customWidth="1"/>
    <col min="6" max="256" width="11.42578125" customWidth="1"/>
  </cols>
  <sheetData>
    <row r="3" spans="2:8" ht="13.15" customHeight="1">
      <c r="B3" s="2642" t="s">
        <v>1009</v>
      </c>
      <c r="C3" s="2643"/>
      <c r="D3" s="2643"/>
      <c r="E3" s="2643"/>
      <c r="F3" s="2643"/>
      <c r="G3" s="2643"/>
      <c r="H3" s="2644"/>
    </row>
    <row r="4" spans="2:8" ht="15">
      <c r="B4" s="1485"/>
      <c r="C4" s="1486"/>
      <c r="D4" s="1486"/>
      <c r="E4" s="1486"/>
      <c r="F4" s="1486"/>
      <c r="G4" s="1486"/>
      <c r="H4" s="1487"/>
    </row>
    <row r="5" spans="2:8" ht="15">
      <c r="B5" s="1485"/>
      <c r="C5" s="1486"/>
      <c r="D5" s="1486"/>
      <c r="E5" s="1486"/>
      <c r="F5" s="1486"/>
      <c r="G5" s="1486"/>
      <c r="H5" s="1487"/>
    </row>
    <row r="6" spans="2:8" ht="15.75" thickBot="1">
      <c r="B6" s="1485"/>
      <c r="C6" s="1486"/>
      <c r="D6" s="1486"/>
      <c r="E6" s="1486"/>
      <c r="F6" s="1486"/>
      <c r="G6" s="1486"/>
      <c r="H6" s="1487"/>
    </row>
    <row r="7" spans="2:8" ht="15.75" thickTop="1">
      <c r="B7" s="1488" t="s">
        <v>1010</v>
      </c>
      <c r="C7" s="1489" t="s">
        <v>1011</v>
      </c>
      <c r="D7" s="1490" t="s">
        <v>1012</v>
      </c>
      <c r="E7" s="1491"/>
      <c r="F7" s="1486" t="s">
        <v>1013</v>
      </c>
      <c r="G7" s="1492" t="s">
        <v>1014</v>
      </c>
      <c r="H7" s="1487"/>
    </row>
    <row r="8" spans="2:8" ht="15.75" thickBot="1">
      <c r="B8" s="1493" t="s">
        <v>1015</v>
      </c>
      <c r="C8" s="1494"/>
      <c r="D8" s="1495"/>
      <c r="E8" s="1486"/>
      <c r="F8" s="1486"/>
      <c r="G8" s="1486"/>
      <c r="H8" s="1487"/>
    </row>
    <row r="9" spans="2:8" ht="16.5" thickTop="1" thickBot="1">
      <c r="B9" s="1485"/>
      <c r="C9" s="1486"/>
      <c r="D9" s="1486"/>
      <c r="E9" s="1486"/>
      <c r="F9" s="1486"/>
      <c r="G9" s="1486"/>
      <c r="H9" s="1487"/>
    </row>
    <row r="10" spans="2:8" ht="15.75" thickTop="1">
      <c r="B10" s="1488" t="s">
        <v>1016</v>
      </c>
      <c r="C10" s="1489" t="s">
        <v>1014</v>
      </c>
      <c r="D10" s="1496"/>
      <c r="E10" s="1491"/>
      <c r="F10" s="1486" t="s">
        <v>1017</v>
      </c>
      <c r="G10" s="1492" t="s">
        <v>1018</v>
      </c>
      <c r="H10" s="1487"/>
    </row>
    <row r="11" spans="2:8" ht="15.75" thickBot="1">
      <c r="B11" s="1497"/>
      <c r="C11" s="1494" t="s">
        <v>1019</v>
      </c>
      <c r="D11" s="1495" t="s">
        <v>1020</v>
      </c>
      <c r="E11" s="1486"/>
      <c r="F11" s="1486"/>
      <c r="G11" s="1486"/>
      <c r="H11" s="1487"/>
    </row>
    <row r="12" spans="2:8" ht="15.75" thickTop="1">
      <c r="B12" s="1485"/>
      <c r="C12" s="1486"/>
      <c r="D12" s="1486"/>
      <c r="E12" s="1486"/>
      <c r="F12" s="1486"/>
      <c r="G12" s="1486"/>
      <c r="H12" s="1487"/>
    </row>
    <row r="13" spans="2:8" ht="15.75" thickBot="1">
      <c r="B13" s="1485"/>
      <c r="C13" s="1486"/>
      <c r="D13" s="1486"/>
      <c r="E13" s="1486"/>
      <c r="F13" s="1486"/>
      <c r="G13" s="1486"/>
      <c r="H13" s="1487"/>
    </row>
    <row r="14" spans="2:8" ht="15.75" thickTop="1">
      <c r="B14" s="1488" t="s">
        <v>1021</v>
      </c>
      <c r="C14" s="1489" t="s">
        <v>646</v>
      </c>
      <c r="D14" s="1496"/>
      <c r="E14" s="1491"/>
      <c r="F14" s="1486" t="s">
        <v>1017</v>
      </c>
      <c r="G14" s="1492" t="s">
        <v>1022</v>
      </c>
      <c r="H14" s="1487"/>
    </row>
    <row r="15" spans="2:8" ht="15.75" thickBot="1">
      <c r="B15" s="1497"/>
      <c r="C15" s="1494"/>
      <c r="D15" s="1495"/>
      <c r="E15" s="1486"/>
      <c r="F15" s="1486"/>
      <c r="G15" s="1486"/>
      <c r="H15" s="1487"/>
    </row>
    <row r="16" spans="2:8" ht="15.75" thickTop="1">
      <c r="B16" s="1498"/>
      <c r="C16" s="1499"/>
      <c r="D16" s="1499"/>
      <c r="E16" s="1499"/>
      <c r="F16" s="1499"/>
      <c r="G16" s="1499"/>
      <c r="H16" s="1500"/>
    </row>
    <row r="17" spans="2:8" ht="15">
      <c r="B17" s="1501"/>
      <c r="C17" s="1501"/>
      <c r="D17" s="1501"/>
      <c r="E17" s="1501"/>
      <c r="F17" s="1501"/>
      <c r="G17" s="1501"/>
      <c r="H17" s="1501"/>
    </row>
    <row r="18" spans="2:8" ht="15">
      <c r="B18" s="1501"/>
      <c r="C18" s="1501"/>
      <c r="D18" s="1501"/>
      <c r="E18" s="1501"/>
      <c r="F18" s="1501"/>
      <c r="G18" s="1501"/>
      <c r="H18" s="1501"/>
    </row>
    <row r="19" spans="2:8" ht="15">
      <c r="B19" s="1501"/>
      <c r="C19" s="1501"/>
      <c r="D19" s="1501"/>
      <c r="E19" s="1501"/>
      <c r="F19" s="1501"/>
      <c r="G19" s="1501"/>
      <c r="H19" s="1501"/>
    </row>
    <row r="20" spans="2:8" ht="15">
      <c r="B20" s="1502"/>
      <c r="C20" s="1503"/>
      <c r="D20" s="2645" t="s">
        <v>1023</v>
      </c>
      <c r="E20" s="2645"/>
      <c r="F20" s="2645"/>
      <c r="G20" s="2645"/>
      <c r="H20" s="2646"/>
    </row>
    <row r="21" spans="2:8" ht="15">
      <c r="B21" s="1504"/>
      <c r="C21" s="1505"/>
      <c r="D21" s="1505"/>
      <c r="E21" s="1505"/>
      <c r="F21" s="1505"/>
      <c r="G21" s="1505"/>
      <c r="H21" s="1506"/>
    </row>
    <row r="22" spans="2:8" ht="15">
      <c r="B22" s="1504"/>
      <c r="C22" s="1505"/>
      <c r="D22" s="1505"/>
      <c r="E22" s="1505"/>
      <c r="F22" s="1505"/>
      <c r="G22" s="1505"/>
      <c r="H22" s="1506"/>
    </row>
    <row r="23" spans="2:8" ht="15">
      <c r="B23" s="1504" t="s">
        <v>1010</v>
      </c>
      <c r="C23" s="2647" t="s">
        <v>1024</v>
      </c>
      <c r="D23" s="2648"/>
      <c r="E23" s="1505" t="s">
        <v>1025</v>
      </c>
      <c r="F23" s="1505" t="s">
        <v>1026</v>
      </c>
      <c r="G23" s="1505"/>
      <c r="H23" s="1506"/>
    </row>
    <row r="24" spans="2:8" ht="15">
      <c r="B24" s="1504"/>
      <c r="C24" s="1505"/>
      <c r="D24" s="1505"/>
      <c r="E24" s="1505"/>
      <c r="F24" s="1505"/>
      <c r="G24" s="1505"/>
      <c r="H24" s="1506"/>
    </row>
    <row r="25" spans="2:8" ht="15">
      <c r="B25" s="1504"/>
      <c r="C25" s="1505"/>
      <c r="D25" s="1505"/>
      <c r="E25" s="1505"/>
      <c r="F25" s="1505"/>
      <c r="G25" s="1505"/>
      <c r="H25" s="1506"/>
    </row>
    <row r="26" spans="2:8" ht="15">
      <c r="B26" s="1504"/>
      <c r="C26" s="1505"/>
      <c r="D26" s="1505"/>
      <c r="E26" s="1505"/>
      <c r="F26" s="1505"/>
      <c r="G26" s="1505"/>
      <c r="H26" s="1506"/>
    </row>
    <row r="27" spans="2:8" ht="15">
      <c r="B27" s="1507"/>
      <c r="C27" s="1508"/>
      <c r="D27" s="1508"/>
      <c r="E27" s="1508"/>
      <c r="F27" s="1508"/>
      <c r="G27" s="1508"/>
      <c r="H27" s="1509"/>
    </row>
  </sheetData>
  <mergeCells count="3">
    <mergeCell ref="B3:H3"/>
    <mergeCell ref="D20:H20"/>
    <mergeCell ref="C23:D23"/>
  </mergeCells>
  <pageMargins left="0.7" right="0.7" top="0.78740157499999996" bottom="0.78740157499999996" header="0.3" footer="0.3"/>
  <pageSetup paperSize="9" orientation="portrait" verticalDpi="0" r:id="rId1"/>
  <headerFooter>
    <oddHeader>&amp;L&amp;F&amp;R&amp;A</oddHeader>
    <oddFooter>&amp;LZur Verfügung gestellt durch Rüdiger ADAMY, Hannover&amp;R&amp;D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27F4-3A11-42F4-AEF3-DC65FC583C03}">
  <dimension ref="A1:M43"/>
  <sheetViews>
    <sheetView workbookViewId="0">
      <selection activeCell="M26" sqref="M26"/>
    </sheetView>
  </sheetViews>
  <sheetFormatPr defaultColWidth="11.5703125" defaultRowHeight="12.75"/>
  <cols>
    <col min="1" max="5" width="11.5703125" style="2015"/>
    <col min="6" max="6" width="12.7109375" style="2015" customWidth="1"/>
    <col min="7" max="16384" width="11.5703125" style="2015"/>
  </cols>
  <sheetData>
    <row r="1" spans="1:10" ht="25.5" customHeight="1">
      <c r="A1" s="2655" t="s">
        <v>985</v>
      </c>
      <c r="B1" s="2655"/>
      <c r="C1" s="2655"/>
      <c r="D1" s="2655"/>
      <c r="E1" s="2655"/>
      <c r="F1" s="2655"/>
      <c r="G1" s="2655"/>
      <c r="H1" s="2655"/>
      <c r="I1" s="2636"/>
      <c r="J1" s="2636"/>
    </row>
    <row r="3" spans="1:10" ht="15">
      <c r="A3" s="2649" t="s">
        <v>986</v>
      </c>
      <c r="B3" s="2649"/>
      <c r="C3" s="2649"/>
      <c r="D3" s="2649"/>
      <c r="E3" s="2649"/>
      <c r="F3" s="2649"/>
      <c r="I3" s="2016"/>
      <c r="J3" s="2016"/>
    </row>
    <row r="4" spans="1:10" ht="13.5" thickBot="1">
      <c r="I4" s="2016"/>
      <c r="J4" s="2016"/>
    </row>
    <row r="5" spans="1:10" ht="13.5" thickBot="1">
      <c r="B5" s="2650" t="s">
        <v>987</v>
      </c>
      <c r="C5" s="2650"/>
      <c r="D5" s="2650"/>
      <c r="E5" s="2650"/>
      <c r="F5" s="2650"/>
      <c r="I5" s="2017">
        <v>3000</v>
      </c>
      <c r="J5" s="2016"/>
    </row>
    <row r="6" spans="1:10" ht="13.5" thickBot="1">
      <c r="I6" s="2016"/>
      <c r="J6" s="2016"/>
    </row>
    <row r="7" spans="1:10" ht="13.5" thickBot="1">
      <c r="B7" s="2650" t="s">
        <v>988</v>
      </c>
      <c r="C7" s="2650"/>
      <c r="D7" s="2650"/>
      <c r="E7" s="2650"/>
      <c r="F7" s="2650"/>
      <c r="I7" s="2017">
        <v>300</v>
      </c>
      <c r="J7" s="2016"/>
    </row>
    <row r="8" spans="1:10">
      <c r="I8" s="2016"/>
      <c r="J8" s="2016"/>
    </row>
    <row r="9" spans="1:10">
      <c r="B9" s="2650" t="s">
        <v>989</v>
      </c>
      <c r="C9" s="2650"/>
      <c r="D9" s="2650"/>
      <c r="E9" s="2650"/>
      <c r="F9" s="2650"/>
      <c r="I9" s="2018">
        <f>I5/I7</f>
        <v>10</v>
      </c>
      <c r="J9" s="2016"/>
    </row>
    <row r="10" spans="1:10">
      <c r="I10" s="2016"/>
      <c r="J10" s="2016"/>
    </row>
    <row r="11" spans="1:10">
      <c r="I11" s="2016"/>
      <c r="J11" s="2016"/>
    </row>
    <row r="12" spans="1:10" ht="15">
      <c r="A12" s="2649" t="s">
        <v>990</v>
      </c>
      <c r="B12" s="2649"/>
      <c r="C12" s="2649"/>
      <c r="D12" s="2649"/>
      <c r="E12" s="2649"/>
      <c r="F12" s="2649"/>
      <c r="I12" s="2016"/>
      <c r="J12" s="2016"/>
    </row>
    <row r="13" spans="1:10" ht="13.5" thickBot="1">
      <c r="I13" s="2016"/>
      <c r="J13" s="2016"/>
    </row>
    <row r="14" spans="1:10" ht="14.25" customHeight="1" thickBot="1">
      <c r="B14" s="2650" t="s">
        <v>991</v>
      </c>
      <c r="C14" s="2650"/>
      <c r="D14" s="2650"/>
      <c r="E14" s="2650"/>
      <c r="F14" s="2650"/>
      <c r="I14" s="2017">
        <v>5</v>
      </c>
      <c r="J14" s="2016"/>
    </row>
    <row r="15" spans="1:10" ht="19.5" customHeight="1">
      <c r="B15" s="2650" t="s">
        <v>992</v>
      </c>
      <c r="C15" s="2650"/>
      <c r="D15" s="2650"/>
      <c r="E15" s="2650"/>
      <c r="F15" s="2650"/>
      <c r="I15" s="2016"/>
      <c r="J15" s="2016"/>
    </row>
    <row r="16" spans="1:10" ht="13.5" thickBot="1">
      <c r="I16" s="2016"/>
      <c r="J16" s="2016"/>
    </row>
    <row r="17" spans="1:13" ht="33" customHeight="1" thickBot="1">
      <c r="B17" s="2656" t="s">
        <v>993</v>
      </c>
      <c r="C17" s="2656"/>
      <c r="D17" s="2656"/>
      <c r="E17" s="2656"/>
      <c r="F17" s="2656"/>
      <c r="I17" s="2017">
        <v>5</v>
      </c>
      <c r="J17" s="2016"/>
    </row>
    <row r="18" spans="1:13" ht="13.5" thickBot="1">
      <c r="I18" s="2016"/>
      <c r="J18" s="2016"/>
    </row>
    <row r="19" spans="1:13" ht="13.15" customHeight="1" thickBot="1">
      <c r="B19" s="2656" t="s">
        <v>994</v>
      </c>
      <c r="C19" s="2656"/>
      <c r="D19" s="2656"/>
      <c r="E19" s="2656"/>
      <c r="F19" s="2656"/>
      <c r="I19" s="2017">
        <v>5</v>
      </c>
      <c r="J19" s="2016"/>
      <c r="L19" s="2652" t="s">
        <v>995</v>
      </c>
      <c r="M19" s="2640"/>
    </row>
    <row r="20" spans="1:13">
      <c r="B20" s="2656"/>
      <c r="C20" s="2656"/>
      <c r="D20" s="2656"/>
      <c r="E20" s="2656"/>
      <c r="F20" s="2656"/>
      <c r="I20" s="2016"/>
      <c r="J20" s="2016"/>
      <c r="L20" s="2640"/>
      <c r="M20" s="2640"/>
    </row>
    <row r="21" spans="1:13" ht="13.5" thickBot="1">
      <c r="I21" s="2016"/>
      <c r="J21" s="2016"/>
      <c r="L21" s="2640"/>
      <c r="M21" s="2640"/>
    </row>
    <row r="22" spans="1:13" ht="13.5" thickBot="1">
      <c r="B22" s="2650" t="s">
        <v>996</v>
      </c>
      <c r="C22" s="2650"/>
      <c r="D22" s="2650"/>
      <c r="E22" s="2650"/>
      <c r="F22" s="2650"/>
      <c r="I22" s="2019">
        <f>I19*I17*I14*I9</f>
        <v>1250</v>
      </c>
      <c r="J22" s="2016"/>
      <c r="L22" s="2653">
        <v>0</v>
      </c>
      <c r="M22" s="2654"/>
    </row>
    <row r="23" spans="1:13">
      <c r="I23" s="2016"/>
      <c r="J23" s="2016"/>
    </row>
    <row r="24" spans="1:13" ht="15">
      <c r="A24" s="2649" t="s">
        <v>997</v>
      </c>
      <c r="B24" s="2649"/>
      <c r="C24" s="2649"/>
      <c r="D24" s="2649"/>
      <c r="E24" s="2649"/>
      <c r="F24" s="2649"/>
      <c r="I24" s="2016"/>
      <c r="J24" s="2016"/>
    </row>
    <row r="25" spans="1:13">
      <c r="I25" s="2016"/>
      <c r="J25" s="2016"/>
    </row>
    <row r="26" spans="1:13" ht="13.5" thickBot="1">
      <c r="B26" s="2650" t="s">
        <v>998</v>
      </c>
      <c r="C26" s="2650"/>
      <c r="D26" s="2650"/>
      <c r="E26" s="2650"/>
      <c r="F26" s="2650"/>
      <c r="I26" s="2016"/>
      <c r="J26" s="2016"/>
    </row>
    <row r="27" spans="1:13" ht="13.5" thickBot="1">
      <c r="B27" s="2650" t="s">
        <v>999</v>
      </c>
      <c r="C27" s="2650"/>
      <c r="D27" s="2650"/>
      <c r="E27" s="2650"/>
      <c r="F27" s="2650"/>
      <c r="I27" s="2019">
        <f>I22/20</f>
        <v>62.5</v>
      </c>
      <c r="J27" s="2016"/>
    </row>
    <row r="28" spans="1:13">
      <c r="I28" s="2016"/>
      <c r="J28" s="2016"/>
    </row>
    <row r="29" spans="1:13">
      <c r="I29" s="2016"/>
      <c r="J29" s="2016"/>
    </row>
    <row r="30" spans="1:13">
      <c r="I30" s="2016"/>
      <c r="J30" s="2016"/>
    </row>
    <row r="31" spans="1:13" ht="15" customHeight="1">
      <c r="A31" s="2651" t="s">
        <v>1000</v>
      </c>
      <c r="B31" s="2651"/>
      <c r="C31" s="2651"/>
      <c r="D31" s="2651"/>
      <c r="E31" s="2651"/>
      <c r="F31" s="2651"/>
      <c r="I31" s="2016"/>
      <c r="J31" s="2016"/>
    </row>
    <row r="32" spans="1:13" ht="13.5" thickBot="1">
      <c r="I32" s="2016"/>
      <c r="J32" s="2016"/>
    </row>
    <row r="33" spans="1:10" ht="13.5" thickBot="1">
      <c r="B33" s="2020" t="s">
        <v>1001</v>
      </c>
      <c r="C33" s="2020"/>
      <c r="D33" s="2021">
        <f>SUM(L22)</f>
        <v>0</v>
      </c>
      <c r="E33" s="2020" t="s">
        <v>1002</v>
      </c>
      <c r="F33" s="2020"/>
      <c r="I33" s="2019">
        <f>SUM(I27-(D33/20))</f>
        <v>62.5</v>
      </c>
      <c r="J33" s="2016"/>
    </row>
    <row r="34" spans="1:10">
      <c r="B34" s="2020" t="s">
        <v>1003</v>
      </c>
      <c r="C34" s="2020"/>
      <c r="D34" s="2020"/>
      <c r="E34" s="2020"/>
      <c r="F34" s="2020"/>
      <c r="I34" s="2016"/>
      <c r="J34" s="2016"/>
    </row>
    <row r="35" spans="1:10">
      <c r="B35" s="2020" t="s">
        <v>1004</v>
      </c>
      <c r="C35" s="2020"/>
      <c r="D35" s="2020"/>
      <c r="E35" s="2020"/>
      <c r="F35" s="2020"/>
      <c r="I35" s="2016"/>
      <c r="J35" s="2016"/>
    </row>
    <row r="36" spans="1:10">
      <c r="I36" s="2016"/>
      <c r="J36" s="2016"/>
    </row>
    <row r="37" spans="1:10">
      <c r="I37" s="2016"/>
      <c r="J37" s="2016"/>
    </row>
    <row r="38" spans="1:10">
      <c r="A38" s="2651" t="s">
        <v>1005</v>
      </c>
      <c r="B38" s="2651"/>
      <c r="C38" s="2651"/>
      <c r="D38" s="2651"/>
      <c r="E38" s="2651"/>
      <c r="F38" s="2651"/>
      <c r="I38" s="2016"/>
      <c r="J38" s="2016"/>
    </row>
    <row r="39" spans="1:10" ht="13.5" thickBot="1">
      <c r="I39" s="2016"/>
      <c r="J39" s="2016"/>
    </row>
    <row r="40" spans="1:10" ht="13.5" thickTop="1">
      <c r="B40" s="2020" t="s">
        <v>1006</v>
      </c>
      <c r="C40" s="2020"/>
      <c r="D40" s="2020"/>
      <c r="E40" s="2020"/>
      <c r="F40" s="2020"/>
      <c r="I40" s="2022"/>
      <c r="J40" s="2023"/>
    </row>
    <row r="41" spans="1:10">
      <c r="B41" s="2020" t="s">
        <v>1007</v>
      </c>
      <c r="C41" s="2020"/>
      <c r="D41" s="2020"/>
      <c r="E41" s="2020"/>
      <c r="F41" s="2020"/>
      <c r="I41" s="2024">
        <f>SUM(I33)*10</f>
        <v>625</v>
      </c>
      <c r="J41" s="2025" t="s">
        <v>1008</v>
      </c>
    </row>
    <row r="42" spans="1:10" ht="13.5" thickBot="1">
      <c r="I42" s="2026"/>
      <c r="J42" s="2027"/>
    </row>
    <row r="43" spans="1:10" ht="13.5" thickTop="1">
      <c r="I43" s="2016"/>
      <c r="J43" s="2016"/>
    </row>
  </sheetData>
  <mergeCells count="18">
    <mergeCell ref="L19:M21"/>
    <mergeCell ref="B22:F22"/>
    <mergeCell ref="L22:M22"/>
    <mergeCell ref="A1:J1"/>
    <mergeCell ref="A3:F3"/>
    <mergeCell ref="B5:F5"/>
    <mergeCell ref="B7:F7"/>
    <mergeCell ref="B9:F9"/>
    <mergeCell ref="A12:F12"/>
    <mergeCell ref="B14:F14"/>
    <mergeCell ref="B15:F15"/>
    <mergeCell ref="B17:F17"/>
    <mergeCell ref="B19:F20"/>
    <mergeCell ref="A24:F24"/>
    <mergeCell ref="B26:F26"/>
    <mergeCell ref="B27:F27"/>
    <mergeCell ref="A31:F31"/>
    <mergeCell ref="A38:F38"/>
  </mergeCells>
  <pageMargins left="0.78740157499999996" right="0.78740157499999996" top="0.984251969" bottom="0.984251969" header="0.4921259845" footer="0.4921259845"/>
  <pageSetup paperSize="9" orientation="portrait" verticalDpi="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9E746-0941-454B-B3D5-E0661C8B71F8}">
  <dimension ref="A1:K36"/>
  <sheetViews>
    <sheetView topLeftCell="A4" workbookViewId="0">
      <selection activeCell="H35" sqref="H35"/>
    </sheetView>
  </sheetViews>
  <sheetFormatPr defaultColWidth="11.5703125" defaultRowHeight="12.75"/>
  <cols>
    <col min="1" max="4" width="11.5703125" style="2015"/>
    <col min="5" max="5" width="16" style="2015" customWidth="1"/>
    <col min="6" max="6" width="13" style="2015" customWidth="1"/>
    <col min="7" max="7" width="12.7109375" style="2015" customWidth="1"/>
    <col min="8" max="16384" width="11.5703125" style="2015"/>
  </cols>
  <sheetData>
    <row r="1" spans="1:11" ht="39" customHeight="1">
      <c r="A1" s="2655" t="s">
        <v>1027</v>
      </c>
      <c r="B1" s="2655"/>
      <c r="C1" s="2655"/>
      <c r="D1" s="2655"/>
      <c r="E1" s="2028" t="s">
        <v>1028</v>
      </c>
      <c r="F1" s="2029" t="s">
        <v>1029</v>
      </c>
      <c r="G1" s="2028" t="s">
        <v>1030</v>
      </c>
      <c r="H1" s="2030" t="s">
        <v>1031</v>
      </c>
      <c r="I1" s="2029" t="s">
        <v>1032</v>
      </c>
      <c r="J1" s="2031"/>
      <c r="K1" s="2031"/>
    </row>
    <row r="4" spans="1:11">
      <c r="B4" s="2032" t="s">
        <v>1033</v>
      </c>
      <c r="C4" s="2032"/>
    </row>
    <row r="5" spans="1:11">
      <c r="B5" s="2032"/>
      <c r="C5" s="2032"/>
    </row>
    <row r="6" spans="1:11">
      <c r="B6" s="2032" t="s">
        <v>1034</v>
      </c>
      <c r="C6" s="2032"/>
      <c r="E6" s="2033" t="s">
        <v>1035</v>
      </c>
      <c r="F6" s="2033" t="s">
        <v>1035</v>
      </c>
      <c r="G6" s="2033" t="s">
        <v>1035</v>
      </c>
      <c r="H6" s="2033" t="s">
        <v>1036</v>
      </c>
      <c r="I6" s="2033"/>
      <c r="J6" s="2033"/>
      <c r="K6" s="2033"/>
    </row>
    <row r="7" spans="1:11">
      <c r="B7" s="2032" t="s">
        <v>1037</v>
      </c>
      <c r="C7" s="2032"/>
    </row>
    <row r="8" spans="1:11">
      <c r="B8" s="2032" t="s">
        <v>1038</v>
      </c>
      <c r="C8" s="2032"/>
    </row>
    <row r="9" spans="1:11">
      <c r="B9" s="2032"/>
      <c r="C9" s="2032"/>
    </row>
    <row r="10" spans="1:11">
      <c r="B10" s="2032" t="s">
        <v>1039</v>
      </c>
      <c r="C10" s="2032"/>
    </row>
    <row r="11" spans="1:11">
      <c r="B11" s="2032"/>
      <c r="C11" s="2032"/>
    </row>
    <row r="12" spans="1:11">
      <c r="B12" s="2032"/>
      <c r="C12" s="2032"/>
    </row>
    <row r="13" spans="1:11">
      <c r="B13" s="2032"/>
      <c r="C13" s="2032"/>
    </row>
    <row r="14" spans="1:11">
      <c r="B14" s="2032"/>
      <c r="C14" s="2032"/>
    </row>
    <row r="15" spans="1:11">
      <c r="B15" s="2034" t="s">
        <v>1040</v>
      </c>
      <c r="C15" s="2034"/>
    </row>
    <row r="16" spans="1:11">
      <c r="B16" s="2034"/>
      <c r="C16" s="2034"/>
    </row>
    <row r="17" spans="2:11">
      <c r="B17" s="2034" t="s">
        <v>1041</v>
      </c>
      <c r="C17" s="2034"/>
    </row>
    <row r="18" spans="2:11">
      <c r="B18" s="2034" t="s">
        <v>1037</v>
      </c>
      <c r="C18" s="2034"/>
    </row>
    <row r="19" spans="2:11">
      <c r="B19" s="2034"/>
      <c r="C19" s="2034"/>
    </row>
    <row r="20" spans="2:11">
      <c r="B20" s="2034"/>
      <c r="C20" s="2034"/>
    </row>
    <row r="21" spans="2:11">
      <c r="B21" s="2034" t="s">
        <v>1039</v>
      </c>
      <c r="C21" s="2034"/>
    </row>
    <row r="22" spans="2:11">
      <c r="B22" s="2034" t="s">
        <v>1042</v>
      </c>
      <c r="C22" s="2034"/>
    </row>
    <row r="23" spans="2:11">
      <c r="B23" s="2034" t="s">
        <v>1043</v>
      </c>
      <c r="C23" s="2034"/>
    </row>
    <row r="25" spans="2:11">
      <c r="H25" s="2035" t="s">
        <v>1044</v>
      </c>
      <c r="I25" s="2035"/>
      <c r="J25" s="2036" t="s">
        <v>1045</v>
      </c>
      <c r="K25" s="2036"/>
    </row>
    <row r="26" spans="2:11">
      <c r="H26" s="2036"/>
      <c r="I26" s="2036"/>
      <c r="J26" s="2036" t="s">
        <v>1046</v>
      </c>
      <c r="K26" s="2036" t="s">
        <v>1047</v>
      </c>
    </row>
    <row r="27" spans="2:11">
      <c r="B27" s="2659" t="s">
        <v>1048</v>
      </c>
      <c r="C27" s="2659"/>
      <c r="D27" s="2659"/>
      <c r="E27" s="2659"/>
      <c r="F27" s="2659"/>
      <c r="H27" s="2036"/>
      <c r="I27" s="2036"/>
      <c r="J27" s="2036" t="s">
        <v>1049</v>
      </c>
      <c r="K27" s="2036"/>
    </row>
    <row r="28" spans="2:11">
      <c r="B28" s="2657" t="s">
        <v>1050</v>
      </c>
      <c r="C28" s="2658"/>
      <c r="D28" s="2658"/>
      <c r="E28" s="2037"/>
      <c r="F28" s="2037"/>
      <c r="H28" s="2036"/>
      <c r="I28" s="2036"/>
      <c r="J28" s="2036" t="s">
        <v>1051</v>
      </c>
      <c r="K28" s="2036" t="s">
        <v>1047</v>
      </c>
    </row>
    <row r="29" spans="2:11">
      <c r="B29" s="2657" t="s">
        <v>1052</v>
      </c>
      <c r="C29" s="2658"/>
      <c r="D29" s="2658"/>
      <c r="E29" s="2658"/>
      <c r="F29" s="2037"/>
      <c r="H29" s="2036"/>
      <c r="I29" s="2036"/>
      <c r="J29" s="2036" t="s">
        <v>1053</v>
      </c>
      <c r="K29" s="2036"/>
    </row>
    <row r="30" spans="2:11">
      <c r="B30" s="2657" t="s">
        <v>1054</v>
      </c>
      <c r="C30" s="2658"/>
      <c r="D30" s="2658"/>
      <c r="E30" s="2658"/>
      <c r="F30" s="2037"/>
    </row>
    <row r="31" spans="2:11">
      <c r="B31" s="2657" t="s">
        <v>1055</v>
      </c>
      <c r="C31" s="2658"/>
      <c r="D31" s="2658"/>
      <c r="E31" s="2658"/>
      <c r="F31" s="2037"/>
    </row>
    <row r="32" spans="2:11">
      <c r="B32" s="2657" t="s">
        <v>1056</v>
      </c>
      <c r="C32" s="2658"/>
      <c r="D32" s="2658"/>
      <c r="E32" s="2658"/>
      <c r="F32" s="2037"/>
    </row>
    <row r="33" spans="2:6">
      <c r="B33" s="2657" t="s">
        <v>1057</v>
      </c>
      <c r="C33" s="2658"/>
      <c r="D33" s="2658"/>
      <c r="E33" s="2658"/>
      <c r="F33" s="2037"/>
    </row>
    <row r="34" spans="2:6">
      <c r="B34" s="2037"/>
      <c r="C34" s="2037"/>
      <c r="D34" s="2037"/>
      <c r="E34" s="2037"/>
      <c r="F34" s="2037"/>
    </row>
    <row r="35" spans="2:6">
      <c r="B35" s="2037"/>
      <c r="C35" s="2037"/>
      <c r="D35" s="2037"/>
      <c r="E35" s="2037"/>
      <c r="F35" s="2037"/>
    </row>
    <row r="36" spans="2:6">
      <c r="B36" s="2037"/>
      <c r="C36" s="2037"/>
      <c r="D36" s="2037"/>
      <c r="E36" s="2037"/>
      <c r="F36" s="2037"/>
    </row>
  </sheetData>
  <mergeCells count="8">
    <mergeCell ref="B32:E32"/>
    <mergeCell ref="B33:E33"/>
    <mergeCell ref="A1:D1"/>
    <mergeCell ref="B27:F27"/>
    <mergeCell ref="B28:D28"/>
    <mergeCell ref="B29:E29"/>
    <mergeCell ref="B30:E30"/>
    <mergeCell ref="B31:E31"/>
  </mergeCells>
  <pageMargins left="0.78740157499999996" right="0.78740157499999996" top="0.984251969" bottom="0.984251969" header="0.4921259845" footer="0.4921259845"/>
  <pageSetup paperSize="9"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U+E Vorschau</dc:title>
  <dc:subject/>
  <dc:creator>ADAMY Rüdiger</dc:creator>
  <cp:keywords/>
  <dc:description/>
  <cp:lastModifiedBy/>
  <cp:revision/>
  <dcterms:created xsi:type="dcterms:W3CDTF">2004-11-13T19:48:05Z</dcterms:created>
  <dcterms:modified xsi:type="dcterms:W3CDTF">2025-11-17T14:11:39Z</dcterms:modified>
  <cp:category/>
  <cp:contentStatus/>
</cp:coreProperties>
</file>